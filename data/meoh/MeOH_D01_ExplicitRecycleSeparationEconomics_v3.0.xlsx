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Controls" sheetId="2" state="visible" r:id="rId2"/>
    <sheet xmlns:r="http://schemas.openxmlformats.org/officeDocument/2006/relationships" name="EC_Split_Digitized" sheetId="3" state="visible" r:id="rId3"/>
    <sheet xmlns:r="http://schemas.openxmlformats.org/officeDocument/2006/relationships" name="Candidate_Inputs" sheetId="4" state="visible" r:id="rId4"/>
    <sheet xmlns:r="http://schemas.openxmlformats.org/officeDocument/2006/relationships" name="Reference_Benchmark" sheetId="5" state="visible" r:id="rId5"/>
    <sheet xmlns:r="http://schemas.openxmlformats.org/officeDocument/2006/relationships" name="Explicit_Loop_2pct" sheetId="6" state="visible" r:id="rId6"/>
    <sheet xmlns:r="http://schemas.openxmlformats.org/officeDocument/2006/relationships" name="Equipment_Breakdown" sheetId="7" state="visible" r:id="rId7"/>
    <sheet xmlns:r="http://schemas.openxmlformats.org/officeDocument/2006/relationships" name="Purge_Sweep" sheetId="8" state="visible" r:id="rId8"/>
    <sheet xmlns:r="http://schemas.openxmlformats.org/officeDocument/2006/relationships" name="Engineering_Diagnostic" sheetId="9" state="visible" r:id="rId9"/>
    <sheet xmlns:r="http://schemas.openxmlformats.org/officeDocument/2006/relationships" name="Methanol_Leverage" sheetId="10" state="visible" r:id="rId10"/>
    <sheet xmlns:r="http://schemas.openxmlformats.org/officeDocument/2006/relationships" name="Sources" sheetId="11" state="visible" r:id="rId11"/>
    <sheet xmlns:r="http://schemas.openxmlformats.org/officeDocument/2006/relationships" name="Audit" sheetId="12" state="visible" r:id="rId12"/>
  </sheets>
  <definedNames/>
  <calcPr calcId="124519" calcMode="auto" fullCalcOnLoad="1" forceFullCalc="1"/>
</workbook>
</file>

<file path=xl/styles.xml><?xml version="1.0" encoding="utf-8"?>
<styleSheet xmlns="http://schemas.openxmlformats.org/spreadsheetml/2006/main">
  <numFmts count="2">
    <numFmt numFmtId="164" formatCode="0.0%"/>
    <numFmt numFmtId="165" formatCode="0.000"/>
  </numFmts>
  <fonts count="10">
    <font>
      <name val="Calibri"/>
      <family val="2"/>
      <color theme="1"/>
      <sz val="11"/>
      <scheme val="minor"/>
    </font>
    <font>
      <b val="1"/>
      <color rgb="00FFFFFF"/>
      <sz val="15"/>
    </font>
    <font>
      <i val="1"/>
      <color rgb="00666666"/>
    </font>
    <font>
      <b val="1"/>
    </font>
    <font>
      <color rgb="00008000"/>
    </font>
    <font>
      <color rgb="000000FF"/>
    </font>
    <font>
      <color rgb="00000000"/>
    </font>
    <font>
      <color rgb="00666666"/>
    </font>
    <font>
      <b val="1"/>
      <color rgb="00008000"/>
    </font>
    <font>
      <b val="1"/>
      <color rgb="00C65911"/>
    </font>
  </fonts>
  <fills count="5">
    <fill>
      <patternFill/>
    </fill>
    <fill>
      <patternFill patternType="gray125"/>
    </fill>
    <fill>
      <patternFill patternType="solid">
        <fgColor rgb="001F4E78"/>
      </patternFill>
    </fill>
    <fill>
      <patternFill patternType="solid">
        <fgColor rgb="00D9EAF7"/>
      </patternFill>
    </fill>
    <fill>
      <patternFill patternType="solid">
        <fgColor rgb="00EAF2F8"/>
      </patternFill>
    </fill>
  </fills>
  <borders count="2">
    <border>
      <left/>
      <right/>
      <top/>
      <bottom/>
      <diagonal/>
    </border>
    <border>
      <bottom style="thin">
        <color rgb="00D9E1F2"/>
      </bottom>
    </border>
  </borders>
  <cellStyleXfs count="1">
    <xf numFmtId="0" fontId="0" fillId="0" borderId="0"/>
  </cellStyleXfs>
  <cellXfs count="21">
    <xf numFmtId="0" fontId="0" fillId="0" borderId="0" pivotButton="0" quotePrefix="0" xfId="0"/>
    <xf numFmtId="0" fontId="1" fillId="2" borderId="0" applyAlignment="1" pivotButton="0" quotePrefix="0" xfId="0">
      <alignment vertical="center"/>
    </xf>
    <xf numFmtId="0" fontId="2" fillId="0" borderId="0" applyAlignment="1" pivotButton="0" quotePrefix="0" xfId="0">
      <alignment vertical="center" wrapText="1"/>
    </xf>
    <xf numFmtId="0" fontId="3" fillId="3" borderId="0" pivotButton="0" quotePrefix="0" xfId="0"/>
    <xf numFmtId="0" fontId="0" fillId="0" borderId="0" applyAlignment="1" pivotButton="0" quotePrefix="0" xfId="0">
      <alignment vertical="top" wrapText="1"/>
    </xf>
    <xf numFmtId="0" fontId="3" fillId="3" borderId="1" applyAlignment="1" pivotButton="0" quotePrefix="0" xfId="0">
      <alignment vertical="center" wrapText="1"/>
    </xf>
    <xf numFmtId="0" fontId="4" fillId="0" borderId="0" pivotButton="0" quotePrefix="0" xfId="0"/>
    <xf numFmtId="0" fontId="0" fillId="0" borderId="0" applyAlignment="1" pivotButton="0" quotePrefix="0" xfId="0">
      <alignment wrapText="1"/>
    </xf>
    <xf numFmtId="164" fontId="4" fillId="0" borderId="0" pivotButton="0" quotePrefix="0" xfId="0"/>
    <xf numFmtId="0" fontId="5" fillId="4" borderId="0" pivotButton="0" quotePrefix="0" xfId="0"/>
    <xf numFmtId="164" fontId="5" fillId="4" borderId="0" pivotButton="0" quotePrefix="0" xfId="0"/>
    <xf numFmtId="0" fontId="6" fillId="0" borderId="0" pivotButton="0" quotePrefix="0" xfId="0"/>
    <xf numFmtId="0" fontId="3" fillId="0" borderId="0" pivotButton="0" quotePrefix="0" xfId="0"/>
    <xf numFmtId="0" fontId="4" fillId="0" borderId="0" applyAlignment="1" pivotButton="0" quotePrefix="0" xfId="0">
      <alignment wrapText="1"/>
    </xf>
    <xf numFmtId="10" fontId="0" fillId="0" borderId="0" pivotButton="0" quotePrefix="0" xfId="0"/>
    <xf numFmtId="164" fontId="6" fillId="0" borderId="0" pivotButton="0" quotePrefix="0" xfId="0"/>
    <xf numFmtId="165" fontId="6" fillId="0" borderId="0" pivotButton="0" quotePrefix="0" xfId="0"/>
    <xf numFmtId="165" fontId="4" fillId="0" borderId="0" pivotButton="0" quotePrefix="0" xfId="0"/>
    <xf numFmtId="0" fontId="7" fillId="0" borderId="0" applyAlignment="1" pivotButton="0" quotePrefix="0" xfId="0">
      <alignment wrapText="1"/>
    </xf>
    <xf numFmtId="0" fontId="8" fillId="0" borderId="0" pivotButton="0" quotePrefix="0" xfId="0"/>
    <xf numFmtId="0" fontId="9"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comments/comment1.xml><?xml version="1.0" encoding="utf-8"?>
<comments xmlns="http://schemas.openxmlformats.org/spreadsheetml/2006/main">
  <authors>
    <author>OpenAI</author>
  </authors>
  <commentList>
    <comment ref="B5" authorId="0" shapeId="0">
      <text>
        <t>Source: https://www.mdpi.com/2227-9717/10/8/1535</t>
      </text>
    </comment>
    <comment ref="B6" authorId="0" shapeId="0">
      <text>
        <t>Source: https://www.mdpi.com/2227-9717/10/8/1535</t>
      </text>
    </comment>
    <comment ref="B7" authorId="0" shapeId="0">
      <text>
        <t>Source: https://www.mdpi.com/2227-9717/10/8/1535</t>
      </text>
    </comment>
    <comment ref="B8" authorId="0" shapeId="0">
      <text>
        <t>Source: https://www.mdpi.com/2227-9717/10/8/1535</t>
      </text>
    </comment>
    <comment ref="B9" authorId="0" shapeId="0">
      <text>
        <t>Source: https://www.mdpi.com/2227-9717/10/8/1535</t>
      </text>
    </comment>
    <comment ref="B10" authorId="0" shapeId="0">
      <text>
        <t>Source: https://www.mdpi.com/2227-9717/10/8/1535</t>
      </text>
    </comment>
    <comment ref="B11" authorId="0" shapeId="0">
      <text>
        <t>Source: https://www.mdpi.com/2227-9717/10/8/1535</t>
      </text>
    </comment>
    <comment ref="B12" authorId="0" shapeId="0">
      <text>
        <t>Source: https://www.osti.gov/pages/servlets/purl/3005244</t>
      </text>
    </comment>
    <comment ref="B13" authorId="0" shapeId="0">
      <text>
        <t>Source: https://www.mdpi.com/2227-9717/10/8/1535</t>
      </text>
    </comment>
    <comment ref="B14" authorId="0" shapeId="0">
      <text>
        <t>Source: https://www.mdpi.com/2227-9717/10/8/1535</t>
      </text>
    </comment>
    <comment ref="B15" authorId="0" shapeId="0">
      <text>
        <t>Source: https://www.mdpi.com/2227-9717/10/8/1535</t>
      </text>
    </comment>
    <comment ref="B18" authorId="0" shapeId="0">
      <text>
        <t>Source: https://www.mdpi.com/2227-9717/10/8/1535</t>
      </text>
    </comment>
    <comment ref="B19" authorId="0" shapeId="0">
      <text>
        <t>Source: https://www.mdpi.com/2227-9717/10/8/1535</t>
      </text>
    </comment>
    <comment ref="B20" authorId="0" shapeId="0">
      <text>
        <t>Source: https://www.mdpi.com/2227-9717/10/8/1535</t>
      </text>
    </comment>
    <comment ref="B21" authorId="0" shapeId="0">
      <text>
        <t>Source: https://www.mdpi.com/2227-9717/10/8/1535</t>
      </text>
    </comment>
    <comment ref="B22" authorId="0" shapeId="0">
      <text>
        <t>Source: https://www.mdpi.com/2227-9717/10/8/1535</t>
      </text>
    </comment>
    <comment ref="B23" authorId="0" shapeId="0">
      <text>
        <t>Source: https://www.mdpi.com/2227-9717/10/8/1535</t>
      </text>
    </comment>
    <comment ref="B24" authorId="0" shapeId="0">
      <text>
        <t>Source: https://www.mdpi.com/2227-9717/10/8/1535</t>
      </text>
    </comment>
    <comment ref="B25" authorId="0" shapeId="0">
      <text>
        <t>Source: https://www.mdpi.com/2227-9717/10/8/1535</t>
      </text>
    </comment>
    <comment ref="B26" authorId="0" shapeId="0">
      <text>
        <t>Source: https://www.mdpi.com/2227-9717/10/8/1535</t>
      </text>
    </comment>
  </commentList>
</comments>
</file>

<file path=xl/comments/comment2.xml><?xml version="1.0" encoding="utf-8"?>
<comments xmlns="http://schemas.openxmlformats.org/spreadsheetml/2006/main">
  <authors>
    <author>OpenAI</author>
  </authors>
  <commentList>
    <comment ref="B5" authorId="0" shapeId="0">
      <text>
        <t>Source: https://www.mdpi.com/2227-9717/10/8/1535</t>
      </text>
    </comment>
    <comment ref="B6" authorId="0" shapeId="0">
      <text>
        <t>Source: https://www.mdpi.com/2227-9717/10/8/1535</t>
      </text>
    </comment>
    <comment ref="B7" authorId="0" shapeId="0">
      <text>
        <t>Source: https://www.mdpi.com/2227-9717/10/8/1535</t>
      </text>
    </comment>
    <comment ref="B8" authorId="0" shapeId="0">
      <text>
        <t>Source: https://www.mdpi.com/2227-9717/10/8/1535</t>
      </text>
    </comment>
    <comment ref="B9" authorId="0" shapeId="0">
      <text>
        <t>Source: https://www.mdpi.com/2227-9717/10/8/1535</t>
      </text>
    </comment>
    <comment ref="B10" authorId="0" shapeId="0">
      <text>
        <t>Source: https://www.mdpi.com/2227-9717/10/8/1535</t>
      </text>
    </comment>
    <comment ref="B11" authorId="0" shapeId="0">
      <text>
        <t>Source: https://www.mdpi.com/2227-9717/10/8/1535</t>
      </text>
    </comment>
    <comment ref="B12" authorId="0" shapeId="0">
      <text>
        <t>Source: https://www.mdpi.com/2227-9717/10/8/1535</t>
      </text>
    </comment>
    <comment ref="B13" authorId="0" shapeId="0">
      <text>
        <t>Source: https://www.mdpi.com/2227-9717/10/8/1535</t>
      </text>
    </comment>
    <comment ref="B14" authorId="0" shapeId="0">
      <text>
        <t>Source: https://www.mdpi.com/2227-9717/10/8/1535</t>
      </text>
    </comment>
    <comment ref="B15" authorId="0" shapeId="0">
      <text>
        <t>Source: https://www.mdpi.com/2227-9717/10/8/1535</t>
      </text>
    </comment>
  </commentList>
</comments>
</file>

<file path=xl/comments/comment3.xml><?xml version="1.0" encoding="utf-8"?>
<comments xmlns="http://schemas.openxmlformats.org/spreadsheetml/2006/main">
  <authors>
    <author>OpenAI</author>
  </authors>
  <commentList>
    <comment ref="A5" authorId="0" shapeId="0">
      <text>
        <t>Source: https://www.osti.gov/pages/servlets/purl/3005244</t>
      </text>
    </comment>
    <comment ref="A6" authorId="0" shapeId="0">
      <text>
        <t>Source: https://www.osti.gov/pages/servlets/purl/3005244</t>
      </text>
    </comment>
    <comment ref="A7" authorId="0" shapeId="0">
      <text>
        <t>Source: https://www.osti.gov/pages/servlets/purl/3005244</t>
      </text>
    </comment>
    <comment ref="A8" authorId="0" shapeId="0">
      <text>
        <t>Source: https://www.osti.gov/pages/servlets/purl/3005244</t>
      </text>
    </comment>
  </commentList>
</comments>
</file>

<file path=xl/comments/comment4.xml><?xml version="1.0" encoding="utf-8"?>
<comments xmlns="http://schemas.openxmlformats.org/spreadsheetml/2006/main">
  <authors>
    <author>OpenAI</author>
  </authors>
  <commentList>
    <comment ref="C7" authorId="0" shapeId="0">
      <text>
        <t>Source: https://www.mdpi.com/2227-9717/10/8/1535</t>
      </text>
    </comment>
    <comment ref="C12" authorId="0" shapeId="0">
      <text>
        <t>Source: https://www.mdpi.com/2227-9717/10/8/1535</t>
      </text>
    </comment>
    <comment ref="C13" authorId="0" shapeId="0">
      <text>
        <t>Source: https://www.mdpi.com/2227-9717/10/8/1535</t>
      </text>
    </comment>
    <comment ref="C14" authorId="0" shapeId="0">
      <text>
        <t>Source: https://www.mdpi.com/2227-9717/10/8/1535</t>
      </text>
    </comment>
    <comment ref="C15" authorId="0" shapeId="0">
      <text>
        <t>Source: https://www.mdpi.com/2227-9717/10/8/1535</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sheet1.xml><?xml version="1.0" encoding="utf-8"?>
<worksheet xmlns="http://schemas.openxmlformats.org/spreadsheetml/2006/main">
  <sheetPr>
    <outlinePr summaryBelow="1" summaryRight="1"/>
    <pageSetUpPr/>
  </sheetPr>
  <dimension ref="A1:B11"/>
  <sheetViews>
    <sheetView showGridLines="0" workbookViewId="0">
      <pane ySplit="3" topLeftCell="A4" activePane="bottomLeft" state="frozen"/>
      <selection pane="bottomLeft" activeCell="A1" sqref="A1"/>
    </sheetView>
  </sheetViews>
  <sheetFormatPr baseColWidth="8" defaultRowHeight="15"/>
  <cols>
    <col width="28" customWidth="1" min="1" max="1"/>
    <col width="105" customWidth="1" min="2" max="2"/>
  </cols>
  <sheetData>
    <row r="1" ht="26" customHeight="1">
      <c r="A1" s="1" t="inlineStr">
        <is>
          <t>CO2 → Methanol explicit recycle/separation economics | v3</t>
        </is>
      </c>
    </row>
    <row r="2" ht="34" customHeight="1">
      <c r="A2" s="2" t="inlineStr">
        <is>
          <t>Removes the free k_loop proxy. Species-resolved recycle/purge, compression OPEX and flow-scaled flash/distillation/loop CAPEX are explicit and anchored to a published process TEA.</t>
        </is>
      </c>
    </row>
    <row r="4" ht="48" customHeight="1">
      <c r="A4" s="3" t="inlineStr">
        <is>
          <t>What changed</t>
        </is>
      </c>
      <c r="B4" s="4" t="inlineStr">
        <is>
          <t>The previous methanol v2 used an uncalibrated k_loop coefficient. v3 explicitly solves steady-state CO2/H2/CH4/CO-like/N2 recycle and purge, fresh H2/CO2 makeup, compression work, catalyst/reactor size, flash/distillation/recycle equipment scaling, FCI/ACC and indirect OPEX.</t>
        </is>
      </c>
    </row>
    <row r="5" ht="48" customHeight="1">
      <c r="A5" s="3" t="inlineStr">
        <is>
          <t>Primary economic anchor</t>
        </is>
      </c>
      <c r="B5" s="4" t="inlineStr">
        <is>
          <t>Processes 2022, 10, 1535: 145 t/h MeOH, 70 bar one-step loop, 2% purge, 54,290 kmol/h recycle, EC=85.5 M€, FCI=415.9 M€, direct OPEX=874.9 M€/y, NPC=1071.8 M€/y; H2=3097.4 €/t, CO2=44.3 €/t, electricity=90 €/MWh.</t>
        </is>
      </c>
    </row>
    <row r="6" ht="48" customHeight="1">
      <c r="A6" s="3" t="inlineStr">
        <is>
          <t>Catalyst evidence</t>
        </is>
      </c>
      <c r="B6" s="4" t="inlineStr">
        <is>
          <t>Gothe et al., ACS Catalysis 2025 Table 3: controlled Re/TiO2 data at 100 bar, CO2/H2=1:4, same GHSV/time-on-stream. Central comparison uses 500 C prereduction at 200 and 250 C.</t>
        </is>
      </c>
    </row>
    <row r="7" ht="48" customHeight="1">
      <c r="A7" s="3" t="inlineStr">
        <is>
          <t>Critical physical correction</t>
        </is>
      </c>
      <c r="B7" s="4" t="inlineStr">
        <is>
          <t>CH4 is not treated as an instantaneous external loss. It remains in the gas loop, accumulates, increases circulation, and leaves only through purge. This is why high methanation changes the loop architecture.</t>
        </is>
      </c>
    </row>
    <row r="8" ht="48" customHeight="1">
      <c r="A8" s="3" t="inlineStr">
        <is>
          <t>Separation economics</t>
        </is>
      </c>
      <c r="B8" s="4" t="inlineStr">
        <is>
          <t>High-pressure MeOH/H2O condensation is represented as full removal of condensables at the separator; gas-side circulation sizes heat exchangers/flash equipment, crude MeOH+H2O flow sizes distillation/pump equipment, and recycle flow sizes the recycle compressor. Variable equipment is scaled from the published Figure 11 EC split.</t>
        </is>
      </c>
    </row>
    <row r="9" ht="48" customHeight="1">
      <c r="A9" s="3" t="inlineStr">
        <is>
          <t>Central process convention</t>
        </is>
      </c>
      <c r="B9" s="4" t="inlineStr">
        <is>
          <t>Headline catalyst comparisons use the source-anchored 2% purge, rather than silently cost-optimizing purge. A full purge sweep is provided because the source itself selected 2% as an engineering compromise between feed loss and circulation/equipment.</t>
        </is>
      </c>
    </row>
    <row r="10" ht="48" customHeight="1">
      <c r="A10" s="3" t="inlineStr">
        <is>
          <t>Model boundary</t>
        </is>
      </c>
      <c r="B10" s="4" t="inlineStr">
        <is>
          <t>This is a transparent source-anchored reduced TEA, not a new Aspen flowsheet. Figure 11 equipment split is digitized approximately and normalized to exact total EC; scaling exponents are explicit assumptions. Re catalyst purchase price is intentionally excluded from headline performance-leverage comparisons because no consistent supported catalyst price is available.</t>
        </is>
      </c>
    </row>
    <row r="11" ht="48" customHeight="1">
      <c r="A11" s="3" t="inlineStr">
        <is>
          <t>Main result</t>
        </is>
      </c>
      <c r="B11" s="4" t="inlineStr">
        <is>
          <t>At 2% purge, 200 C favors 5 wt% Re (~943 vs 967 €/t), while 250 C strongly favors 1 wt% Re (~975 vs 1258 €/t). The reversal is generated by explicit conversion/selectivity → feed/purge/recycle/separation economics, with no free k_loop.</t>
        </is>
      </c>
    </row>
  </sheetData>
  <mergeCells count="2">
    <mergeCell ref="A2:B2"/>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8"/>
  <sheetViews>
    <sheetView showGridLines="0" workbookViewId="0">
      <pane ySplit="4" topLeftCell="A5" activePane="bottomLeft" state="frozen"/>
      <selection pane="bottomLeft" activeCell="A1" sqref="A1"/>
    </sheetView>
  </sheetViews>
  <sheetFormatPr baseColWidth="8" defaultRowHeight="15"/>
  <cols>
    <col width="30" customWidth="1" min="1" max="1"/>
    <col width="18" customWidth="1" min="2" max="2"/>
    <col width="17" customWidth="1" min="3" max="3"/>
    <col width="70" customWidth="1" min="4" max="4"/>
  </cols>
  <sheetData>
    <row r="1" ht="26" customHeight="1">
      <c r="A1" s="1" t="inlineStr">
        <is>
          <t>Controls and source inputs</t>
        </is>
      </c>
    </row>
    <row r="2" ht="34" customHeight="1">
      <c r="A2" s="2" t="inlineStr">
        <is>
          <t>Blue = model assumption/changeable; green = imported from primary source; gray = static definition. Derived values are formulas elsewhere.</t>
        </is>
      </c>
    </row>
    <row r="4">
      <c r="A4" s="5" t="inlineStr">
        <is>
          <t>Control</t>
        </is>
      </c>
      <c r="B4" s="5" t="inlineStr">
        <is>
          <t>Value</t>
        </is>
      </c>
      <c r="C4" s="5" t="inlineStr">
        <is>
          <t>Units</t>
        </is>
      </c>
      <c r="D4" s="5" t="inlineStr">
        <is>
          <t>Source / rationale</t>
        </is>
      </c>
    </row>
    <row r="5">
      <c r="A5" t="inlineStr">
        <is>
          <t>Plant MeOH production</t>
        </is>
      </c>
      <c r="B5" s="6" t="n">
        <v>145</v>
      </c>
      <c r="C5" t="inlineStr">
        <is>
          <t>t/h</t>
        </is>
      </c>
      <c r="D5" s="7" t="inlineStr">
        <is>
          <t>https://www.mdpi.com/2227-9717/10/8/1535</t>
        </is>
      </c>
    </row>
    <row r="6">
      <c r="A6" t="inlineStr">
        <is>
          <t>Operating hours</t>
        </is>
      </c>
      <c r="B6" s="6" t="n">
        <v>8000</v>
      </c>
      <c r="C6" t="inlineStr">
        <is>
          <t>h/y</t>
        </is>
      </c>
      <c r="D6" s="7" t="inlineStr">
        <is>
          <t>https://www.mdpi.com/2227-9717/10/8/1535</t>
        </is>
      </c>
    </row>
    <row r="7">
      <c r="A7" t="inlineStr">
        <is>
          <t>H2 price</t>
        </is>
      </c>
      <c r="B7" s="6" t="n">
        <v>3097.4</v>
      </c>
      <c r="C7" t="inlineStr">
        <is>
          <t>€/t</t>
        </is>
      </c>
      <c r="D7" s="7" t="inlineStr">
        <is>
          <t>https://www.mdpi.com/2227-9717/10/8/1535</t>
        </is>
      </c>
    </row>
    <row r="8">
      <c r="A8" t="inlineStr">
        <is>
          <t>CO2 price</t>
        </is>
      </c>
      <c r="B8" s="6" t="n">
        <v>44.3</v>
      </c>
      <c r="C8" t="inlineStr">
        <is>
          <t>€/t</t>
        </is>
      </c>
      <c r="D8" s="7" t="inlineStr">
        <is>
          <t>https://www.mdpi.com/2227-9717/10/8/1535</t>
        </is>
      </c>
    </row>
    <row r="9">
      <c r="A9" t="inlineStr">
        <is>
          <t>Electricity price</t>
        </is>
      </c>
      <c r="B9" s="6" t="n">
        <v>90</v>
      </c>
      <c r="C9" t="inlineStr">
        <is>
          <t>€/MWh</t>
        </is>
      </c>
      <c r="D9" s="7" t="inlineStr">
        <is>
          <t>https://www.mdpi.com/2227-9717/10/8/1535</t>
        </is>
      </c>
    </row>
    <row r="10">
      <c r="A10" t="inlineStr">
        <is>
          <t>H2 feed purity</t>
        </is>
      </c>
      <c r="B10" s="8" t="n">
        <v>0.995</v>
      </c>
      <c r="C10" t="inlineStr">
        <is>
          <t>mol fraction</t>
        </is>
      </c>
      <c r="D10" s="7" t="inlineStr">
        <is>
          <t>https://www.mdpi.com/2227-9717/10/8/1535</t>
        </is>
      </c>
    </row>
    <row r="11">
      <c r="A11" t="inlineStr">
        <is>
          <t>Reference pressure</t>
        </is>
      </c>
      <c r="B11" s="6" t="n">
        <v>70</v>
      </c>
      <c r="C11" t="inlineStr">
        <is>
          <t>bar</t>
        </is>
      </c>
      <c r="D11" s="7" t="inlineStr">
        <is>
          <t>https://www.mdpi.com/2227-9717/10/8/1535</t>
        </is>
      </c>
    </row>
    <row r="12">
      <c r="A12" t="inlineStr">
        <is>
          <t>Candidate pressure</t>
        </is>
      </c>
      <c r="B12" s="6" t="n">
        <v>100</v>
      </c>
      <c r="C12" t="inlineStr">
        <is>
          <t>bar</t>
        </is>
      </c>
      <c r="D12" s="7" t="inlineStr">
        <is>
          <t>https://www.osti.gov/pages/servlets/purl/3005244</t>
        </is>
      </c>
    </row>
    <row r="13">
      <c r="A13" t="inlineStr">
        <is>
          <t>H2 feed pressure</t>
        </is>
      </c>
      <c r="B13" s="6" t="n">
        <v>30</v>
      </c>
      <c r="C13" t="inlineStr">
        <is>
          <t>bar</t>
        </is>
      </c>
      <c r="D13" s="7" t="inlineStr">
        <is>
          <t>https://www.mdpi.com/2227-9717/10/8/1535</t>
        </is>
      </c>
    </row>
    <row r="14">
      <c r="A14" t="inlineStr">
        <is>
          <t>CO2 feed pressure</t>
        </is>
      </c>
      <c r="B14" s="6" t="n">
        <v>1</v>
      </c>
      <c r="C14" t="inlineStr">
        <is>
          <t>bar</t>
        </is>
      </c>
      <c r="D14" s="7" t="inlineStr">
        <is>
          <t>https://www.mdpi.com/2227-9717/10/8/1535</t>
        </is>
      </c>
    </row>
    <row r="15">
      <c r="A15" t="inlineStr">
        <is>
          <t>Compressor isentropic efficiency</t>
        </is>
      </c>
      <c r="B15" s="8" t="n">
        <v>0.8</v>
      </c>
      <c r="C15" t="inlineStr">
        <is>
          <t>fraction</t>
        </is>
      </c>
      <c r="D15" s="7" t="inlineStr">
        <is>
          <t>https://www.mdpi.com/2227-9717/10/8/1535</t>
        </is>
      </c>
    </row>
    <row r="16">
      <c r="A16" t="inlineStr">
        <is>
          <t>Compression temperature</t>
        </is>
      </c>
      <c r="B16" s="9" t="n">
        <v>298.15</v>
      </c>
      <c r="C16" t="inlineStr">
        <is>
          <t>K</t>
        </is>
      </c>
      <c r="D16" s="7" t="inlineStr">
        <is>
          <t>Transparent isothermal-equivalent reduced model</t>
        </is>
      </c>
    </row>
    <row r="17">
      <c r="A17" t="inlineStr">
        <is>
          <t>Recycle loop pressure rise</t>
        </is>
      </c>
      <c r="B17" s="9" t="n">
        <v>1.5</v>
      </c>
      <c r="C17" t="inlineStr">
        <is>
          <t>bar</t>
        </is>
      </c>
      <c r="D17" s="7" t="inlineStr">
        <is>
          <t>0.75 bar reactor drop is sourced; +0.75 bar loop allowance is explicit assumption</t>
        </is>
      </c>
    </row>
    <row r="18">
      <c r="A18" t="inlineStr">
        <is>
          <t>Lang factor</t>
        </is>
      </c>
      <c r="B18" s="6" t="n">
        <v>4.86</v>
      </c>
      <c r="C18" t="inlineStr">
        <is>
          <t>-</t>
        </is>
      </c>
      <c r="D18" s="7" t="inlineStr">
        <is>
          <t>https://www.mdpi.com/2227-9717/10/8/1535</t>
        </is>
      </c>
    </row>
    <row r="19">
      <c r="A19" t="inlineStr">
        <is>
          <t>Interest rate</t>
        </is>
      </c>
      <c r="B19" s="8" t="n">
        <v>0.1</v>
      </c>
      <c r="C19" t="inlineStr">
        <is>
          <t>fraction</t>
        </is>
      </c>
      <c r="D19" s="7" t="inlineStr">
        <is>
          <t>https://www.mdpi.com/2227-9717/10/8/1535</t>
        </is>
      </c>
    </row>
    <row r="20">
      <c r="A20" t="inlineStr">
        <is>
          <t>Plant life</t>
        </is>
      </c>
      <c r="B20" s="6" t="n">
        <v>20</v>
      </c>
      <c r="C20" t="inlineStr">
        <is>
          <t>y</t>
        </is>
      </c>
      <c r="D20" s="7" t="inlineStr">
        <is>
          <t>https://www.mdpi.com/2227-9717/10/8/1535</t>
        </is>
      </c>
    </row>
    <row r="21">
      <c r="A21" t="inlineStr">
        <is>
          <t>Source one-step purge</t>
        </is>
      </c>
      <c r="B21" s="8" t="n">
        <v>0.02</v>
      </c>
      <c r="C21" t="inlineStr">
        <is>
          <t>fraction</t>
        </is>
      </c>
      <c r="D21" s="7" t="inlineStr">
        <is>
          <t>https://www.mdpi.com/2227-9717/10/8/1535</t>
        </is>
      </c>
    </row>
    <row r="22">
      <c r="A22" t="inlineStr">
        <is>
          <t>Source recycle flow</t>
        </is>
      </c>
      <c r="B22" s="6" t="n">
        <v>54290</v>
      </c>
      <c r="C22" t="inlineStr">
        <is>
          <t>kmol/h</t>
        </is>
      </c>
      <c r="D22" s="7" t="inlineStr">
        <is>
          <t>https://www.mdpi.com/2227-9717/10/8/1535</t>
        </is>
      </c>
    </row>
    <row r="23">
      <c r="A23" t="inlineStr">
        <is>
          <t>Source equipment cost</t>
        </is>
      </c>
      <c r="B23" s="6" t="n">
        <v>85.5</v>
      </c>
      <c r="C23" t="inlineStr">
        <is>
          <t>M€</t>
        </is>
      </c>
      <c r="D23" s="7" t="inlineStr">
        <is>
          <t>https://www.mdpi.com/2227-9717/10/8/1535</t>
        </is>
      </c>
    </row>
    <row r="24">
      <c r="A24" t="inlineStr">
        <is>
          <t>Source direct OPEX</t>
        </is>
      </c>
      <c r="B24" s="6" t="n">
        <v>874.9</v>
      </c>
      <c r="C24" t="inlineStr">
        <is>
          <t>M€/y</t>
        </is>
      </c>
      <c r="D24" s="7" t="inlineStr">
        <is>
          <t>https://www.mdpi.com/2227-9717/10/8/1535</t>
        </is>
      </c>
    </row>
    <row r="25">
      <c r="A25" t="inlineStr">
        <is>
          <t>Source indirect OPEX</t>
        </is>
      </c>
      <c r="B25" s="6" t="n">
        <v>143.4</v>
      </c>
      <c r="C25" t="inlineStr">
        <is>
          <t>M€/y</t>
        </is>
      </c>
      <c r="D25" s="7" t="inlineStr">
        <is>
          <t>https://www.mdpi.com/2227-9717/10/8/1535</t>
        </is>
      </c>
    </row>
    <row r="26">
      <c r="A26" t="inlineStr">
        <is>
          <t>Source NPC</t>
        </is>
      </c>
      <c r="B26" s="6" t="n">
        <v>1071.8</v>
      </c>
      <c r="C26" t="inlineStr">
        <is>
          <t>M€/y</t>
        </is>
      </c>
      <c r="D26" s="7" t="inlineStr">
        <is>
          <t>https://www.mdpi.com/2227-9717/10/8/1535</t>
        </is>
      </c>
    </row>
    <row r="27">
      <c r="A27" t="inlineStr">
        <is>
          <t>General equipment scaling exponent</t>
        </is>
      </c>
      <c r="B27" s="10" t="n">
        <v>0.6</v>
      </c>
      <c r="C27" t="inlineStr">
        <is>
          <t>-</t>
        </is>
      </c>
      <c r="D27" s="7" t="inlineStr">
        <is>
          <t>Explicit reduced-model assumption; sensitivity-ready</t>
        </is>
      </c>
    </row>
    <row r="28">
      <c r="A28" t="inlineStr">
        <is>
          <t>Compressor scaling exponent</t>
        </is>
      </c>
      <c r="B28" s="10" t="n">
        <v>0.67</v>
      </c>
      <c r="C28" t="inlineStr">
        <is>
          <t>-</t>
        </is>
      </c>
      <c r="D28" s="7" t="inlineStr">
        <is>
          <t>Explicit reduced-model assumption; sensitivity-ready</t>
        </is>
      </c>
    </row>
  </sheetData>
  <mergeCells count="2">
    <mergeCell ref="A1:D1"/>
    <mergeCell ref="A2:D2"/>
  </mergeCell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D17"/>
  <sheetViews>
    <sheetView showGridLines="0" workbookViewId="0">
      <pane ySplit="4" topLeftCell="A5" activePane="bottomLeft" state="frozen"/>
      <selection pane="bottomLeft" activeCell="A1" sqref="A1"/>
    </sheetView>
  </sheetViews>
  <sheetFormatPr baseColWidth="8" defaultRowHeight="15"/>
  <cols>
    <col width="34" customWidth="1" min="1" max="1"/>
    <col width="18" customWidth="1" min="2" max="2"/>
    <col width="20" customWidth="1" min="3" max="3"/>
    <col width="80" customWidth="1" min="4" max="4"/>
  </cols>
  <sheetData>
    <row r="1" ht="26" customHeight="1">
      <c r="A1" s="1" t="inlineStr">
        <is>
          <t>Published one-step EC split used for equipment scaling</t>
        </is>
      </c>
    </row>
    <row r="2" ht="34" customHeight="1">
      <c r="A2" s="2" t="inlineStr">
        <is>
          <t>Figure 11(a) bars were digitized approximately as relative pixel lengths and normalized to the exact published EC total of 85.5 M€. This affects allocation/scaling, not baseline total EC.</t>
        </is>
      </c>
    </row>
    <row r="4">
      <c r="A4" s="5" t="inlineStr">
        <is>
          <t>Equipment</t>
        </is>
      </c>
      <c r="B4" s="5" t="inlineStr">
        <is>
          <t>Pixel weight</t>
        </is>
      </c>
      <c r="C4" s="5" t="inlineStr">
        <is>
          <t>Normalized EC (M€)</t>
        </is>
      </c>
      <c r="D4" s="5" t="inlineStr">
        <is>
          <t>Treatment in v3</t>
        </is>
      </c>
    </row>
    <row r="5">
      <c r="A5" t="inlineStr">
        <is>
          <t>Reactor modules</t>
        </is>
      </c>
      <c r="B5" s="6" t="n">
        <v>306</v>
      </c>
      <c r="C5" s="11">
        <f>Controls!$B$23*B5/SUM($B$5:$B$15)</f>
        <v/>
      </c>
      <c r="D5" s="7" t="inlineStr">
        <is>
          <t>scale with catalyst mass^0.60 (STY and Re wt%)</t>
        </is>
      </c>
    </row>
    <row r="6">
      <c r="A6" t="inlineStr">
        <is>
          <t>Carbon dioxide compressor</t>
        </is>
      </c>
      <c r="B6" s="6" t="n">
        <v>257</v>
      </c>
      <c r="C6" s="11">
        <f>Controls!$B$23*B6/SUM($B$5:$B$15)</f>
        <v/>
      </c>
      <c r="D6" s="7" t="inlineStr">
        <is>
          <t>scale with calculated CO2 compression power^0.67</t>
        </is>
      </c>
    </row>
    <row r="7">
      <c r="A7" t="inlineStr">
        <is>
          <t>Hydrogen compressor</t>
        </is>
      </c>
      <c r="B7" s="6" t="n">
        <v>94</v>
      </c>
      <c r="C7" s="11">
        <f>Controls!$B$23*B7/SUM($B$5:$B$15)</f>
        <v/>
      </c>
      <c r="D7" s="7" t="inlineStr">
        <is>
          <t>scale with calculated H2 compression power^0.67</t>
        </is>
      </c>
    </row>
    <row r="8">
      <c r="A8" t="inlineStr">
        <is>
          <t>Reactor preheaters</t>
        </is>
      </c>
      <c r="B8" s="6" t="n">
        <v>27</v>
      </c>
      <c r="C8" s="11">
        <f>Controls!$B$23*B8/SUM($B$5:$B$15)</f>
        <v/>
      </c>
      <c r="D8" s="7" t="inlineStr">
        <is>
          <t>scale with reactor-inlet gas flow^0.60</t>
        </is>
      </c>
    </row>
    <row r="9">
      <c r="A9" t="inlineStr">
        <is>
          <t>Heat exchangers</t>
        </is>
      </c>
      <c r="B9" s="6" t="n">
        <v>23</v>
      </c>
      <c r="C9" s="11">
        <f>Controls!$B$23*B9/SUM($B$5:$B$15)</f>
        <v/>
      </c>
      <c r="D9" s="7" t="inlineStr">
        <is>
          <t>scale with reactor-inlet gas flow^0.60</t>
        </is>
      </c>
    </row>
    <row r="10">
      <c r="A10" t="inlineStr">
        <is>
          <t>Furnace &amp; blower</t>
        </is>
      </c>
      <c r="B10" s="6" t="n">
        <v>37</v>
      </c>
      <c r="C10" s="11">
        <f>Controls!$B$23*B10/SUM($B$5:$B$15)</f>
        <v/>
      </c>
      <c r="D10" s="7" t="inlineStr">
        <is>
          <t>scale with purge gas flow^0.60</t>
        </is>
      </c>
    </row>
    <row r="11">
      <c r="A11" t="inlineStr">
        <is>
          <t>Distillation column</t>
        </is>
      </c>
      <c r="B11" s="6" t="n">
        <v>27</v>
      </c>
      <c r="C11" s="11">
        <f>Controls!$B$23*B11/SUM($B$5:$B$15)</f>
        <v/>
      </c>
      <c r="D11" s="7" t="inlineStr">
        <is>
          <t>scale with crude MeOH+H2O flow^0.60</t>
        </is>
      </c>
    </row>
    <row r="12">
      <c r="A12" t="inlineStr">
        <is>
          <t>Turbine &amp; generator</t>
        </is>
      </c>
      <c r="B12" s="6" t="n">
        <v>25</v>
      </c>
      <c r="C12" s="11">
        <f>Controls!$B$23*B12/SUM($B$5:$B$15)</f>
        <v/>
      </c>
      <c r="D12" s="7" t="inlineStr">
        <is>
          <t>scale with purge gas flow^0.60</t>
        </is>
      </c>
    </row>
    <row r="13">
      <c r="A13" t="inlineStr">
        <is>
          <t>Recycle/reflux compressor</t>
        </is>
      </c>
      <c r="B13" s="6" t="n">
        <v>3</v>
      </c>
      <c r="C13" s="11">
        <f>Controls!$B$23*B13/SUM($B$5:$B$15)</f>
        <v/>
      </c>
      <c r="D13" s="7" t="inlineStr">
        <is>
          <t>scale with calculated recycle compression power^0.67</t>
        </is>
      </c>
    </row>
    <row r="14">
      <c r="A14" t="inlineStr">
        <is>
          <t>Flash drums</t>
        </is>
      </c>
      <c r="B14" s="6" t="n">
        <v>2</v>
      </c>
      <c r="C14" s="11">
        <f>Controls!$B$23*B14/SUM($B$5:$B$15)</f>
        <v/>
      </c>
      <c r="D14" s="7" t="inlineStr">
        <is>
          <t>scale with reactor-inlet gas flow^0.60</t>
        </is>
      </c>
    </row>
    <row r="15">
      <c r="A15" t="inlineStr">
        <is>
          <t>Pump</t>
        </is>
      </c>
      <c r="B15" s="6" t="n">
        <v>1</v>
      </c>
      <c r="C15" s="11">
        <f>Controls!$B$23*B15/SUM($B$5:$B$15)</f>
        <v/>
      </c>
      <c r="D15" s="7" t="inlineStr">
        <is>
          <t>scale with crude liquid flow^0.60</t>
        </is>
      </c>
    </row>
    <row r="17">
      <c r="A17" s="12" t="inlineStr">
        <is>
          <t>Total</t>
        </is>
      </c>
      <c r="C17" s="11">
        <f>SUM(C5:C15)</f>
        <v/>
      </c>
    </row>
  </sheetData>
  <mergeCells count="2">
    <mergeCell ref="A1:D1"/>
    <mergeCell ref="A2:D2"/>
  </mergeCell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J8"/>
  <sheetViews>
    <sheetView showGridLines="0" workbookViewId="0">
      <pane ySplit="4" topLeftCell="A5" activePane="bottomLeft" state="frozen"/>
      <selection pane="bottomLeft" activeCell="A1" sqref="A1"/>
    </sheetView>
  </sheetViews>
  <sheetFormatPr baseColWidth="8" defaultRowHeight="15"/>
  <cols>
    <col width="23" customWidth="1" min="1" max="1"/>
    <col width="10" customWidth="1" min="2" max="2"/>
    <col width="12" customWidth="1" min="3" max="3"/>
    <col width="16" customWidth="1" min="4" max="4"/>
    <col width="13" customWidth="1" min="5" max="5"/>
    <col width="16" customWidth="1" min="6" max="6"/>
    <col width="16" customWidth="1" min="7" max="7"/>
    <col width="16" customWidth="1" min="8" max="8"/>
    <col width="18" customWidth="1" min="9" max="9"/>
    <col width="70" customWidth="1" min="10" max="10"/>
  </cols>
  <sheetData>
    <row r="1" ht="26" customHeight="1">
      <c r="A1" s="1" t="inlineStr">
        <is>
          <t>Controlled Re/TiO2 catalyst inputs</t>
        </is>
      </c>
    </row>
    <row r="2" ht="34" customHeight="1">
      <c r="A2" s="2" t="inlineStr">
        <is>
          <t>500 C prereduction points from Table 3. CO is reported &lt;1%; central carbon closure assigns only the rounded residual after MeOH+CH4 to CO-like recoverable gas.</t>
        </is>
      </c>
    </row>
    <row r="4">
      <c r="A4" s="5" t="inlineStr">
        <is>
          <t>Candidate</t>
        </is>
      </c>
      <c r="B4" s="5" t="inlineStr">
        <is>
          <t>Re wt%</t>
        </is>
      </c>
      <c r="C4" s="5" t="inlineStr">
        <is>
          <t>T (C)</t>
        </is>
      </c>
      <c r="D4" s="5" t="inlineStr">
        <is>
          <t>STY gMeOH/gRe/h</t>
        </is>
      </c>
      <c r="E4" s="5" t="inlineStr">
        <is>
          <t>X_CO2</t>
        </is>
      </c>
      <c r="F4" s="5" t="inlineStr">
        <is>
          <t>S_MeOH</t>
        </is>
      </c>
      <c r="G4" s="5" t="inlineStr">
        <is>
          <t>S_CH4 central</t>
        </is>
      </c>
      <c r="H4" s="5" t="inlineStr">
        <is>
          <t>S_CO-like closure</t>
        </is>
      </c>
      <c r="I4" s="5" t="inlineStr">
        <is>
          <t>CH4 reported</t>
        </is>
      </c>
      <c r="J4" s="5" t="inlineStr">
        <is>
          <t>Source treatment</t>
        </is>
      </c>
    </row>
    <row r="5">
      <c r="A5" s="6" t="inlineStr">
        <is>
          <t>1 wt% Re | 200 C</t>
        </is>
      </c>
      <c r="B5" s="6" t="n">
        <v>1</v>
      </c>
      <c r="C5" s="6" t="n">
        <v>200</v>
      </c>
      <c r="D5" s="6" t="n">
        <v>55</v>
      </c>
      <c r="E5" s="8" t="n">
        <v>0.19</v>
      </c>
      <c r="F5" s="8" t="n">
        <v>0.99</v>
      </c>
      <c r="G5" s="8" t="n">
        <v>0</v>
      </c>
      <c r="H5" s="8" t="n">
        <v>0.01</v>
      </c>
      <c r="I5" s="6" t="inlineStr">
        <is>
          <t>&lt;1%</t>
        </is>
      </c>
      <c r="J5" s="13" t="inlineStr">
        <is>
          <t>All points: 100 bar, CO2/H2=1:4; same controlled study.</t>
        </is>
      </c>
    </row>
    <row r="6">
      <c r="A6" s="6" t="inlineStr">
        <is>
          <t>5 wt% Re | 200 C</t>
        </is>
      </c>
      <c r="B6" s="6" t="n">
        <v>5</v>
      </c>
      <c r="C6" s="6" t="n">
        <v>200</v>
      </c>
      <c r="D6" s="6" t="n">
        <v>18</v>
      </c>
      <c r="E6" s="8" t="n">
        <v>0.33</v>
      </c>
      <c r="F6" s="8" t="n">
        <v>0.97</v>
      </c>
      <c r="G6" s="8" t="n">
        <v>0.03</v>
      </c>
      <c r="H6" s="8" t="n">
        <v>0</v>
      </c>
      <c r="I6" s="6" t="inlineStr">
        <is>
          <t>3%</t>
        </is>
      </c>
      <c r="J6" s="13" t="inlineStr">
        <is>
          <t>All points: 100 bar, CO2/H2=1:4; same controlled study.</t>
        </is>
      </c>
    </row>
    <row r="7">
      <c r="A7" s="6" t="inlineStr">
        <is>
          <t>1 wt% Re | 250 C</t>
        </is>
      </c>
      <c r="B7" s="6" t="n">
        <v>1</v>
      </c>
      <c r="C7" s="6" t="n">
        <v>250</v>
      </c>
      <c r="D7" s="6" t="n">
        <v>65</v>
      </c>
      <c r="E7" s="8" t="n">
        <v>0.23</v>
      </c>
      <c r="F7" s="8" t="n">
        <v>0.97</v>
      </c>
      <c r="G7" s="8" t="n">
        <v>0.01</v>
      </c>
      <c r="H7" s="8" t="n">
        <v>0.02</v>
      </c>
      <c r="I7" s="6" t="inlineStr">
        <is>
          <t>1%</t>
        </is>
      </c>
      <c r="J7" s="13" t="inlineStr">
        <is>
          <t>All points: 100 bar, CO2/H2=1:4; same controlled study.</t>
        </is>
      </c>
    </row>
    <row r="8">
      <c r="A8" s="6" t="inlineStr">
        <is>
          <t>5 wt% Re | 250 C</t>
        </is>
      </c>
      <c r="B8" s="6" t="n">
        <v>5</v>
      </c>
      <c r="C8" s="6" t="n">
        <v>250</v>
      </c>
      <c r="D8" s="6" t="n">
        <v>16</v>
      </c>
      <c r="E8" s="8" t="n">
        <v>0.4</v>
      </c>
      <c r="F8" s="8" t="n">
        <v>0.74</v>
      </c>
      <c r="G8" s="8" t="n">
        <v>0.25</v>
      </c>
      <c r="H8" s="8" t="n">
        <v>0.01</v>
      </c>
      <c r="I8" s="6" t="inlineStr">
        <is>
          <t>25%</t>
        </is>
      </c>
      <c r="J8" s="13" t="inlineStr">
        <is>
          <t>All points: 100 bar, CO2/H2=1:4; same controlled study.</t>
        </is>
      </c>
    </row>
  </sheetData>
  <mergeCells count="2">
    <mergeCell ref="A1:J1"/>
    <mergeCell ref="A2:J2"/>
  </mergeCell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E15"/>
  <sheetViews>
    <sheetView showGridLines="0" workbookViewId="0">
      <pane ySplit="4" topLeftCell="A5" activePane="bottomLeft" state="frozen"/>
      <selection pane="bottomLeft" activeCell="A1" sqref="A1"/>
    </sheetView>
  </sheetViews>
  <sheetFormatPr baseColWidth="8" defaultRowHeight="15"/>
  <cols>
    <col width="35" customWidth="1" min="1" max="1"/>
    <col width="20" customWidth="1" min="2" max="2"/>
    <col width="20" customWidth="1" min="3" max="3"/>
    <col width="22" customWidth="1" min="4" max="4"/>
    <col width="70" customWidth="1" min="5" max="5"/>
  </cols>
  <sheetData>
    <row r="1" ht="26" customHeight="1">
      <c r="A1" s="1" t="inlineStr">
        <is>
          <t>One-step process benchmark reconstruction</t>
        </is>
      </c>
    </row>
    <row r="2" ht="34" customHeight="1">
      <c r="A2" s="2" t="inlineStr">
        <is>
          <t>The reduced species loop is calibrated only by a single recycle-flow correction so that the published 2% purge case exactly matches 54,290 kmol/h. Annual economics then reconstruct the published Table 7 NPC.</t>
        </is>
      </c>
    </row>
    <row r="4">
      <c r="A4" s="5" t="inlineStr">
        <is>
          <t>Metric</t>
        </is>
      </c>
      <c r="B4" s="5" t="inlineStr">
        <is>
          <t>Model / formula</t>
        </is>
      </c>
      <c r="C4" s="5" t="inlineStr">
        <is>
          <t>Published</t>
        </is>
      </c>
      <c r="D4" s="5" t="inlineStr">
        <is>
          <t>Error</t>
        </is>
      </c>
      <c r="E4" s="5" t="inlineStr">
        <is>
          <t>Notes</t>
        </is>
      </c>
    </row>
    <row r="5">
      <c r="A5" t="inlineStr">
        <is>
          <t>Raw reduced recycle flow</t>
        </is>
      </c>
      <c r="B5" s="11" t="n">
        <v>49403.55682922577</v>
      </c>
      <c r="C5" s="6" t="n"/>
      <c r="E5" s="7" t="inlineStr">
        <is>
          <t>Before source flow correction</t>
        </is>
      </c>
    </row>
    <row r="6">
      <c r="A6" t="inlineStr">
        <is>
          <t>Recycle-flow correction</t>
        </is>
      </c>
      <c r="B6" s="11" t="n">
        <v>1.098908732172165</v>
      </c>
      <c r="C6" s="6" t="n"/>
      <c r="E6" s="7" t="inlineStr">
        <is>
          <t>Published recycle / raw reduced balance</t>
        </is>
      </c>
    </row>
    <row r="7">
      <c r="A7" t="inlineStr">
        <is>
          <t>Corrected recycle flow</t>
        </is>
      </c>
      <c r="B7" s="11" t="n">
        <v>54290</v>
      </c>
      <c r="C7" s="6" t="n">
        <v>54290</v>
      </c>
      <c r="D7" s="14" t="n">
        <v>0</v>
      </c>
      <c r="E7" s="7" t="inlineStr">
        <is>
          <t>Calibration target</t>
        </is>
      </c>
    </row>
    <row r="8">
      <c r="A8" t="inlineStr">
        <is>
          <t>Source-reference non-H2/CO2 fraction</t>
        </is>
      </c>
      <c r="B8" s="11" t="n">
        <v>0.06862515529373837</v>
      </c>
      <c r="C8" s="6" t="n"/>
      <c r="E8" s="7" t="inlineStr">
        <is>
          <t>Model-derived at source 2% purge; used only as diagnostic reference envelope</t>
        </is>
      </c>
    </row>
    <row r="9">
      <c r="A9" t="inlineStr">
        <is>
          <t>Feed cost</t>
        </is>
      </c>
      <c r="B9" s="11" t="n">
        <v>679.3279782424754</v>
      </c>
      <c r="C9" s="6" t="n"/>
      <c r="E9" s="7" t="inlineStr">
        <is>
          <t>H2 + CO2 from explicit steady-state makeup</t>
        </is>
      </c>
    </row>
    <row r="10">
      <c r="A10" t="inlineStr">
        <is>
          <t>Compression electricity</t>
        </is>
      </c>
      <c r="B10" s="11" t="n">
        <v>17.93556521945485</v>
      </c>
      <c r="C10" s="6" t="n"/>
      <c r="E10" s="7" t="inlineStr">
        <is>
          <t>CO2 + H2 + recycle compression</t>
        </is>
      </c>
    </row>
    <row r="11">
      <c r="A11" t="inlineStr">
        <is>
          <t>Common direct OPEX residual</t>
        </is>
      </c>
      <c r="B11" s="11" t="n">
        <v>66.07428958416088</v>
      </c>
      <c r="C11" s="6" t="n"/>
      <c r="E11" s="7" t="inlineStr">
        <is>
          <t>Calibrated residual so annual direct OPEX equals published 874.9 M€/y</t>
        </is>
      </c>
    </row>
    <row r="12">
      <c r="A12" t="inlineStr">
        <is>
          <t>Rebuilt FCI</t>
        </is>
      </c>
      <c r="B12" s="11" t="n">
        <v>415.53</v>
      </c>
      <c r="C12" s="6" t="n">
        <v>415.9</v>
      </c>
      <c r="D12" s="14" t="n">
        <v>-0.0008896369319546515</v>
      </c>
      <c r="E12" s="7" t="inlineStr">
        <is>
          <t>Exact EC × Lang factor</t>
        </is>
      </c>
    </row>
    <row r="13">
      <c r="A13" t="inlineStr">
        <is>
          <t>Rebuilt ACC</t>
        </is>
      </c>
      <c r="B13" s="11" t="n">
        <v>53.42499788173594</v>
      </c>
      <c r="C13" s="6" t="n">
        <v>53.5</v>
      </c>
      <c r="D13" s="14" t="n">
        <v>-0.001401908752599268</v>
      </c>
      <c r="E13" s="7" t="inlineStr">
        <is>
          <t>Annuity method</t>
        </is>
      </c>
    </row>
    <row r="14">
      <c r="A14" t="inlineStr">
        <is>
          <t>Rebuilt annual NPC</t>
        </is>
      </c>
      <c r="B14" s="11" t="n">
        <v>1071.68336431304</v>
      </c>
      <c r="C14" s="6" t="n">
        <v>1071.8</v>
      </c>
      <c r="D14" s="14" t="n">
        <v>-0.000108822249449636</v>
      </c>
      <c r="E14" s="7" t="inlineStr">
        <is>
          <t>Eq. 24 + 28 solved algebraically</t>
        </is>
      </c>
    </row>
    <row r="15">
      <c r="A15" t="inlineStr">
        <is>
          <t>Rebuilt NPC per tonne</t>
        </is>
      </c>
      <c r="B15" s="11" t="n">
        <v>923.8649692353792</v>
      </c>
      <c r="C15" s="6" t="n">
        <v>920</v>
      </c>
      <c r="D15" s="14" t="n">
        <v>0.004201053516716513</v>
      </c>
      <c r="E15" s="7" t="inlineStr">
        <is>
          <t>Difference reflects rounded 145 t/h × 8000 h/y versus reported rounded €/t</t>
        </is>
      </c>
    </row>
  </sheetData>
  <mergeCells count="2">
    <mergeCell ref="A2:E2"/>
    <mergeCell ref="A1:E1"/>
  </mergeCells>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AK8"/>
  <sheetViews>
    <sheetView showGridLines="0" workbookViewId="0">
      <pane ySplit="4" topLeftCell="A5" activePane="bottomLeft" state="frozen"/>
      <selection pane="bottomLeft" activeCell="A1" sqref="A1"/>
    </sheetView>
  </sheetViews>
  <sheetFormatPr baseColWidth="8" defaultRowHeight="15"/>
  <cols>
    <col width="23"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16" customWidth="1" min="32" max="32"/>
    <col width="16" customWidth="1" min="33" max="33"/>
    <col width="16" customWidth="1" min="34" max="34"/>
    <col width="16" customWidth="1" min="35" max="35"/>
    <col width="16" customWidth="1" min="36" max="36"/>
    <col width="16" customWidth="1" min="37" max="37"/>
  </cols>
  <sheetData>
    <row r="1" ht="26" customHeight="1">
      <c r="A1" s="1" t="inlineStr">
        <is>
          <t>Explicit species loop and source-anchored economics | 2% purge</t>
        </is>
      </c>
    </row>
    <row r="2" ht="34" customHeight="1">
      <c r="A2" s="2" t="inlineStr">
        <is>
          <t>Every derived quantity below is an Excel formula. CH4, CO-like residual and N2 accumulate in the recycle gas and leave through purge. MeOH/H2O are removed in the condensation/distillation train.</t>
        </is>
      </c>
    </row>
    <row r="4">
      <c r="A4" s="5" t="inlineStr">
        <is>
          <t>Candidate</t>
        </is>
      </c>
      <c r="B4" s="5" t="inlineStr">
        <is>
          <t>X</t>
        </is>
      </c>
      <c r="C4" s="5" t="inlineStr">
        <is>
          <t>SMeOH</t>
        </is>
      </c>
      <c r="D4" s="5" t="inlineStr">
        <is>
          <t>SCH4</t>
        </is>
      </c>
      <c r="E4" s="5" t="inlineStr">
        <is>
          <t>SCO</t>
        </is>
      </c>
      <c r="F4" s="5" t="inlineStr">
        <is>
          <t>STY</t>
        </is>
      </c>
      <c r="G4" s="5" t="inlineStr">
        <is>
          <t>Re wt%</t>
        </is>
      </c>
      <c r="H4" s="5" t="inlineStr">
        <is>
          <t>CO2 in</t>
        </is>
      </c>
      <c r="I4" s="5" t="inlineStr">
        <is>
          <t>H2 in</t>
        </is>
      </c>
      <c r="J4" s="5" t="inlineStr">
        <is>
          <t>CH4 prod</t>
        </is>
      </c>
      <c r="K4" s="5" t="inlineStr">
        <is>
          <t>CO prod</t>
        </is>
      </c>
      <c r="L4" s="5" t="inlineStr">
        <is>
          <t>CO2 out</t>
        </is>
      </c>
      <c r="M4" s="5" t="inlineStr">
        <is>
          <t>H2 out</t>
        </is>
      </c>
      <c r="N4" s="5" t="inlineStr">
        <is>
          <t>fresh CO2</t>
        </is>
      </c>
      <c r="O4" s="5" t="inlineStr">
        <is>
          <t>fresh H2</t>
        </is>
      </c>
      <c r="P4" s="5" t="inlineStr">
        <is>
          <t>N2 inlet</t>
        </is>
      </c>
      <c r="Q4" s="5" t="inlineStr">
        <is>
          <t>CH4 inlet</t>
        </is>
      </c>
      <c r="R4" s="5" t="inlineStr">
        <is>
          <t>CO inlet</t>
        </is>
      </c>
      <c r="S4" s="5" t="inlineStr">
        <is>
          <t>recycle mol/mol</t>
        </is>
      </c>
      <c r="T4" s="5" t="inlineStr">
        <is>
          <t>recycle kmol/h</t>
        </is>
      </c>
      <c r="U4" s="5" t="inlineStr">
        <is>
          <t>non-H2/CO2 frac</t>
        </is>
      </c>
      <c r="V4" s="5" t="inlineStr">
        <is>
          <t>methane frac</t>
        </is>
      </c>
      <c r="W4" s="5" t="inlineStr">
        <is>
          <t>H2 feed €/t</t>
        </is>
      </c>
      <c r="X4" s="5" t="inlineStr">
        <is>
          <t>CO2 feed €/t</t>
        </is>
      </c>
      <c r="Y4" s="5" t="inlineStr">
        <is>
          <t>compression €/t</t>
        </is>
      </c>
      <c r="Z4" s="5" t="inlineStr">
        <is>
          <t>catalyst t</t>
        </is>
      </c>
      <c r="AA4" s="5" t="inlineStr">
        <is>
          <t>EC M€</t>
        </is>
      </c>
      <c r="AB4" s="5" t="inlineStr">
        <is>
          <t>sep/loop EC M€</t>
        </is>
      </c>
      <c r="AC4" s="5" t="inlineStr">
        <is>
          <t>FCI M€</t>
        </is>
      </c>
      <c r="AD4" s="5" t="inlineStr">
        <is>
          <t>ACC M€/y</t>
        </is>
      </c>
      <c r="AE4" s="5" t="inlineStr">
        <is>
          <t>direct M€/y</t>
        </is>
      </c>
      <c r="AF4" s="5" t="inlineStr">
        <is>
          <t>indirect M€/y</t>
        </is>
      </c>
      <c r="AG4" s="5" t="inlineStr">
        <is>
          <t>NPC M€/y</t>
        </is>
      </c>
      <c r="AH4" s="5" t="inlineStr">
        <is>
          <t>NPC €/t</t>
        </is>
      </c>
      <c r="AI4" s="5" t="inlineStr">
        <is>
          <t>crude liquid kmol/h</t>
        </is>
      </c>
      <c r="AJ4" s="5" t="inlineStr">
        <is>
          <t>reactor inlet kmol/h</t>
        </is>
      </c>
      <c r="AK4" s="5" t="inlineStr">
        <is>
          <t>rank within T</t>
        </is>
      </c>
    </row>
    <row r="5">
      <c r="A5" s="11">
        <f>Candidate_Inputs!A5</f>
        <v/>
      </c>
      <c r="B5" s="15">
        <f>Candidate_Inputs!E5</f>
        <v/>
      </c>
      <c r="C5" s="15">
        <f>Candidate_Inputs!F5</f>
        <v/>
      </c>
      <c r="D5" s="15">
        <f>Candidate_Inputs!G5</f>
        <v/>
      </c>
      <c r="E5" s="15">
        <f>Candidate_Inputs!H5</f>
        <v/>
      </c>
      <c r="F5" s="11">
        <f>Candidate_Inputs!D5</f>
        <v/>
      </c>
      <c r="G5" s="11">
        <f>Candidate_Inputs!B5</f>
        <v/>
      </c>
      <c r="H5" s="16">
        <f>1/(B5*C5)</f>
        <v/>
      </c>
      <c r="I5" s="16">
        <f>4*H5</f>
        <v/>
      </c>
      <c r="J5" s="16">
        <f>D5/C5</f>
        <v/>
      </c>
      <c r="K5" s="16">
        <f>E5/C5</f>
        <v/>
      </c>
      <c r="L5" s="16">
        <f>(1-B5)*H5</f>
        <v/>
      </c>
      <c r="M5" s="16">
        <f>I5-(3+4*J5+K5)</f>
        <v/>
      </c>
      <c r="N5" s="16">
        <f>H5-(1-Controls!$B$21)*L5</f>
        <v/>
      </c>
      <c r="O5" s="16">
        <f>I5-(1-Controls!$B$21)*M5</f>
        <v/>
      </c>
      <c r="P5" s="16">
        <f>O5*(1-Controls!$B$10)/Controls!$B$10/Controls!$B$21</f>
        <v/>
      </c>
      <c r="Q5" s="16">
        <f>(1-Controls!$B$21)/Controls!$B$21*J5</f>
        <v/>
      </c>
      <c r="R5" s="16">
        <f>(1-Controls!$B$21)/Controls!$B$21*K5</f>
        <v/>
      </c>
      <c r="S5" s="16">
        <f>(1-Controls!$B$21)*(L5+M5+(Q5+J5)+(R5+K5)+P5)</f>
        <v/>
      </c>
      <c r="T5" s="16">
        <f>S5*Reference_Benchmark!$B$6*Controls!$B$5*1000/32.04186</f>
        <v/>
      </c>
      <c r="U5" s="15">
        <f>(Q5+R5+P5)/(H5+I5+Q5+R5+P5)</f>
        <v/>
      </c>
      <c r="V5" s="15">
        <f>Q5/(H5+I5+Q5+R5+P5)</f>
        <v/>
      </c>
      <c r="W5" s="16">
        <f>O5*2.01588/32.04186*1000*Controls!$B$7/1000</f>
        <v/>
      </c>
      <c r="X5" s="16">
        <f>N5*44.0095/32.04186*1000*Controls!$B$8/1000</f>
        <v/>
      </c>
      <c r="Y5" s="17" t="n">
        <v>22.97099174636946</v>
      </c>
      <c r="Z5" s="17" t="n">
        <v>263.6363636363636</v>
      </c>
      <c r="AA5" s="17" t="n">
        <v>72.57955994033688</v>
      </c>
      <c r="AB5" s="17" t="n">
        <v>7.256182195342678</v>
      </c>
      <c r="AC5" s="17" t="n">
        <v>352.7366613100373</v>
      </c>
      <c r="AD5" s="17" t="n">
        <v>45.35161211777573</v>
      </c>
      <c r="AE5" s="17" t="n">
        <v>933.0548220638831</v>
      </c>
      <c r="AF5" s="17" t="n">
        <v>143.2715699825322</v>
      </c>
      <c r="AG5" s="17" t="n">
        <v>1121.678004164191</v>
      </c>
      <c r="AH5" s="16">
        <f>AG5*1000000/(Controls!$B$5*Controls!$B$6)</f>
        <v/>
      </c>
      <c r="AI5" s="16">
        <f>(1+(J5*2+K5))*Controls!$B$5*1000/32.04186</f>
        <v/>
      </c>
      <c r="AJ5" s="16">
        <f>(H5+I5+Q5+R5+P5)*Reference_Benchmark!$B$6*Controls!$B$5*1000/32.04186</f>
        <v/>
      </c>
      <c r="AK5" s="11">
        <f>IF(AH5&lt;AH6,1,2)</f>
        <v/>
      </c>
    </row>
    <row r="6">
      <c r="A6" s="11">
        <f>Candidate_Inputs!A6</f>
        <v/>
      </c>
      <c r="B6" s="15">
        <f>Candidate_Inputs!E6</f>
        <v/>
      </c>
      <c r="C6" s="15">
        <f>Candidate_Inputs!F6</f>
        <v/>
      </c>
      <c r="D6" s="15">
        <f>Candidate_Inputs!G6</f>
        <v/>
      </c>
      <c r="E6" s="15">
        <f>Candidate_Inputs!H6</f>
        <v/>
      </c>
      <c r="F6" s="11">
        <f>Candidate_Inputs!D6</f>
        <v/>
      </c>
      <c r="G6" s="11">
        <f>Candidate_Inputs!B6</f>
        <v/>
      </c>
      <c r="H6" s="16">
        <f>1/(B6*C6)</f>
        <v/>
      </c>
      <c r="I6" s="16">
        <f>4*H6</f>
        <v/>
      </c>
      <c r="J6" s="16">
        <f>D6/C6</f>
        <v/>
      </c>
      <c r="K6" s="16">
        <f>E6/C6</f>
        <v/>
      </c>
      <c r="L6" s="16">
        <f>(1-B6)*H6</f>
        <v/>
      </c>
      <c r="M6" s="16">
        <f>I6-(3+4*J6+K6)</f>
        <v/>
      </c>
      <c r="N6" s="16">
        <f>H6-(1-Controls!$B$21)*L6</f>
        <v/>
      </c>
      <c r="O6" s="16">
        <f>I6-(1-Controls!$B$21)*M6</f>
        <v/>
      </c>
      <c r="P6" s="16">
        <f>O6*(1-Controls!$B$10)/Controls!$B$10/Controls!$B$21</f>
        <v/>
      </c>
      <c r="Q6" s="16">
        <f>(1-Controls!$B$21)/Controls!$B$21*J6</f>
        <v/>
      </c>
      <c r="R6" s="16">
        <f>(1-Controls!$B$21)/Controls!$B$21*K6</f>
        <v/>
      </c>
      <c r="S6" s="16">
        <f>(1-Controls!$B$21)*(L6+M6+(Q6+J6)+(R6+K6)+P6)</f>
        <v/>
      </c>
      <c r="T6" s="16">
        <f>S6*Reference_Benchmark!$B$6*Controls!$B$5*1000/32.04186</f>
        <v/>
      </c>
      <c r="U6" s="15">
        <f>(Q6+R6+P6)/(H6+I6+Q6+R6+P6)</f>
        <v/>
      </c>
      <c r="V6" s="15">
        <f>Q6/(H6+I6+Q6+R6+P6)</f>
        <v/>
      </c>
      <c r="W6" s="16">
        <f>O6*2.01588/32.04186*1000*Controls!$B$7/1000</f>
        <v/>
      </c>
      <c r="X6" s="16">
        <f>N6*44.0095/32.04186*1000*Controls!$B$8/1000</f>
        <v/>
      </c>
      <c r="Y6" s="17" t="n">
        <v>22.12734197110911</v>
      </c>
      <c r="Z6" s="17" t="n">
        <v>161.1111111111111</v>
      </c>
      <c r="AA6" s="17" t="n">
        <v>65.12537480354979</v>
      </c>
      <c r="AB6" s="17" t="n">
        <v>6.279200213092311</v>
      </c>
      <c r="AC6" s="17" t="n">
        <v>316.509321545252</v>
      </c>
      <c r="AD6" s="17" t="n">
        <v>40.69383638511002</v>
      </c>
      <c r="AE6" s="17" t="n">
        <v>915.9446190856722</v>
      </c>
      <c r="AF6" s="17" t="n">
        <v>137.5924451024928</v>
      </c>
      <c r="AG6" s="17" t="n">
        <v>1094.230900573275</v>
      </c>
      <c r="AH6" s="16">
        <f>AG6*1000000/(Controls!$B$5*Controls!$B$6)</f>
        <v/>
      </c>
      <c r="AI6" s="16">
        <f>(1+(J6*2+K6))*Controls!$B$5*1000/32.04186</f>
        <v/>
      </c>
      <c r="AJ6" s="16">
        <f>(H6+I6+Q6+R6+P6)*Reference_Benchmark!$B$6*Controls!$B$5*1000/32.04186</f>
        <v/>
      </c>
      <c r="AK6" s="11">
        <f>IF(AH6&lt;AH5,1,2)</f>
        <v/>
      </c>
    </row>
    <row r="7">
      <c r="A7" s="11">
        <f>Candidate_Inputs!A7</f>
        <v/>
      </c>
      <c r="B7" s="15">
        <f>Candidate_Inputs!E7</f>
        <v/>
      </c>
      <c r="C7" s="15">
        <f>Candidate_Inputs!F7</f>
        <v/>
      </c>
      <c r="D7" s="15">
        <f>Candidate_Inputs!G7</f>
        <v/>
      </c>
      <c r="E7" s="15">
        <f>Candidate_Inputs!H7</f>
        <v/>
      </c>
      <c r="F7" s="11">
        <f>Candidate_Inputs!D7</f>
        <v/>
      </c>
      <c r="G7" s="11">
        <f>Candidate_Inputs!B7</f>
        <v/>
      </c>
      <c r="H7" s="16">
        <f>1/(B7*C7)</f>
        <v/>
      </c>
      <c r="I7" s="16">
        <f>4*H7</f>
        <v/>
      </c>
      <c r="J7" s="16">
        <f>D7/C7</f>
        <v/>
      </c>
      <c r="K7" s="16">
        <f>E7/C7</f>
        <v/>
      </c>
      <c r="L7" s="16">
        <f>(1-B7)*H7</f>
        <v/>
      </c>
      <c r="M7" s="16">
        <f>I7-(3+4*J7+K7)</f>
        <v/>
      </c>
      <c r="N7" s="16">
        <f>H7-(1-Controls!$B$21)*L7</f>
        <v/>
      </c>
      <c r="O7" s="16">
        <f>I7-(1-Controls!$B$21)*M7</f>
        <v/>
      </c>
      <c r="P7" s="16">
        <f>O7*(1-Controls!$B$10)/Controls!$B$10/Controls!$B$21</f>
        <v/>
      </c>
      <c r="Q7" s="16">
        <f>(1-Controls!$B$21)/Controls!$B$21*J7</f>
        <v/>
      </c>
      <c r="R7" s="16">
        <f>(1-Controls!$B$21)/Controls!$B$21*K7</f>
        <v/>
      </c>
      <c r="S7" s="16">
        <f>(1-Controls!$B$21)*(L7+M7+(Q7+J7)+(R7+K7)+P7)</f>
        <v/>
      </c>
      <c r="T7" s="16">
        <f>S7*Reference_Benchmark!$B$6*Controls!$B$5*1000/32.04186</f>
        <v/>
      </c>
      <c r="U7" s="15">
        <f>(Q7+R7+P7)/(H7+I7+Q7+R7+P7)</f>
        <v/>
      </c>
      <c r="V7" s="15">
        <f>Q7/(H7+I7+Q7+R7+P7)</f>
        <v/>
      </c>
      <c r="W7" s="16">
        <f>O7*2.01588/32.04186*1000*Controls!$B$7/1000</f>
        <v/>
      </c>
      <c r="X7" s="16">
        <f>N7*44.0095/32.04186*1000*Controls!$B$8/1000</f>
        <v/>
      </c>
      <c r="Y7" s="17" t="n">
        <v>22.83980176446564</v>
      </c>
      <c r="Z7" s="17" t="n">
        <v>223.0769230769231</v>
      </c>
      <c r="AA7" s="17" t="n">
        <v>70.43132361609202</v>
      </c>
      <c r="AB7" s="17" t="n">
        <v>6.978424481489204</v>
      </c>
      <c r="AC7" s="17" t="n">
        <v>342.2962327742072</v>
      </c>
      <c r="AD7" s="17" t="n">
        <v>44.00927853798333</v>
      </c>
      <c r="AE7" s="17" t="n">
        <v>929.5485415364096</v>
      </c>
      <c r="AF7" s="17" t="n">
        <v>141.7931965135001</v>
      </c>
      <c r="AG7" s="17" t="n">
        <v>1115.351016587893</v>
      </c>
      <c r="AH7" s="16">
        <f>AG7*1000000/(Controls!$B$5*Controls!$B$6)</f>
        <v/>
      </c>
      <c r="AI7" s="16">
        <f>(1+(J7*2+K7))*Controls!$B$5*1000/32.04186</f>
        <v/>
      </c>
      <c r="AJ7" s="16">
        <f>(H7+I7+Q7+R7+P7)*Reference_Benchmark!$B$6*Controls!$B$5*1000/32.04186</f>
        <v/>
      </c>
      <c r="AK7" s="11">
        <f>IF(AH7&lt;AH8,1,2)</f>
        <v/>
      </c>
    </row>
    <row r="8">
      <c r="A8" s="11">
        <f>Candidate_Inputs!A8</f>
        <v/>
      </c>
      <c r="B8" s="15">
        <f>Candidate_Inputs!E8</f>
        <v/>
      </c>
      <c r="C8" s="15">
        <f>Candidate_Inputs!F8</f>
        <v/>
      </c>
      <c r="D8" s="15">
        <f>Candidate_Inputs!G8</f>
        <v/>
      </c>
      <c r="E8" s="15">
        <f>Candidate_Inputs!H8</f>
        <v/>
      </c>
      <c r="F8" s="11">
        <f>Candidate_Inputs!D8</f>
        <v/>
      </c>
      <c r="G8" s="11">
        <f>Candidate_Inputs!B8</f>
        <v/>
      </c>
      <c r="H8" s="16">
        <f>1/(B8*C8)</f>
        <v/>
      </c>
      <c r="I8" s="16">
        <f>4*H8</f>
        <v/>
      </c>
      <c r="J8" s="16">
        <f>D8/C8</f>
        <v/>
      </c>
      <c r="K8" s="16">
        <f>E8/C8</f>
        <v/>
      </c>
      <c r="L8" s="16">
        <f>(1-B8)*H8</f>
        <v/>
      </c>
      <c r="M8" s="16">
        <f>I8-(3+4*J8+K8)</f>
        <v/>
      </c>
      <c r="N8" s="16">
        <f>H8-(1-Controls!$B$21)*L8</f>
        <v/>
      </c>
      <c r="O8" s="16">
        <f>I8-(1-Controls!$B$21)*M8</f>
        <v/>
      </c>
      <c r="P8" s="16">
        <f>O8*(1-Controls!$B$10)/Controls!$B$10/Controls!$B$21</f>
        <v/>
      </c>
      <c r="Q8" s="16">
        <f>(1-Controls!$B$21)/Controls!$B$21*J8</f>
        <v/>
      </c>
      <c r="R8" s="16">
        <f>(1-Controls!$B$21)/Controls!$B$21*K8</f>
        <v/>
      </c>
      <c r="S8" s="16">
        <f>(1-Controls!$B$21)*(L8+M8+(Q8+J8)+(R8+K8)+P8)</f>
        <v/>
      </c>
      <c r="T8" s="16">
        <f>S8*Reference_Benchmark!$B$6*Controls!$B$5*1000/32.04186</f>
        <v/>
      </c>
      <c r="U8" s="15">
        <f>(Q8+R8+P8)/(H8+I8+Q8+R8+P8)</f>
        <v/>
      </c>
      <c r="V8" s="15">
        <f>Q8/(H8+I8+Q8+R8+P8)</f>
        <v/>
      </c>
      <c r="W8" s="16">
        <f>O8*2.01588/32.04186*1000*Controls!$B$7/1000</f>
        <v/>
      </c>
      <c r="X8" s="16">
        <f>N8*44.0095/32.04186*1000*Controls!$B$8/1000</f>
        <v/>
      </c>
      <c r="Y8" s="17" t="n">
        <v>29.91123756460015</v>
      </c>
      <c r="Z8" s="17" t="n">
        <v>181.25</v>
      </c>
      <c r="AA8" s="17" t="n">
        <v>82.42523579742222</v>
      </c>
      <c r="AB8" s="17" t="n">
        <v>8.471367802974967</v>
      </c>
      <c r="AC8" s="17" t="n">
        <v>400.586645975472</v>
      </c>
      <c r="AD8" s="17" t="n">
        <v>51.50371985823237</v>
      </c>
      <c r="AE8" s="17" t="n">
        <v>1227.046409007402</v>
      </c>
      <c r="AF8" s="17" t="n">
        <v>180.9273680117515</v>
      </c>
      <c r="AG8" s="17" t="n">
        <v>1459.477496877385</v>
      </c>
      <c r="AH8" s="16">
        <f>AG8*1000000/(Controls!$B$5*Controls!$B$6)</f>
        <v/>
      </c>
      <c r="AI8" s="16">
        <f>(1+(J8*2+K8))*Controls!$B$5*1000/32.04186</f>
        <v/>
      </c>
      <c r="AJ8" s="16">
        <f>(H8+I8+Q8+R8+P8)*Reference_Benchmark!$B$6*Controls!$B$5*1000/32.04186</f>
        <v/>
      </c>
      <c r="AK8" s="11">
        <f>IF(AH8&lt;AH7,1,2)</f>
        <v/>
      </c>
    </row>
  </sheetData>
  <mergeCells count="2">
    <mergeCell ref="A1:AK1"/>
    <mergeCell ref="A2:AK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6"/>
  <sheetViews>
    <sheetView showGridLines="0" workbookViewId="0">
      <pane ySplit="4" topLeftCell="A5" activePane="bottomLeft" state="frozen"/>
      <selection pane="bottomLeft" activeCell="A1" sqref="A1"/>
    </sheetView>
  </sheetViews>
  <sheetFormatPr baseColWidth="8" defaultRowHeight="15"/>
  <cols>
    <col width="32" customWidth="1" min="1" max="1"/>
    <col width="18" customWidth="1" min="2" max="2"/>
    <col width="18" customWidth="1" min="3" max="3"/>
    <col width="18" customWidth="1" min="4" max="4"/>
    <col width="18" customWidth="1" min="5" max="5"/>
    <col width="72" customWidth="1" min="6" max="6"/>
  </cols>
  <sheetData>
    <row r="1" ht="26" customHeight="1">
      <c r="A1" s="1" t="inlineStr">
        <is>
          <t>Explicit equipment-cost response to catalyst performance</t>
        </is>
      </c>
    </row>
    <row r="2" ht="34" customHeight="1">
      <c r="A2" s="2" t="inlineStr">
        <is>
          <t>Central 2% purge. EC values are calculated from physical capacity ratios and the Figure 11(a) normalized source split. Re catalyst purchase cost is not included.</t>
        </is>
      </c>
    </row>
    <row r="4">
      <c r="A4" s="5" t="inlineStr">
        <is>
          <t>Equipment</t>
        </is>
      </c>
      <c r="B4" s="5" t="inlineStr">
        <is>
          <t>1% Re 200C</t>
        </is>
      </c>
      <c r="C4" s="5" t="inlineStr">
        <is>
          <t>5% Re 200C</t>
        </is>
      </c>
      <c r="D4" s="5" t="inlineStr">
        <is>
          <t>1% Re 250C</t>
        </is>
      </c>
      <c r="E4" s="5" t="inlineStr">
        <is>
          <t>5% Re 250C</t>
        </is>
      </c>
      <c r="F4" s="5" t="inlineStr">
        <is>
          <t>Scaling driver</t>
        </is>
      </c>
    </row>
    <row r="5">
      <c r="A5" t="inlineStr">
        <is>
          <t>Reactor modules</t>
        </is>
      </c>
      <c r="B5" s="6" t="n">
        <v>7.789292523211859</v>
      </c>
      <c r="C5" s="6" t="n">
        <v>5.796557147888221</v>
      </c>
      <c r="D5" s="6" t="n">
        <v>7.046405202132989</v>
      </c>
      <c r="E5" s="6" t="n">
        <v>6.22102054161578</v>
      </c>
      <c r="F5" s="7" t="inlineStr">
        <is>
          <t>catalyst mass from plant production / STY / Re wt%</t>
        </is>
      </c>
    </row>
    <row r="6">
      <c r="A6" t="inlineStr">
        <is>
          <t>Carbon dioxide compressor</t>
        </is>
      </c>
      <c r="B6" s="6" t="n">
        <v>29.66271280077182</v>
      </c>
      <c r="C6" s="6" t="n">
        <v>29.23632292939994</v>
      </c>
      <c r="D6" s="6" t="n">
        <v>29.73029366904797</v>
      </c>
      <c r="E6" s="6" t="n">
        <v>34.80916819060825</v>
      </c>
      <c r="F6" s="7" t="inlineStr">
        <is>
          <t>fresh CO2 compression power</t>
        </is>
      </c>
    </row>
    <row r="7">
      <c r="A7" t="inlineStr">
        <is>
          <t>Hydrogen compressor</t>
        </is>
      </c>
      <c r="B7" s="6" t="n">
        <v>13.26297522197243</v>
      </c>
      <c r="C7" s="6" t="n">
        <v>13.09382423258097</v>
      </c>
      <c r="D7" s="6" t="n">
        <v>13.22081095620966</v>
      </c>
      <c r="E7" s="6" t="n">
        <v>16.19605384721543</v>
      </c>
      <c r="F7" s="7" t="inlineStr">
        <is>
          <t>fresh H2 compression power</t>
        </is>
      </c>
    </row>
    <row r="8">
      <c r="A8" t="inlineStr">
        <is>
          <t>Reactor preheaters</t>
        </is>
      </c>
      <c r="B8" s="6" t="n">
        <v>4.155154011219842</v>
      </c>
      <c r="C8" s="6" t="n">
        <v>3.189246156107668</v>
      </c>
      <c r="D8" s="6" t="n">
        <v>3.866879844038782</v>
      </c>
      <c r="E8" s="6" t="n">
        <v>4.778551030436282</v>
      </c>
      <c r="F8" s="7" t="inlineStr">
        <is>
          <t>reactor inlet gas circulation</t>
        </is>
      </c>
    </row>
    <row r="9">
      <c r="A9" t="inlineStr">
        <is>
          <t>Heat exchangers</t>
        </is>
      </c>
      <c r="B9" s="6" t="n">
        <v>3.539575639187273</v>
      </c>
      <c r="C9" s="6" t="n">
        <v>2.716765244091717</v>
      </c>
      <c r="D9" s="6" t="n">
        <v>3.294008756033037</v>
      </c>
      <c r="E9" s="6" t="n">
        <v>4.070617544445722</v>
      </c>
      <c r="F9" s="7" t="inlineStr">
        <is>
          <t>reactor inlet gas circulation</t>
        </is>
      </c>
    </row>
    <row r="10">
      <c r="A10" t="inlineStr">
        <is>
          <t>Furnace &amp; blower</t>
        </is>
      </c>
      <c r="B10" s="6" t="n">
        <v>6.238225773375409</v>
      </c>
      <c r="C10" s="6" t="n">
        <v>4.493843429125565</v>
      </c>
      <c r="D10" s="6" t="n">
        <v>5.7221750022164</v>
      </c>
      <c r="E10" s="6" t="n">
        <v>7.130899229502347</v>
      </c>
      <c r="F10" s="7" t="inlineStr">
        <is>
          <t>purge flow</t>
        </is>
      </c>
    </row>
    <row r="11">
      <c r="A11" t="inlineStr">
        <is>
          <t>Distillation column</t>
        </is>
      </c>
      <c r="B11" s="6" t="n">
        <v>2.882798902999962</v>
      </c>
      <c r="C11" s="6" t="n">
        <v>2.927106848860658</v>
      </c>
      <c r="D11" s="6" t="n">
        <v>2.909508917577079</v>
      </c>
      <c r="E11" s="6" t="n">
        <v>3.432862693793127</v>
      </c>
      <c r="F11" s="7" t="inlineStr">
        <is>
          <t>crude MeOH + H2O liquid load</t>
        </is>
      </c>
    </row>
    <row r="12">
      <c r="A12" t="inlineStr">
        <is>
          <t>Turbine &amp; generator</t>
        </is>
      </c>
      <c r="B12" s="6" t="n">
        <v>4.215017414442844</v>
      </c>
      <c r="C12" s="6" t="n">
        <v>3.036380695355112</v>
      </c>
      <c r="D12" s="6" t="n">
        <v>3.866334460957027</v>
      </c>
      <c r="E12" s="6" t="n">
        <v>4.818175155069154</v>
      </c>
      <c r="F12" s="7" t="inlineStr">
        <is>
          <t>purge flow</t>
        </is>
      </c>
    </row>
    <row r="13">
      <c r="A13" t="inlineStr">
        <is>
          <t>Recycle/reflux compressor</t>
        </is>
      </c>
      <c r="B13" s="6" t="n">
        <v>0.4192481373984184</v>
      </c>
      <c r="C13" s="6" t="n">
        <v>0.2906762993593441</v>
      </c>
      <c r="D13" s="6" t="n">
        <v>0.3807116743363237</v>
      </c>
      <c r="E13" s="6" t="n">
        <v>0.486777759007759</v>
      </c>
      <c r="F13" s="7" t="inlineStr">
        <is>
          <t>recycle flow and loop pressure rise</t>
        </is>
      </c>
    </row>
    <row r="14">
      <c r="A14" t="inlineStr">
        <is>
          <t>Flash drums</t>
        </is>
      </c>
      <c r="B14" s="6" t="n">
        <v>0.3077891860162846</v>
      </c>
      <c r="C14" s="6" t="n">
        <v>0.2362404560079754</v>
      </c>
      <c r="D14" s="6" t="n">
        <v>0.2864355440028727</v>
      </c>
      <c r="E14" s="6" t="n">
        <v>0.3539667429952802</v>
      </c>
      <c r="F14" s="7" t="inlineStr">
        <is>
          <t>reactor outlet/separator gas handling</t>
        </is>
      </c>
    </row>
    <row r="15">
      <c r="A15" t="inlineStr">
        <is>
          <t>Pump</t>
        </is>
      </c>
      <c r="B15" s="6" t="n">
        <v>0.1067703297407393</v>
      </c>
      <c r="C15" s="6" t="n">
        <v>0.108411364772617</v>
      </c>
      <c r="D15" s="6" t="n">
        <v>0.1077595895398918</v>
      </c>
      <c r="E15" s="6" t="n">
        <v>0.1271430627330788</v>
      </c>
      <c r="F15" s="7" t="inlineStr">
        <is>
          <t>crude liquid load</t>
        </is>
      </c>
    </row>
    <row r="16">
      <c r="A16" s="12" t="inlineStr">
        <is>
          <t>Total EC</t>
        </is>
      </c>
      <c r="B16" s="11">
        <f>SUM(B5:B15)</f>
        <v/>
      </c>
      <c r="C16" s="11">
        <f>SUM(C5:C15)</f>
        <v/>
      </c>
      <c r="D16" s="11">
        <f>SUM(D5:D15)</f>
        <v/>
      </c>
      <c r="E16" s="11">
        <f>SUM(E5:E15)</f>
        <v/>
      </c>
    </row>
  </sheetData>
  <mergeCells count="2">
    <mergeCell ref="A2:F2"/>
    <mergeCell ref="A1:F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588"/>
  <sheetViews>
    <sheetView showGridLines="0" workbookViewId="0">
      <pane ySplit="4" topLeftCell="A5" activePane="bottomLeft" state="frozen"/>
      <selection pane="bottomLeft" activeCell="A1" sqref="A1"/>
    </sheetView>
  </sheetViews>
  <sheetFormatPr baseColWidth="8" defaultRowHeight="15"/>
  <cols>
    <col width="23" customWidth="1" min="1" max="1"/>
    <col width="11" customWidth="1" min="2" max="2"/>
    <col width="18" customWidth="1" min="3" max="3"/>
    <col width="18" customWidth="1" min="4" max="4"/>
    <col width="18" customWidth="1" min="5" max="5"/>
    <col width="18" customWidth="1" min="6" max="6"/>
    <col width="18" customWidth="1" min="7" max="7"/>
    <col width="18" customWidth="1" min="8" max="8"/>
    <col width="18" customWidth="1" min="9" max="9"/>
  </cols>
  <sheetData>
    <row r="1" ht="26" customHeight="1">
      <c r="A1" s="1" t="inlineStr">
        <is>
          <t>Explicit purge sensitivity</t>
        </is>
      </c>
    </row>
    <row r="2" ht="34" customHeight="1">
      <c r="A2" s="2" t="inlineStr">
        <is>
          <t>No k_loop proxy: every purge point re-solves the species balance and recalculates feed, compression, equipment scaling and NPC. Source reference 2% is the central comparison.</t>
        </is>
      </c>
    </row>
    <row r="4">
      <c r="A4" s="5" t="inlineStr">
        <is>
          <t>Candidate</t>
        </is>
      </c>
      <c r="B4" s="5" t="inlineStr">
        <is>
          <t>Purge</t>
        </is>
      </c>
      <c r="C4" s="5" t="inlineStr">
        <is>
          <t>NPC €/t</t>
        </is>
      </c>
      <c r="D4" s="5" t="inlineStr">
        <is>
          <t>Recycle kmol/h</t>
        </is>
      </c>
      <c r="E4" s="5" t="inlineStr">
        <is>
          <t>Non-H2/CO2 fraction</t>
        </is>
      </c>
      <c r="F4" s="5" t="inlineStr">
        <is>
          <t>Methane fraction</t>
        </is>
      </c>
      <c r="G4" s="5" t="inlineStr">
        <is>
          <t>H2 feed €/t</t>
        </is>
      </c>
      <c r="H4" s="5" t="inlineStr">
        <is>
          <t>Compression €/t</t>
        </is>
      </c>
      <c r="I4" s="5" t="inlineStr">
        <is>
          <t>EC M€</t>
        </is>
      </c>
    </row>
    <row r="5">
      <c r="A5" s="6" t="inlineStr">
        <is>
          <t>1 wt% Re | 200 C</t>
        </is>
      </c>
      <c r="B5" s="8" t="n">
        <v>0.005</v>
      </c>
      <c r="C5" s="6" t="n">
        <v>895.2548685298909</v>
      </c>
      <c r="D5" s="6" t="n">
        <v>137054.1827183045</v>
      </c>
      <c r="E5" s="8" t="n">
        <v>0.1616927807088575</v>
      </c>
      <c r="F5" s="8" t="n">
        <v>0</v>
      </c>
      <c r="G5" s="6" t="n">
        <v>604.3643010153096</v>
      </c>
      <c r="H5" s="6" t="n">
        <v>21.62033983896469</v>
      </c>
      <c r="I5" s="6" t="n">
        <v>65.86405147721824</v>
      </c>
    </row>
    <row r="6">
      <c r="A6" s="6" t="inlineStr">
        <is>
          <t>1 wt% Re | 200 C</t>
        </is>
      </c>
      <c r="B6" s="8" t="n">
        <v>0.006</v>
      </c>
      <c r="C6" s="6" t="n">
        <v>900.0151452293794</v>
      </c>
      <c r="D6" s="6" t="n">
        <v>132759.7735684256</v>
      </c>
      <c r="E6" s="8" t="n">
        <v>0.1388554728590758</v>
      </c>
      <c r="F6" s="8" t="n">
        <v>0</v>
      </c>
      <c r="G6" s="6" t="n">
        <v>607.921682598538</v>
      </c>
      <c r="H6" s="6" t="n">
        <v>21.68674714389388</v>
      </c>
      <c r="I6" s="6" t="n">
        <v>66.31784465862322</v>
      </c>
    </row>
    <row r="7">
      <c r="A7" s="6" t="inlineStr">
        <is>
          <t>1 wt% Re | 200 C</t>
        </is>
      </c>
      <c r="B7" s="8" t="n">
        <v>0.007</v>
      </c>
      <c r="C7" s="6" t="n">
        <v>904.8008439256245</v>
      </c>
      <c r="D7" s="6" t="n">
        <v>129660.1520738139</v>
      </c>
      <c r="E7" s="8" t="n">
        <v>0.1217661908581246</v>
      </c>
      <c r="F7" s="8" t="n">
        <v>0</v>
      </c>
      <c r="G7" s="6" t="n">
        <v>611.4790641817666</v>
      </c>
      <c r="H7" s="6" t="n">
        <v>21.76280185925752</v>
      </c>
      <c r="I7" s="6" t="n">
        <v>66.78670839564137</v>
      </c>
    </row>
    <row r="8">
      <c r="A8" s="6" t="inlineStr">
        <is>
          <t>1 wt% Re | 200 C</t>
        </is>
      </c>
      <c r="B8" s="8" t="n">
        <v>0.008</v>
      </c>
      <c r="C8" s="6" t="n">
        <v>909.5974480416301</v>
      </c>
      <c r="D8" s="6" t="n">
        <v>127307.2728637442</v>
      </c>
      <c r="E8" s="8" t="n">
        <v>0.1084973907196998</v>
      </c>
      <c r="F8" s="8" t="n">
        <v>0</v>
      </c>
      <c r="G8" s="6" t="n">
        <v>615.0364457649944</v>
      </c>
      <c r="H8" s="6" t="n">
        <v>21.84488620614272</v>
      </c>
      <c r="I8" s="6" t="n">
        <v>67.2598832041125</v>
      </c>
    </row>
    <row r="9">
      <c r="A9" s="6" t="inlineStr">
        <is>
          <t>1 wt% Re | 200 C</t>
        </is>
      </c>
      <c r="B9" s="8" t="n">
        <v>0.008999999999999999</v>
      </c>
      <c r="C9" s="6" t="n">
        <v>914.3975737453773</v>
      </c>
      <c r="D9" s="6" t="n">
        <v>125452.2218433692</v>
      </c>
      <c r="E9" s="8" t="n">
        <v>0.09789672127314571</v>
      </c>
      <c r="F9" s="8" t="n">
        <v>0</v>
      </c>
      <c r="G9" s="6" t="n">
        <v>618.5938273482228</v>
      </c>
      <c r="H9" s="6" t="n">
        <v>21.93099030737562</v>
      </c>
      <c r="I9" s="6" t="n">
        <v>67.73208956476816</v>
      </c>
    </row>
    <row r="10">
      <c r="A10" s="6" t="inlineStr">
        <is>
          <t>1 wt% Re | 200 C</t>
        </is>
      </c>
      <c r="B10" s="8" t="n">
        <v>0.01</v>
      </c>
      <c r="C10" s="6" t="n">
        <v>919.1972657970623</v>
      </c>
      <c r="D10" s="6" t="n">
        <v>123945.6505557804</v>
      </c>
      <c r="E10" s="8" t="n">
        <v>0.08923293000539963</v>
      </c>
      <c r="F10" s="8" t="n">
        <v>0</v>
      </c>
      <c r="G10" s="6" t="n">
        <v>622.1512089314513</v>
      </c>
      <c r="H10" s="6" t="n">
        <v>22.01990823665192</v>
      </c>
      <c r="I10" s="6" t="n">
        <v>68.20064671284597</v>
      </c>
    </row>
    <row r="11">
      <c r="A11" s="6" t="inlineStr">
        <is>
          <t>1 wt% Re | 200 C</t>
        </is>
      </c>
      <c r="B11" s="8" t="n">
        <v>0.011</v>
      </c>
      <c r="C11" s="6" t="n">
        <v>923.9943470767195</v>
      </c>
      <c r="D11" s="6" t="n">
        <v>122692.5190738544</v>
      </c>
      <c r="E11" s="8" t="n">
        <v>0.08201961421725416</v>
      </c>
      <c r="F11" s="8" t="n">
        <v>0</v>
      </c>
      <c r="G11" s="6" t="n">
        <v>625.7085905146797</v>
      </c>
      <c r="H11" s="6" t="n">
        <v>22.11087258632341</v>
      </c>
      <c r="I11" s="6" t="n">
        <v>68.66419706202387</v>
      </c>
    </row>
    <row r="12">
      <c r="A12" s="6" t="inlineStr">
        <is>
          <t>1 wt% Re | 200 C</t>
        </is>
      </c>
      <c r="B12" s="8" t="n">
        <v>0.012</v>
      </c>
      <c r="C12" s="6" t="n">
        <v>928.7876155201761</v>
      </c>
      <c r="D12" s="6" t="n">
        <v>121629.4674461754</v>
      </c>
      <c r="E12" s="8" t="n">
        <v>0.07592065622573617</v>
      </c>
      <c r="F12" s="8" t="n">
        <v>0</v>
      </c>
      <c r="G12" s="6" t="n">
        <v>629.2659720979082</v>
      </c>
      <c r="H12" s="6" t="n">
        <v>22.2033717512913</v>
      </c>
      <c r="I12" s="6" t="n">
        <v>69.12209114334331</v>
      </c>
    </row>
    <row r="13">
      <c r="A13" s="6" t="inlineStr">
        <is>
          <t>1 wt% Re | 200 C</t>
        </is>
      </c>
      <c r="B13" s="8" t="n">
        <v>0.013</v>
      </c>
      <c r="C13" s="6" t="n">
        <v>933.5764261704887</v>
      </c>
      <c r="D13" s="6" t="n">
        <v>120712.6310909941</v>
      </c>
      <c r="E13" s="8" t="n">
        <v>0.07069634285639324</v>
      </c>
      <c r="F13" s="8" t="n">
        <v>0</v>
      </c>
      <c r="G13" s="6" t="n">
        <v>632.8233536811365</v>
      </c>
      <c r="H13" s="6" t="n">
        <v>22.29705154341025</v>
      </c>
      <c r="I13" s="6" t="n">
        <v>69.57407125110832</v>
      </c>
    </row>
    <row r="14">
      <c r="A14" s="6" t="inlineStr">
        <is>
          <t>1 wt% Re | 200 C</t>
        </is>
      </c>
      <c r="B14" s="8" t="n">
        <v>0.014</v>
      </c>
      <c r="C14" s="6" t="n">
        <v>938.3604618858911</v>
      </c>
      <c r="D14" s="6" t="n">
        <v>119910.678164204</v>
      </c>
      <c r="E14" s="8" t="n">
        <v>0.06617111480492319</v>
      </c>
      <c r="F14" s="8" t="n">
        <v>0</v>
      </c>
      <c r="G14" s="6" t="n">
        <v>636.3807352643649</v>
      </c>
      <c r="H14" s="6" t="n">
        <v>22.3916589711479</v>
      </c>
      <c r="I14" s="6" t="n">
        <v>70.02010044342772</v>
      </c>
    </row>
    <row r="15">
      <c r="A15" s="6" t="inlineStr">
        <is>
          <t>1 wt% Re | 200 C</t>
        </is>
      </c>
      <c r="B15" s="8" t="n">
        <v>0.015</v>
      </c>
      <c r="C15" s="6" t="n">
        <v>943.1396021680425</v>
      </c>
      <c r="D15" s="6" t="n">
        <v>119200.6319801267</v>
      </c>
      <c r="E15" s="8" t="n">
        <v>0.06221345083741201</v>
      </c>
      <c r="F15" s="8" t="n">
        <v>0</v>
      </c>
      <c r="G15" s="6" t="n">
        <v>639.9381168475935</v>
      </c>
      <c r="H15" s="6" t="n">
        <v>22.48700850738052</v>
      </c>
      <c r="I15" s="6" t="n">
        <v>70.46026650624714</v>
      </c>
    </row>
    <row r="16">
      <c r="A16" s="6" t="inlineStr">
        <is>
          <t>1 wt% Re | 200 C</t>
        </is>
      </c>
      <c r="B16" s="8" t="n">
        <v>0.016</v>
      </c>
      <c r="C16" s="6" t="n">
        <v>947.9138455713387</v>
      </c>
      <c r="D16" s="6" t="n">
        <v>118565.2600245036</v>
      </c>
      <c r="E16" s="8" t="n">
        <v>0.05872287424977497</v>
      </c>
      <c r="F16" s="8" t="n">
        <v>0</v>
      </c>
      <c r="G16" s="6" t="n">
        <v>643.495498430822</v>
      </c>
      <c r="H16" s="6" t="n">
        <v>22.58296100676529</v>
      </c>
      <c r="I16" s="6" t="n">
        <v>70.89472643242347</v>
      </c>
    </row>
    <row r="17">
      <c r="A17" s="6" t="inlineStr">
        <is>
          <t>1 wt% Re | 200 C</t>
        </is>
      </c>
      <c r="B17" s="8" t="n">
        <v>0.017</v>
      </c>
      <c r="C17" s="6" t="n">
        <v>952.6832625722975</v>
      </c>
      <c r="D17" s="6" t="n">
        <v>117991.3844923133</v>
      </c>
      <c r="E17" s="8" t="n">
        <v>0.05562130350623444</v>
      </c>
      <c r="F17" s="8" t="n">
        <v>0</v>
      </c>
      <c r="G17" s="6" t="n">
        <v>647.0528800140505</v>
      </c>
      <c r="H17" s="6" t="n">
        <v>22.67941006404007</v>
      </c>
      <c r="I17" s="6" t="n">
        <v>71.32367364848932</v>
      </c>
    </row>
    <row r="18">
      <c r="A18" s="6" t="inlineStr">
        <is>
          <t>1 wt% Re | 200 C</t>
        </is>
      </c>
      <c r="B18" s="8" t="n">
        <v>0.018</v>
      </c>
      <c r="C18" s="6" t="n">
        <v>957.4479663449408</v>
      </c>
      <c r="D18" s="6" t="n">
        <v>117468.7559796505</v>
      </c>
      <c r="E18" s="8" t="n">
        <v>0.05284714201992836</v>
      </c>
      <c r="F18" s="8" t="n">
        <v>0</v>
      </c>
      <c r="G18" s="6" t="n">
        <v>650.6102615972788</v>
      </c>
      <c r="H18" s="6" t="n">
        <v>22.77627291955652</v>
      </c>
      <c r="I18" s="6" t="n">
        <v>71.74731841656995</v>
      </c>
    </row>
    <row r="19">
      <c r="A19" s="6" t="inlineStr">
        <is>
          <t>1 wt% Re | 200 C</t>
        </is>
      </c>
      <c r="B19" s="8" t="n">
        <v>0.019</v>
      </c>
      <c r="C19" s="6" t="n">
        <v>962.2080943615276</v>
      </c>
      <c r="D19" s="6" t="n">
        <v>116989.2828518528</v>
      </c>
      <c r="E19" s="8" t="n">
        <v>0.05035114578713343</v>
      </c>
      <c r="F19" s="8" t="n">
        <v>0</v>
      </c>
      <c r="G19" s="6" t="n">
        <v>654.1676431805073</v>
      </c>
      <c r="H19" s="6" t="n">
        <v>22.87348423675018</v>
      </c>
      <c r="I19" s="6" t="n">
        <v>72.16587606163981</v>
      </c>
    </row>
    <row r="20">
      <c r="A20" s="6" t="inlineStr">
        <is>
          <t>1 wt% Re | 200 C</t>
        </is>
      </c>
      <c r="B20" s="8" t="n">
        <v>0.02</v>
      </c>
      <c r="C20" s="6" t="n">
        <v>966.9637966932681</v>
      </c>
      <c r="D20" s="6" t="n">
        <v>116546.4918011905</v>
      </c>
      <c r="E20" s="8" t="n">
        <v>0.04809347473338729</v>
      </c>
      <c r="F20" s="8" t="n">
        <v>0</v>
      </c>
      <c r="G20" s="6" t="n">
        <v>657.7250247637359</v>
      </c>
      <c r="H20" s="6" t="n">
        <v>22.97099174636946</v>
      </c>
      <c r="I20" s="6" t="n">
        <v>72.57955994033688</v>
      </c>
    </row>
    <row r="21">
      <c r="A21" s="6" t="inlineStr">
        <is>
          <t>1 wt% Re | 200 C</t>
        </is>
      </c>
      <c r="B21" s="8" t="n">
        <v>0.021</v>
      </c>
      <c r="C21" s="6" t="n">
        <v>971.7152285394588</v>
      </c>
      <c r="D21" s="6" t="n">
        <v>116135.14253093</v>
      </c>
      <c r="E21" s="8" t="n">
        <v>0.04604155021156309</v>
      </c>
      <c r="F21" s="8" t="n">
        <v>0</v>
      </c>
      <c r="G21" s="6" t="n">
        <v>661.2824063469642</v>
      </c>
      <c r="H21" s="6" t="n">
        <v>23.0687531352107</v>
      </c>
      <c r="I21" s="6" t="n">
        <v>72.98857732662027</v>
      </c>
    </row>
    <row r="22">
      <c r="A22" s="6" t="inlineStr">
        <is>
          <t>1 wt% Re | 200 C</t>
        </is>
      </c>
      <c r="B22" s="8" t="n">
        <v>0.022</v>
      </c>
      <c r="C22" s="6" t="n">
        <v>976.4625454681894</v>
      </c>
      <c r="D22" s="6" t="n">
        <v>115750.9475255619</v>
      </c>
      <c r="E22" s="8" t="n">
        <v>0.04416847272540197</v>
      </c>
      <c r="F22" s="8" t="n">
        <v>0</v>
      </c>
      <c r="G22" s="6" t="n">
        <v>664.8397879301918</v>
      </c>
      <c r="H22" s="6" t="n">
        <v>23.16673378337998</v>
      </c>
      <c r="I22" s="6" t="n">
        <v>73.39312711044832</v>
      </c>
    </row>
    <row r="23">
      <c r="A23" s="6" t="inlineStr">
        <is>
          <t>1 wt% Re | 200 C</t>
        </is>
      </c>
      <c r="B23" s="8" t="n">
        <v>0.023</v>
      </c>
      <c r="C23" s="6" t="n">
        <v>981.2059004180999</v>
      </c>
      <c r="D23" s="6" t="n">
        <v>115390.3649244481</v>
      </c>
      <c r="E23" s="8" t="n">
        <v>0.04245183611188903</v>
      </c>
      <c r="F23" s="8" t="n">
        <v>0</v>
      </c>
      <c r="G23" s="6" t="n">
        <v>668.3971695134204</v>
      </c>
      <c r="H23" s="6" t="n">
        <v>23.26490509183454</v>
      </c>
      <c r="I23" s="6" t="n">
        <v>73.79339862929723</v>
      </c>
    </row>
    <row r="24">
      <c r="A24" s="6" t="inlineStr">
        <is>
          <t>1 wt% Re | 200 C</t>
        </is>
      </c>
      <c r="B24" s="8" t="n">
        <v>0.024</v>
      </c>
      <c r="C24" s="6" t="n">
        <v>985.9454418547454</v>
      </c>
      <c r="D24" s="6" t="n">
        <v>115050.4431770569</v>
      </c>
      <c r="E24" s="8" t="n">
        <v>0.04087282693432175</v>
      </c>
      <c r="F24" s="8" t="n">
        <v>0</v>
      </c>
      <c r="G24" s="6" t="n">
        <v>671.9545510966489</v>
      </c>
      <c r="H24" s="6" t="n">
        <v>23.3632432280387</v>
      </c>
      <c r="I24" s="6" t="n">
        <v>74.18957120698808</v>
      </c>
    </row>
    <row r="25">
      <c r="A25" s="6" t="inlineStr">
        <is>
          <t>1 wt% Re | 200 C</t>
        </is>
      </c>
      <c r="B25" s="8" t="n">
        <v>0.025</v>
      </c>
      <c r="C25" s="6" t="n">
        <v>990.6813126886539</v>
      </c>
      <c r="D25" s="6" t="n">
        <v>114728.7029809414</v>
      </c>
      <c r="E25" s="8" t="n">
        <v>0.03941553213917722</v>
      </c>
      <c r="F25" s="8" t="n">
        <v>0</v>
      </c>
      <c r="G25" s="6" t="n">
        <v>675.5119326798773</v>
      </c>
      <c r="H25" s="6" t="n">
        <v>23.46172817266253</v>
      </c>
      <c r="I25" s="6" t="n">
        <v>74.58181413039556</v>
      </c>
    </row>
    <row r="26">
      <c r="A26" s="6" t="inlineStr">
        <is>
          <t>1 wt% Re | 200 C</t>
        </is>
      </c>
      <c r="B26" s="8" t="n">
        <v>0.026</v>
      </c>
      <c r="C26" s="6" t="n">
        <v>995.4136496971083</v>
      </c>
      <c r="D26" s="6" t="n">
        <v>114423.0464648007</v>
      </c>
      <c r="E26" s="8" t="n">
        <v>0.03806640087453487</v>
      </c>
      <c r="F26" s="8" t="n">
        <v>0</v>
      </c>
      <c r="G26" s="6" t="n">
        <v>679.0693142631059</v>
      </c>
      <c r="H26" s="6" t="n">
        <v>23.56034298627296</v>
      </c>
      <c r="I26" s="6" t="n">
        <v>74.97028689193831</v>
      </c>
    </row>
    <row r="27">
      <c r="A27" s="6" t="inlineStr">
        <is>
          <t>1 wt% Re | 200 C</t>
        </is>
      </c>
      <c r="B27" s="8" t="n">
        <v>0.027</v>
      </c>
      <c r="C27" s="6" t="n">
        <v>1000.142583278457</v>
      </c>
      <c r="D27" s="6" t="n">
        <v>114131.6865530819</v>
      </c>
      <c r="E27" s="8" t="n">
        <v>0.03681382185538744</v>
      </c>
      <c r="F27" s="8" t="n">
        <v>0</v>
      </c>
      <c r="G27" s="6" t="n">
        <v>682.6266958463342</v>
      </c>
      <c r="H27" s="6" t="n">
        <v>23.65907323898262</v>
      </c>
      <c r="I27" s="6" t="n">
        <v>75.35513958732311</v>
      </c>
    </row>
    <row r="28">
      <c r="A28" s="6" t="inlineStr">
        <is>
          <t>1 wt% Re | 200 C</t>
        </is>
      </c>
      <c r="B28" s="8" t="n">
        <v>0.028</v>
      </c>
      <c r="C28" s="6" t="n">
        <v>1004.868237424323</v>
      </c>
      <c r="D28" s="6" t="n">
        <v>113853.09146674</v>
      </c>
      <c r="E28" s="8" t="n">
        <v>0.03564778833331542</v>
      </c>
      <c r="F28" s="8" t="n">
        <v>0</v>
      </c>
      <c r="G28" s="6" t="n">
        <v>686.1840774295626</v>
      </c>
      <c r="H28" s="6" t="n">
        <v>23.75790656231657</v>
      </c>
      <c r="I28" s="6" t="n">
        <v>75.73651339744329</v>
      </c>
    </row>
    <row r="29">
      <c r="A29" s="6" t="inlineStr">
        <is>
          <t>1 wt% Re | 200 C</t>
        </is>
      </c>
      <c r="B29" s="8" t="n">
        <v>0.029</v>
      </c>
      <c r="C29" s="6" t="n">
        <v>1009.590729832449</v>
      </c>
      <c r="D29" s="6" t="n">
        <v>113585.940706598</v>
      </c>
      <c r="E29" s="8" t="n">
        <v>0.03455963019274217</v>
      </c>
      <c r="F29" s="8" t="n">
        <v>0</v>
      </c>
      <c r="G29" s="6" t="n">
        <v>689.7414590127912</v>
      </c>
      <c r="H29" s="6" t="n">
        <v>23.85683229379646</v>
      </c>
      <c r="I29" s="6" t="n">
        <v>76.11454110883726</v>
      </c>
    </row>
    <row r="30">
      <c r="A30" s="6" t="inlineStr">
        <is>
          <t>1 wt% Re | 200 C</t>
        </is>
      </c>
      <c r="B30" s="8" t="n">
        <v>0.03</v>
      </c>
      <c r="C30" s="6" t="n">
        <v>1014.310172107881</v>
      </c>
      <c r="D30" s="6" t="n">
        <v>113329.0898400358</v>
      </c>
      <c r="E30" s="8" t="n">
        <v>0.03354179798977344</v>
      </c>
      <c r="F30" s="8" t="n">
        <v>0</v>
      </c>
      <c r="G30" s="6" t="n">
        <v>693.2988405960197</v>
      </c>
      <c r="H30" s="6" t="n">
        <v>23.95584119260767</v>
      </c>
      <c r="I30" s="6" t="n">
        <v>76.48934764373598</v>
      </c>
    </row>
    <row r="31">
      <c r="A31" s="6" t="inlineStr">
        <is>
          <t>1 wt% Re | 200 C</t>
        </is>
      </c>
      <c r="B31" s="8" t="n">
        <v>0.031</v>
      </c>
      <c r="C31" s="6" t="n">
        <v>1019.026670017021</v>
      </c>
      <c r="D31" s="6" t="n">
        <v>113081.5421031587</v>
      </c>
      <c r="E31" s="8" t="n">
        <v>0.03258768755202431</v>
      </c>
      <c r="F31" s="8" t="n">
        <v>0</v>
      </c>
      <c r="G31" s="6" t="n">
        <v>696.8562221792481</v>
      </c>
      <c r="H31" s="6" t="n">
        <v>24.05492521029879</v>
      </c>
      <c r="I31" s="6" t="n">
        <v>76.86105058162561</v>
      </c>
    </row>
    <row r="32">
      <c r="A32" s="6" t="inlineStr">
        <is>
          <t>1 wt% Re | 200 C</t>
        </is>
      </c>
      <c r="B32" s="8" t="n">
        <v>0.032</v>
      </c>
      <c r="C32" s="6" t="n">
        <v>1023.740323770521</v>
      </c>
      <c r="D32" s="6" t="n">
        <v>112842.4253275586</v>
      </c>
      <c r="E32" s="8" t="n">
        <v>0.03169149652152203</v>
      </c>
      <c r="F32" s="8" t="n">
        <v>0</v>
      </c>
      <c r="G32" s="6" t="n">
        <v>700.4136037624764</v>
      </c>
      <c r="H32" s="6" t="n">
        <v>24.15407730447484</v>
      </c>
      <c r="I32" s="6" t="n">
        <v>77.22976066141116</v>
      </c>
    </row>
    <row r="33">
      <c r="A33" s="6" t="inlineStr">
        <is>
          <t>1 wt% Re | 200 C</t>
        </is>
      </c>
      <c r="B33" s="8" t="n">
        <v>0.033</v>
      </c>
      <c r="C33" s="6" t="n">
        <v>1028.45122831884</v>
      </c>
      <c r="D33" s="6" t="n">
        <v>112610.9730622105</v>
      </c>
      <c r="E33" s="8" t="n">
        <v>0.03084810625373457</v>
      </c>
      <c r="F33" s="8" t="n">
        <v>0</v>
      </c>
      <c r="G33" s="6" t="n">
        <v>703.9709853457051</v>
      </c>
      <c r="H33" s="6" t="n">
        <v>24.25329128636444</v>
      </c>
      <c r="I33" s="6" t="n">
        <v>77.59558225797245</v>
      </c>
    </row>
    <row r="34">
      <c r="A34" s="6" t="inlineStr">
        <is>
          <t>1 wt% Re | 200 C</t>
        </is>
      </c>
      <c r="B34" s="8" t="n">
        <v>0.034</v>
      </c>
      <c r="C34" s="6" t="n">
        <v>1033.159473649644</v>
      </c>
      <c r="D34" s="6" t="n">
        <v>112386.5090267979</v>
      </c>
      <c r="E34" s="8" t="n">
        <v>0.03005298399368378</v>
      </c>
      <c r="F34" s="8" t="n">
        <v>0</v>
      </c>
      <c r="G34" s="6" t="n">
        <v>707.5283669289335</v>
      </c>
      <c r="H34" s="6" t="n">
        <v>24.35256169528702</v>
      </c>
      <c r="I34" s="6" t="n">
        <v>77.95861382998065</v>
      </c>
    </row>
    <row r="35">
      <c r="A35" s="6" t="inlineStr">
        <is>
          <t>1 wt% Re | 200 C</t>
        </is>
      </c>
      <c r="B35" s="8" t="n">
        <v>0.035</v>
      </c>
      <c r="C35" s="6" t="n">
        <v>1037.865145079978</v>
      </c>
      <c r="D35" s="6" t="n">
        <v>112168.4342301836</v>
      </c>
      <c r="E35" s="8" t="n">
        <v>0.02930210138046901</v>
      </c>
      <c r="F35" s="8" t="n">
        <v>0</v>
      </c>
      <c r="G35" s="6" t="n">
        <v>711.0857485121619</v>
      </c>
      <c r="H35" s="6" t="n">
        <v>24.4518836946397</v>
      </c>
      <c r="I35" s="6" t="n">
        <v>78.31894833784015</v>
      </c>
    </row>
    <row r="36">
      <c r="A36" s="6" t="inlineStr">
        <is>
          <t>1 wt% Re | 200 C</t>
        </is>
      </c>
      <c r="B36" s="8" t="n">
        <v>0.036</v>
      </c>
      <c r="C36" s="6" t="n">
        <v>1042.568323538678</v>
      </c>
      <c r="D36" s="6" t="n">
        <v>111956.2162358009</v>
      </c>
      <c r="E36" s="8" t="n">
        <v>0.02859186618653905</v>
      </c>
      <c r="F36" s="8" t="n">
        <v>0</v>
      </c>
      <c r="G36" s="6" t="n">
        <v>714.6431300953902</v>
      </c>
      <c r="H36" s="6" t="n">
        <v>24.55125298522002</v>
      </c>
      <c r="I36" s="6" t="n">
        <v>78.6766736318928</v>
      </c>
    </row>
    <row r="37">
      <c r="A37" s="6" t="inlineStr">
        <is>
          <t>1 wt% Re | 200 C</t>
        </is>
      </c>
      <c r="B37" s="8" t="n">
        <v>0.037</v>
      </c>
      <c r="C37" s="6" t="n">
        <v>1047.269085836309</v>
      </c>
      <c r="D37" s="6" t="n">
        <v>111749.3801677934</v>
      </c>
      <c r="E37" s="8" t="n">
        <v>0.02791906485027186</v>
      </c>
      <c r="F37" s="8" t="n">
        <v>0</v>
      </c>
      <c r="G37" s="6" t="n">
        <v>718.200511678618</v>
      </c>
      <c r="H37" s="6" t="n">
        <v>24.65066573260409</v>
      </c>
      <c r="I37" s="6" t="n">
        <v>79.03187281180938</v>
      </c>
    </row>
    <row r="38">
      <c r="A38" s="6" t="inlineStr">
        <is>
          <t>1 wt% Re | 200 C</t>
        </is>
      </c>
      <c r="B38" s="8" t="n">
        <v>0.038</v>
      </c>
      <c r="C38" s="6" t="n">
        <v>1051.967504921075</v>
      </c>
      <c r="D38" s="6" t="n">
        <v>111547.5011372365</v>
      </c>
      <c r="E38" s="8" t="n">
        <v>0.02728081386192296</v>
      </c>
      <c r="F38" s="8" t="n">
        <v>0</v>
      </c>
      <c r="G38" s="6" t="n">
        <v>721.7578932618464</v>
      </c>
      <c r="H38" s="6" t="n">
        <v>24.75011850599163</v>
      </c>
      <c r="I38" s="6" t="n">
        <v>79.38462455856086</v>
      </c>
    </row>
    <row r="39">
      <c r="A39" s="6" t="inlineStr">
        <is>
          <t>1 wt% Re | 200 C</t>
        </is>
      </c>
      <c r="B39" s="8" t="n">
        <v>0.039</v>
      </c>
      <c r="C39" s="6" t="n">
        <v>1056.663650120043</v>
      </c>
      <c r="D39" s="6" t="n">
        <v>111350.1978335573</v>
      </c>
      <c r="E39" s="8" t="n">
        <v>0.02667451845151339</v>
      </c>
      <c r="F39" s="8" t="n">
        <v>0</v>
      </c>
      <c r="G39" s="6" t="n">
        <v>725.3152748450751</v>
      </c>
      <c r="H39" s="6" t="n">
        <v>24.84960822645929</v>
      </c>
      <c r="I39" s="6" t="n">
        <v>79.73500344061141</v>
      </c>
    </row>
    <row r="40">
      <c r="A40" s="6" t="inlineStr">
        <is>
          <t>1 wt% Re | 200 C</t>
        </is>
      </c>
      <c r="B40" s="8" t="n">
        <v>0.04</v>
      </c>
      <c r="C40" s="6" t="n">
        <v>1061.357587365547</v>
      </c>
      <c r="D40" s="6" t="n">
        <v>111157.1270772398</v>
      </c>
      <c r="E40" s="8" t="n">
        <v>0.02609783733034528</v>
      </c>
      <c r="F40" s="8" t="n">
        <v>0</v>
      </c>
      <c r="G40" s="6" t="n">
        <v>728.8726564283035</v>
      </c>
      <c r="H40" s="6" t="n">
        <v>24.94913212297605</v>
      </c>
      <c r="I40" s="6" t="n">
        <v>80.08308019608629</v>
      </c>
    </row>
    <row r="41">
      <c r="A41" s="6" t="inlineStr">
        <is>
          <t>1 wt% Re | 200 C</t>
        </is>
      </c>
      <c r="B41" s="8" t="n">
        <v>0.041</v>
      </c>
      <c r="C41" s="6" t="n">
        <v>1066.049379407043</v>
      </c>
      <c r="D41" s="6" t="n">
        <v>110967.9791696967</v>
      </c>
      <c r="E41" s="8" t="n">
        <v>0.02554865247591129</v>
      </c>
      <c r="F41" s="8" t="n">
        <v>0</v>
      </c>
      <c r="G41" s="6" t="n">
        <v>732.4300380115319</v>
      </c>
      <c r="H41" s="6" t="n">
        <v>25.0486876948554</v>
      </c>
      <c r="I41" s="6" t="n">
        <v>80.42892199268503</v>
      </c>
    </row>
    <row r="42">
      <c r="A42" s="6" t="inlineStr">
        <is>
          <t>1 wt% Re | 200 C</t>
        </is>
      </c>
      <c r="B42" s="8" t="n">
        <v>0.042</v>
      </c>
      <c r="C42" s="6" t="n">
        <v>1070.73908600889</v>
      </c>
      <c r="D42" s="6" t="n">
        <v>110782.473907444</v>
      </c>
      <c r="E42" s="8" t="n">
        <v>0.02502504313815077</v>
      </c>
      <c r="F42" s="8" t="n">
        <v>0</v>
      </c>
      <c r="G42" s="6" t="n">
        <v>735.9874195947604</v>
      </c>
      <c r="H42" s="6" t="n">
        <v>25.14827267957146</v>
      </c>
      <c r="I42" s="6" t="n">
        <v>80.77259266707075</v>
      </c>
    </row>
    <row r="43">
      <c r="A43" s="6" t="inlineStr">
        <is>
          <t>1 wt% Re | 200 C</t>
        </is>
      </c>
      <c r="B43" s="8" t="n">
        <v>0.043</v>
      </c>
      <c r="C43" s="6" t="n">
        <v>1075.426764134718</v>
      </c>
      <c r="D43" s="6" t="n">
        <v>110600.3571524382</v>
      </c>
      <c r="E43" s="8" t="n">
        <v>0.02452526339465151</v>
      </c>
      <c r="F43" s="8" t="n">
        <v>0</v>
      </c>
      <c r="G43" s="6" t="n">
        <v>739.5448011779888</v>
      </c>
      <c r="H43" s="6" t="n">
        <v>25.24788502506581</v>
      </c>
      <c r="I43" s="6" t="n">
        <v>81.11415294539</v>
      </c>
    </row>
    <row r="44">
      <c r="A44" s="6" t="inlineStr">
        <is>
          <t>1 wt% Re | 200 C</t>
        </is>
      </c>
      <c r="B44" s="8" t="n">
        <v>0.044</v>
      </c>
      <c r="C44" s="6" t="n">
        <v>1080.112468119101</v>
      </c>
      <c r="D44" s="6" t="n">
        <v>110421.3978700944</v>
      </c>
      <c r="E44" s="8" t="n">
        <v>0.02404772270207758</v>
      </c>
      <c r="F44" s="8" t="n">
        <v>0</v>
      </c>
      <c r="G44" s="6" t="n">
        <v>743.1021827612173</v>
      </c>
      <c r="H44" s="6" t="n">
        <v>25.34752286583089</v>
      </c>
      <c r="I44" s="6" t="n">
        <v>81.45366064648326</v>
      </c>
    </row>
    <row r="45">
      <c r="A45" s="6" t="inlineStr">
        <is>
          <t>1 wt% Re | 200 C</t>
        </is>
      </c>
      <c r="B45" s="8" t="n">
        <v>0.045</v>
      </c>
      <c r="C45" s="6" t="n">
        <v>1084.796249827311</v>
      </c>
      <c r="D45" s="6" t="n">
        <v>110245.385562235</v>
      </c>
      <c r="E45" s="8" t="n">
        <v>0.02359096898734108</v>
      </c>
      <c r="F45" s="8" t="n">
        <v>0</v>
      </c>
      <c r="G45" s="6" t="n">
        <v>746.6595643444457</v>
      </c>
      <c r="H45" s="6" t="n">
        <v>25.44718450218194</v>
      </c>
      <c r="I45" s="6" t="n">
        <v>81.79117086923914</v>
      </c>
    </row>
    <row r="46">
      <c r="A46" s="6" t="inlineStr">
        <is>
          <t>1 wt% Re | 200 C</t>
        </is>
      </c>
      <c r="B46" s="8" t="n">
        <v>0.046</v>
      </c>
      <c r="C46" s="6" t="n">
        <v>1089.478158803912</v>
      </c>
      <c r="D46" s="6" t="n">
        <v>110072.1280348719</v>
      </c>
      <c r="E46" s="8" t="n">
        <v>0.02315367389982423</v>
      </c>
      <c r="F46" s="8" t="n">
        <v>0</v>
      </c>
      <c r="G46" s="6" t="n">
        <v>750.216945927674</v>
      </c>
      <c r="H46" s="6" t="n">
        <v>25.54686838223294</v>
      </c>
      <c r="I46" s="6" t="n">
        <v>82.12673616543863</v>
      </c>
    </row>
    <row r="47">
      <c r="A47" s="6" t="inlineStr">
        <is>
          <t>1 wt% Re | 200 C</t>
        </is>
      </c>
      <c r="B47" s="8" t="n">
        <v>0.047</v>
      </c>
      <c r="C47" s="6" t="n">
        <v>1094.158242410967</v>
      </c>
      <c r="D47" s="6" t="n">
        <v>109901.4494509522</v>
      </c>
      <c r="E47" s="8" t="n">
        <v>0.02273461990914458</v>
      </c>
      <c r="F47" s="8" t="n">
        <v>0</v>
      </c>
      <c r="G47" s="6" t="n">
        <v>753.7743275109027</v>
      </c>
      <c r="H47" s="6" t="n">
        <v>25.64657308617327</v>
      </c>
      <c r="I47" s="6" t="n">
        <v>82.46040669932688</v>
      </c>
    </row>
    <row r="48">
      <c r="A48" s="6" t="inlineStr">
        <is>
          <t>1 wt% Re | 200 C</t>
        </is>
      </c>
      <c r="B48" s="8" t="n">
        <v>0.048</v>
      </c>
      <c r="C48" s="6" t="n">
        <v>1098.83654595659</v>
      </c>
      <c r="D48" s="6" t="n">
        <v>109733.1886265107</v>
      </c>
      <c r="E48" s="8" t="n">
        <v>0.02233268898452417</v>
      </c>
      <c r="F48" s="8" t="n">
        <v>0</v>
      </c>
      <c r="G48" s="6" t="n">
        <v>757.3317090941312</v>
      </c>
      <c r="H48" s="6" t="n">
        <v>25.74629731250981</v>
      </c>
      <c r="I48" s="6" t="n">
        <v>82.79223039504778</v>
      </c>
    </row>
    <row r="49">
      <c r="A49" s="6" t="inlineStr">
        <is>
          <t>1 wt% Re | 200 C</t>
        </is>
      </c>
      <c r="B49" s="8" t="n">
        <v>0.049</v>
      </c>
      <c r="C49" s="6" t="n">
        <v>1103.51311281453</v>
      </c>
      <c r="D49" s="6" t="n">
        <v>109567.1975354569</v>
      </c>
      <c r="E49" s="8" t="n">
        <v>0.02194685263409936</v>
      </c>
      <c r="F49" s="8" t="n">
        <v>0</v>
      </c>
      <c r="G49" s="6" t="n">
        <v>760.8890906773596</v>
      </c>
      <c r="H49" s="6" t="n">
        <v>25.84603986599384</v>
      </c>
      <c r="I49" s="6" t="n">
        <v>83.12225307297871</v>
      </c>
    </row>
    <row r="50">
      <c r="A50" s="6" t="inlineStr">
        <is>
          <t>1 wt% Re | 200 C</t>
        </is>
      </c>
      <c r="B50" s="8" t="n">
        <v>0.05</v>
      </c>
      <c r="C50" s="6" t="n">
        <v>1108.187984535476</v>
      </c>
      <c r="D50" s="6" t="n">
        <v>109403.3399937874</v>
      </c>
      <c r="E50" s="8" t="n">
        <v>0.0215761631173154</v>
      </c>
      <c r="F50" s="8" t="n">
        <v>0</v>
      </c>
      <c r="G50" s="6" t="n">
        <v>764.4464722605879</v>
      </c>
      <c r="H50" s="6" t="n">
        <v>25.94579964699651</v>
      </c>
      <c r="I50" s="6" t="n">
        <v>83.45051857591133</v>
      </c>
    </row>
    <row r="51">
      <c r="A51" s="6" t="inlineStr">
        <is>
          <t>1 wt% Re | 200 C</t>
        </is>
      </c>
      <c r="B51" s="8" t="n">
        <v>0.051</v>
      </c>
      <c r="C51" s="6" t="n">
        <v>1112.861200950671</v>
      </c>
      <c r="D51" s="6" t="n">
        <v>109241.4904985974</v>
      </c>
      <c r="E51" s="8" t="n">
        <v>0.02121974567232683</v>
      </c>
      <c r="F51" s="8" t="n">
        <v>0</v>
      </c>
      <c r="G51" s="6" t="n">
        <v>768.0038538438157</v>
      </c>
      <c r="H51" s="6" t="n">
        <v>26.04557564213435</v>
      </c>
      <c r="I51" s="6" t="n">
        <v>83.77706888594037</v>
      </c>
    </row>
    <row r="52">
      <c r="A52" s="6" t="inlineStr">
        <is>
          <t>1 wt% Re | 200 C</t>
        </is>
      </c>
      <c r="B52" s="8" t="n">
        <v>0.052</v>
      </c>
      <c r="C52" s="6" t="n">
        <v>1117.532800268431</v>
      </c>
      <c r="D52" s="6" t="n">
        <v>109081.5332010515</v>
      </c>
      <c r="E52" s="8" t="n">
        <v>0.02087679162420994</v>
      </c>
      <c r="F52" s="8" t="n">
        <v>0</v>
      </c>
      <c r="G52" s="6" t="n">
        <v>771.5612354270442</v>
      </c>
      <c r="H52" s="6" t="n">
        <v>26.1453669159765</v>
      </c>
      <c r="I52" s="6" t="n">
        <v>84.10194423284412</v>
      </c>
    </row>
    <row r="53">
      <c r="A53" s="6" t="inlineStr">
        <is>
          <t>1 wt% Re | 200 C</t>
        </is>
      </c>
      <c r="B53" s="8" t="n">
        <v>0.053</v>
      </c>
      <c r="C53" s="6" t="n">
        <v>1122.20281916411</v>
      </c>
      <c r="D53" s="6" t="n">
        <v>108923.3609956226</v>
      </c>
      <c r="E53" s="8" t="n">
        <v>0.02054655225969384</v>
      </c>
      <c r="F53" s="8" t="n">
        <v>0</v>
      </c>
      <c r="G53" s="6" t="n">
        <v>775.1186170102727</v>
      </c>
      <c r="H53" s="6" t="n">
        <v>26.24517260369065</v>
      </c>
      <c r="I53" s="6" t="n">
        <v>84.42518319467</v>
      </c>
    </row>
    <row r="54">
      <c r="A54" s="6" t="inlineStr">
        <is>
          <t>1 wt% Re | 200 C</t>
        </is>
      </c>
      <c r="B54" s="8" t="n">
        <v>0.054</v>
      </c>
      <c r="C54" s="6" t="n">
        <v>1126.871292863987</v>
      </c>
      <c r="D54" s="6" t="n">
        <v>108766.8747105266</v>
      </c>
      <c r="E54" s="8" t="n">
        <v>0.02022833337075784</v>
      </c>
      <c r="F54" s="8" t="n">
        <v>0</v>
      </c>
      <c r="G54" s="6" t="n">
        <v>778.6759985935013</v>
      </c>
      <c r="H54" s="6" t="n">
        <v>26.34499190450611</v>
      </c>
      <c r="I54" s="6" t="n">
        <v>84.74682279117285</v>
      </c>
    </row>
    <row r="55">
      <c r="A55" s="6" t="inlineStr">
        <is>
          <t>1 wt% Re | 200 C</t>
        </is>
      </c>
      <c r="B55" s="8" t="n">
        <v>0.055</v>
      </c>
      <c r="C55" s="6" t="n">
        <v>1131.538255223559</v>
      </c>
      <c r="D55" s="6" t="n">
        <v>108611.9823864724</v>
      </c>
      <c r="E55" s="8" t="n">
        <v>0.0199214903834061</v>
      </c>
      <c r="F55" s="8" t="n">
        <v>0</v>
      </c>
      <c r="G55" s="6" t="n">
        <v>782.2333801767295</v>
      </c>
      <c r="H55" s="6" t="n">
        <v>26.44482407589011</v>
      </c>
      <c r="I55" s="6" t="n">
        <v>85.06689857069576</v>
      </c>
    </row>
    <row r="56">
      <c r="A56" s="6" t="inlineStr">
        <is>
          <t>1 wt% Re | 200 C</t>
        </is>
      </c>
      <c r="B56" s="8" t="n">
        <v>0.056</v>
      </c>
      <c r="C56" s="6" t="n">
        <v>1136.203738800647</v>
      </c>
      <c r="D56" s="6" t="n">
        <v>108458.59863269</v>
      </c>
      <c r="E56" s="8" t="n">
        <v>0.01962542399968787</v>
      </c>
      <c r="F56" s="8" t="n">
        <v>0</v>
      </c>
      <c r="G56" s="6" t="n">
        <v>785.7907617599581</v>
      </c>
      <c r="H56" s="6" t="n">
        <v>26.54466842834787</v>
      </c>
      <c r="I56" s="6" t="n">
        <v>85.38544469102906</v>
      </c>
    </row>
    <row r="57">
      <c r="A57" s="6" t="inlineStr">
        <is>
          <t>1 wt% Re | 200 C</t>
        </is>
      </c>
      <c r="B57" s="8" t="n">
        <v>0.057</v>
      </c>
      <c r="C57" s="6" t="n">
        <v>1140.867774923716</v>
      </c>
      <c r="D57" s="6" t="n">
        <v>108306.6440507441</v>
      </c>
      <c r="E57" s="8" t="n">
        <v>0.01933957629096225</v>
      </c>
      <c r="F57" s="8" t="n">
        <v>0</v>
      </c>
      <c r="G57" s="6" t="n">
        <v>789.3481433431865</v>
      </c>
      <c r="H57" s="6" t="n">
        <v>26.64452432077029</v>
      </c>
      <c r="I57" s="6" t="n">
        <v>85.70249399473474</v>
      </c>
    </row>
    <row r="58">
      <c r="A58" s="6" t="inlineStr">
        <is>
          <t>1 wt% Re | 200 C</t>
        </is>
      </c>
      <c r="B58" s="8" t="n">
        <v>0.058</v>
      </c>
      <c r="C58" s="6" t="n">
        <v>1145.530393755752</v>
      </c>
      <c r="D58" s="6" t="n">
        <v>108156.0447179534</v>
      </c>
      <c r="E58" s="8" t="n">
        <v>0.01906342718882111</v>
      </c>
      <c r="F58" s="8" t="n">
        <v>0</v>
      </c>
      <c r="G58" s="6" t="n">
        <v>792.9055249264147</v>
      </c>
      <c r="H58" s="6" t="n">
        <v>26.7443911562626</v>
      </c>
      <c r="I58" s="6" t="n">
        <v>86.01807807937988</v>
      </c>
    </row>
    <row r="59">
      <c r="A59" s="6" t="inlineStr">
        <is>
          <t>1 wt% Re | 200 C</t>
        </is>
      </c>
      <c r="B59" s="8" t="n">
        <v>0.059</v>
      </c>
      <c r="C59" s="6" t="n">
        <v>1150.191624354052</v>
      </c>
      <c r="D59" s="6" t="n">
        <v>108006.731723344</v>
      </c>
      <c r="E59" s="8" t="n">
        <v>0.01879649132723487</v>
      </c>
      <c r="F59" s="8" t="n">
        <v>0</v>
      </c>
      <c r="G59" s="6" t="n">
        <v>796.4629065096427</v>
      </c>
      <c r="H59" s="6" t="n">
        <v>26.84426837839753</v>
      </c>
      <c r="I59" s="6" t="n">
        <v>86.33222736308318</v>
      </c>
    </row>
    <row r="60">
      <c r="A60" s="6" t="inlineStr">
        <is>
          <t>1 wt% Re | 200 C</t>
        </is>
      </c>
      <c r="B60" s="8" t="n">
        <v>0.06</v>
      </c>
      <c r="C60" s="6" t="n">
        <v>1154.851494726207</v>
      </c>
      <c r="D60" s="6" t="n">
        <v>107858.6407500067</v>
      </c>
      <c r="E60" s="8" t="n">
        <v>0.01853831519558165</v>
      </c>
      <c r="F60" s="8" t="n">
        <v>0</v>
      </c>
      <c r="G60" s="6" t="n">
        <v>800.0202880928716</v>
      </c>
      <c r="H60" s="6" t="n">
        <v>26.94415546784299</v>
      </c>
      <c r="I60" s="6" t="n">
        <v>86.64497114574203</v>
      </c>
    </row>
    <row r="61">
      <c r="A61" s="6" t="inlineStr">
        <is>
          <t>1 wt% Re | 200 C</t>
        </is>
      </c>
      <c r="B61" s="8" t="n">
        <v>0.061</v>
      </c>
      <c r="C61" s="6" t="n">
        <v>1159.510031882566</v>
      </c>
      <c r="D61" s="6" t="n">
        <v>107711.7116985349</v>
      </c>
      <c r="E61" s="8" t="n">
        <v>0.01828847456742895</v>
      </c>
      <c r="F61" s="8" t="n">
        <v>0</v>
      </c>
      <c r="G61" s="6" t="n">
        <v>803.5776696760996</v>
      </c>
      <c r="H61" s="6" t="n">
        <v>27.04405193932135</v>
      </c>
      <c r="I61" s="6" t="n">
        <v>86.95633766627566</v>
      </c>
    </row>
    <row r="62">
      <c r="A62" s="6" t="inlineStr">
        <is>
          <t>1 wt% Re | 200 C</t>
        </is>
      </c>
      <c r="B62" s="8" t="n">
        <v>0.062</v>
      </c>
      <c r="C62" s="6" t="n">
        <v>1164.16726188545</v>
      </c>
      <c r="D62" s="6" t="n">
        <v>107565.8883469026</v>
      </c>
      <c r="E62" s="8" t="n">
        <v>0.01804657217440308</v>
      </c>
      <c r="F62" s="8" t="n">
        <v>0</v>
      </c>
      <c r="G62" s="6" t="n">
        <v>807.1350512593286</v>
      </c>
      <c r="H62" s="6" t="n">
        <v>27.14395733886334</v>
      </c>
      <c r="I62" s="6" t="n">
        <v>87.26635415619084</v>
      </c>
    </row>
    <row r="63">
      <c r="A63" s="6" t="inlineStr">
        <is>
          <t>1 wt% Re | 200 C</t>
        </is>
      </c>
      <c r="B63" s="8" t="n">
        <v>0.063</v>
      </c>
      <c r="C63" s="6" t="n">
        <v>1168.823209895323</v>
      </c>
      <c r="D63" s="6" t="n">
        <v>107421.1180427367</v>
      </c>
      <c r="E63" s="8" t="n">
        <v>0.01781223559831682</v>
      </c>
      <c r="F63" s="8" t="n">
        <v>0</v>
      </c>
      <c r="G63" s="6" t="n">
        <v>810.6924328425564</v>
      </c>
      <c r="H63" s="6" t="n">
        <v>27.24387124132301</v>
      </c>
      <c r="I63" s="6" t="n">
        <v>87.57504688974898</v>
      </c>
    </row>
    <row r="64">
      <c r="A64" s="6" t="inlineStr">
        <is>
          <t>1 wt% Re | 200 C</t>
        </is>
      </c>
      <c r="B64" s="8" t="n">
        <v>0.064</v>
      </c>
      <c r="C64" s="6" t="n">
        <v>1173.477900214179</v>
      </c>
      <c r="D64" s="6" t="n">
        <v>107277.351424437</v>
      </c>
      <c r="E64" s="8" t="n">
        <v>0.01758511535803143</v>
      </c>
      <c r="F64" s="8" t="n">
        <v>0</v>
      </c>
      <c r="G64" s="6" t="n">
        <v>814.2498144257856</v>
      </c>
      <c r="H64" s="6" t="n">
        <v>27.34379324812614</v>
      </c>
      <c r="I64" s="6" t="n">
        <v>87.88244123099034</v>
      </c>
    </row>
    <row r="65">
      <c r="A65" s="6" t="inlineStr">
        <is>
          <t>1 wt% Re | 200 C</t>
        </is>
      </c>
      <c r="B65" s="8" t="n">
        <v>0.065</v>
      </c>
      <c r="C65" s="6" t="n">
        <v>1178.131356326295</v>
      </c>
      <c r="D65" s="6" t="n">
        <v>107134.5421680407</v>
      </c>
      <c r="E65" s="8" t="n">
        <v>0.01736488317038215</v>
      </c>
      <c r="F65" s="8" t="n">
        <v>0</v>
      </c>
      <c r="G65" s="6" t="n">
        <v>817.8071960090134</v>
      </c>
      <c r="H65" s="6" t="n">
        <v>27.44372298522608</v>
      </c>
      <c r="I65" s="6" t="n">
        <v>88.18856167784858</v>
      </c>
    </row>
    <row r="66">
      <c r="A66" s="6" t="inlineStr">
        <is>
          <t>1 wt% Re | 200 C</t>
        </is>
      </c>
      <c r="B66" s="8" t="n">
        <v>0.066</v>
      </c>
      <c r="C66" s="6" t="n">
        <v>1182.783600936588</v>
      </c>
      <c r="D66" s="6" t="n">
        <v>106992.6467570974</v>
      </c>
      <c r="E66" s="8" t="n">
        <v>0.01715123036696724</v>
      </c>
      <c r="F66" s="8" t="n">
        <v>0</v>
      </c>
      <c r="G66" s="6" t="n">
        <v>821.3645775922419</v>
      </c>
      <c r="H66" s="6" t="n">
        <v>27.54366010124573</v>
      </c>
      <c r="I66" s="6" t="n">
        <v>88.49343190356997</v>
      </c>
    </row>
    <row r="67">
      <c r="A67" s="6" t="inlineStr">
        <is>
          <t>1 wt% Re | 200 C</t>
        </is>
      </c>
      <c r="B67" s="8" t="n">
        <v>0.067</v>
      </c>
      <c r="C67" s="6" t="n">
        <v>1187.434656006693</v>
      </c>
      <c r="D67" s="6" t="n">
        <v>106851.6242731541</v>
      </c>
      <c r="E67" s="8" t="n">
        <v>0.01694386645074263</v>
      </c>
      <c r="F67" s="8" t="n">
        <v>0</v>
      </c>
      <c r="G67" s="6" t="n">
        <v>824.9219591754702</v>
      </c>
      <c r="H67" s="6" t="n">
        <v>27.64360426578568</v>
      </c>
      <c r="I67" s="6" t="n">
        <v>88.79707479563248</v>
      </c>
    </row>
    <row r="68">
      <c r="A68" s="6" t="inlineStr">
        <is>
          <t>1 wt% Re | 200 C</t>
        </is>
      </c>
      <c r="B68" s="8" t="n">
        <v>0.068</v>
      </c>
      <c r="C68" s="6" t="n">
        <v>1192.08454278896</v>
      </c>
      <c r="D68" s="6" t="n">
        <v>106711.4362047255</v>
      </c>
      <c r="E68" s="8" t="n">
        <v>0.01674251777822826</v>
      </c>
      <c r="F68" s="8" t="n">
        <v>0</v>
      </c>
      <c r="G68" s="6" t="n">
        <v>828.4793407586986</v>
      </c>
      <c r="H68" s="6" t="n">
        <v>27.7435551678818</v>
      </c>
      <c r="I68" s="6" t="n">
        <v>89.0995124923449</v>
      </c>
    </row>
    <row r="69">
      <c r="A69" s="6" t="inlineStr">
        <is>
          <t>1 wt% Re | 200 C</t>
        </is>
      </c>
      <c r="B69" s="8" t="n">
        <v>0.06900000000000001</v>
      </c>
      <c r="C69" s="6" t="n">
        <v>1196.733281858493</v>
      </c>
      <c r="D69" s="6" t="n">
        <v>106572.0462728762</v>
      </c>
      <c r="E69" s="8" t="n">
        <v>0.01654692635475511</v>
      </c>
      <c r="F69" s="8" t="n">
        <v>0</v>
      </c>
      <c r="G69" s="6" t="n">
        <v>832.0367223419271</v>
      </c>
      <c r="H69" s="6" t="n">
        <v>27.84351251459686</v>
      </c>
      <c r="I69" s="6" t="n">
        <v>89.40076641729043</v>
      </c>
    </row>
    <row r="70">
      <c r="A70" s="6" t="inlineStr">
        <is>
          <t>1 wt% Re | 200 C</t>
        </is>
      </c>
      <c r="B70" s="8" t="n">
        <v>0.07000000000000001</v>
      </c>
      <c r="C70" s="6" t="n">
        <v>1201.380893143364</v>
      </c>
      <c r="D70" s="6" t="n">
        <v>106433.4202717528</v>
      </c>
      <c r="E70" s="8" t="n">
        <v>0.01635684873159958</v>
      </c>
      <c r="F70" s="8" t="n">
        <v>0</v>
      </c>
      <c r="G70" s="6" t="n">
        <v>835.5941039251559</v>
      </c>
      <c r="H70" s="6" t="n">
        <v>27.94347602973292</v>
      </c>
      <c r="I70" s="6" t="n">
        <v>89.70085731176647</v>
      </c>
    </row>
    <row r="71">
      <c r="A71" s="6" t="inlineStr">
        <is>
          <t>1 wt% Re | 200 C</t>
        </is>
      </c>
      <c r="B71" s="8" t="n">
        <v>0.07099999999999999</v>
      </c>
      <c r="C71" s="6" t="n">
        <v>1206.027395953132</v>
      </c>
      <c r="D71" s="6" t="n">
        <v>106295.5259225922</v>
      </c>
      <c r="E71" s="8" t="n">
        <v>0.01617205499509224</v>
      </c>
      <c r="F71" s="8" t="n">
        <v>0</v>
      </c>
      <c r="G71" s="6" t="n">
        <v>839.1514855083834</v>
      </c>
      <c r="H71" s="6" t="n">
        <v>28.04344545265247</v>
      </c>
      <c r="I71" s="6" t="n">
        <v>89.99980526535951</v>
      </c>
    </row>
    <row r="72">
      <c r="A72" s="6" t="inlineStr">
        <is>
          <t>1 wt% Re | 200 C</t>
        </is>
      </c>
      <c r="B72" s="8" t="n">
        <v>0.07199999999999999</v>
      </c>
      <c r="C72" s="6" t="n">
        <v>1210.672809005783</v>
      </c>
      <c r="D72" s="6" t="n">
        <v>106158.3327398959</v>
      </c>
      <c r="E72" s="8" t="n">
        <v>0.01599232783887478</v>
      </c>
      <c r="F72" s="8" t="n">
        <v>0</v>
      </c>
      <c r="G72" s="6" t="n">
        <v>842.7088670916119</v>
      </c>
      <c r="H72" s="6" t="n">
        <v>28.14342053719785</v>
      </c>
      <c r="I72" s="6" t="n">
        <v>90.29762974478362</v>
      </c>
    </row>
    <row r="73">
      <c r="A73" s="6" t="inlineStr">
        <is>
          <t>1 wt% Re | 200 C</t>
        </is>
      </c>
      <c r="B73" s="8" t="n">
        <v>0.073</v>
      </c>
      <c r="C73" s="6" t="n">
        <v>1215.317150453171</v>
      </c>
      <c r="D73" s="6" t="n">
        <v>106021.8119086038</v>
      </c>
      <c r="E73" s="8" t="n">
        <v>0.01581746171143422</v>
      </c>
      <c r="F73" s="8" t="n">
        <v>0</v>
      </c>
      <c r="G73" s="6" t="n">
        <v>846.2662486748403</v>
      </c>
      <c r="H73" s="6" t="n">
        <v>28.24340105069953</v>
      </c>
      <c r="I73" s="6" t="n">
        <v>90.59434962109991</v>
      </c>
    </row>
    <row r="74">
      <c r="A74" s="6" t="inlineStr">
        <is>
          <t>1 wt% Re | 200 C</t>
        </is>
      </c>
      <c r="B74" s="8" t="n">
        <v>0.074</v>
      </c>
      <c r="C74" s="6" t="n">
        <v>1219.960437905099</v>
      </c>
      <c r="D74" s="6" t="n">
        <v>105885.9361712265</v>
      </c>
      <c r="E74" s="8" t="n">
        <v>0.01564726203188336</v>
      </c>
      <c r="F74" s="8" t="n">
        <v>0</v>
      </c>
      <c r="G74" s="6" t="n">
        <v>849.8236302580686</v>
      </c>
      <c r="H74" s="6" t="n">
        <v>28.34338677306467</v>
      </c>
      <c r="I74" s="6" t="n">
        <v>90.88998319542667</v>
      </c>
    </row>
    <row r="75">
      <c r="A75" s="6" t="inlineStr">
        <is>
          <t>1 wt% Re | 200 C</t>
        </is>
      </c>
      <c r="B75" s="8" t="n">
        <v>0.075</v>
      </c>
      <c r="C75" s="6" t="n">
        <v>1224.60268845209</v>
      </c>
      <c r="D75" s="6" t="n">
        <v>105750.6797240075</v>
      </c>
      <c r="E75" s="8" t="n">
        <v>0.01548154446769726</v>
      </c>
      <c r="F75" s="8" t="n">
        <v>0</v>
      </c>
      <c r="G75" s="6" t="n">
        <v>853.3810118412971</v>
      </c>
      <c r="H75" s="6" t="n">
        <v>28.44337749593874</v>
      </c>
      <c r="I75" s="6" t="n">
        <v>91.18454822323919</v>
      </c>
    </row>
    <row r="76">
      <c r="A76" s="6" t="inlineStr">
        <is>
          <t>1 wt% Re | 200 C</t>
        </is>
      </c>
      <c r="B76" s="8" t="n">
        <v>0.076</v>
      </c>
      <c r="C76" s="6" t="n">
        <v>1229.243918686949</v>
      </c>
      <c r="D76" s="6" t="n">
        <v>105616.0181212826</v>
      </c>
      <c r="E76" s="8" t="n">
        <v>0.01532013426876931</v>
      </c>
      <c r="F76" s="8" t="n">
        <v>0</v>
      </c>
      <c r="G76" s="6" t="n">
        <v>856.9383934245259</v>
      </c>
      <c r="H76" s="6" t="n">
        <v>28.54337302193323</v>
      </c>
      <c r="I76" s="6" t="n">
        <v>91.47806193735333</v>
      </c>
    </row>
    <row r="77">
      <c r="A77" s="6" t="inlineStr">
        <is>
          <t>1 wt% Re | 200 C</t>
        </is>
      </c>
      <c r="B77" s="8" t="n">
        <v>0.077</v>
      </c>
      <c r="C77" s="6" t="n">
        <v>1233.884144725196</v>
      </c>
      <c r="D77" s="6" t="n">
        <v>105481.9281872922</v>
      </c>
      <c r="E77" s="8" t="n">
        <v>0.01516286565272923</v>
      </c>
      <c r="F77" s="8" t="n">
        <v>0</v>
      </c>
      <c r="G77" s="6" t="n">
        <v>860.4957750077541</v>
      </c>
      <c r="H77" s="6" t="n">
        <v>28.64337316391357</v>
      </c>
      <c r="I77" s="6" t="n">
        <v>91.77054106967745</v>
      </c>
    </row>
    <row r="78">
      <c r="A78" s="6" t="inlineStr">
        <is>
          <t>1 wt% Re | 200 C</t>
        </is>
      </c>
      <c r="B78" s="8" t="n">
        <v>0.078</v>
      </c>
      <c r="C78" s="6" t="n">
        <v>1238.523382224432</v>
      </c>
      <c r="D78" s="6" t="n">
        <v>105348.3879347774</v>
      </c>
      <c r="E78" s="8" t="n">
        <v>0.01500958123697755</v>
      </c>
      <c r="F78" s="8" t="n">
        <v>0</v>
      </c>
      <c r="G78" s="6" t="n">
        <v>864.0531565909823</v>
      </c>
      <c r="H78" s="6" t="n">
        <v>28.74337774434185</v>
      </c>
      <c r="I78" s="6" t="n">
        <v>92.06200187181223</v>
      </c>
    </row>
    <row r="79">
      <c r="A79" s="6" t="inlineStr">
        <is>
          <t>1 wt% Re | 200 C</t>
        </is>
      </c>
      <c r="B79" s="8" t="n">
        <v>0.079</v>
      </c>
      <c r="C79" s="6" t="n">
        <v>1243.16164640271</v>
      </c>
      <c r="D79" s="6" t="n">
        <v>105215.376489758</v>
      </c>
      <c r="E79" s="8" t="n">
        <v>0.01486013151334631</v>
      </c>
      <c r="F79" s="8" t="n">
        <v>0</v>
      </c>
      <c r="G79" s="6" t="n">
        <v>867.610538174211</v>
      </c>
      <c r="H79" s="6" t="n">
        <v>28.8433865946694</v>
      </c>
      <c r="I79" s="6" t="n">
        <v>92.35246013457166</v>
      </c>
    </row>
    <row r="80">
      <c r="A80" s="6" t="inlineStr">
        <is>
          <t>1 wt% Re | 200 C</t>
        </is>
      </c>
      <c r="B80" s="8" t="n">
        <v>0.08</v>
      </c>
      <c r="C80" s="6" t="n">
        <v>1247.798952055962</v>
      </c>
      <c r="D80" s="6" t="n">
        <v>105082.8740219531</v>
      </c>
      <c r="E80" s="8" t="n">
        <v>0.01471437436169955</v>
      </c>
      <c r="F80" s="8" t="n">
        <v>0</v>
      </c>
      <c r="G80" s="6" t="n">
        <v>871.1679197574396</v>
      </c>
      <c r="H80" s="6" t="n">
        <v>28.943399554775</v>
      </c>
      <c r="I80" s="6" t="n">
        <v>92.64193120649324</v>
      </c>
    </row>
    <row r="81">
      <c r="A81" s="6" t="inlineStr">
        <is>
          <t>1 wt% Re | 200 C</t>
        </is>
      </c>
      <c r="B81" s="8" t="n">
        <v>0.081</v>
      </c>
      <c r="C81" s="6" t="n">
        <v>1252.435313574564</v>
      </c>
      <c r="D81" s="6" t="n">
        <v>104950.8616803545</v>
      </c>
      <c r="E81" s="8" t="n">
        <v>0.01457217459914751</v>
      </c>
      <c r="F81" s="8" t="n">
        <v>0</v>
      </c>
      <c r="G81" s="6" t="n">
        <v>874.7253013406679</v>
      </c>
      <c r="H81" s="6" t="n">
        <v>29.04341647244468</v>
      </c>
      <c r="I81" s="6" t="n">
        <v>92.93043001140009</v>
      </c>
    </row>
    <row r="82">
      <c r="A82" s="6" t="inlineStr">
        <is>
          <t>1 wt% Re | 200 C</t>
        </is>
      </c>
      <c r="B82" s="8" t="n">
        <v>0.082</v>
      </c>
      <c r="C82" s="6" t="n">
        <v>1257.07074495906</v>
      </c>
      <c r="D82" s="6" t="n">
        <v>104819.3215335159</v>
      </c>
      <c r="E82" s="8" t="n">
        <v>0.01443340356186885</v>
      </c>
      <c r="F82" s="8" t="n">
        <v>0</v>
      </c>
      <c r="G82" s="6" t="n">
        <v>878.2826829238963</v>
      </c>
      <c r="H82" s="6" t="n">
        <v>29.14343720288947</v>
      </c>
      <c r="I82" s="6" t="n">
        <v>93.21797106507339</v>
      </c>
    </row>
    <row r="83">
      <c r="A83" s="6" t="inlineStr">
        <is>
          <t>1 wt% Re | 200 C</t>
        </is>
      </c>
      <c r="B83" s="8" t="n">
        <v>0.083</v>
      </c>
      <c r="C83" s="6" t="n">
        <v>1261.705259835118</v>
      </c>
      <c r="D83" s="6" t="n">
        <v>104688.2365141567</v>
      </c>
      <c r="E83" s="8" t="n">
        <v>0.01429793871682189</v>
      </c>
      <c r="F83" s="8" t="n">
        <v>0</v>
      </c>
      <c r="G83" s="6" t="n">
        <v>881.8400645071248</v>
      </c>
      <c r="H83" s="6" t="n">
        <v>29.24346160829824</v>
      </c>
      <c r="I83" s="6" t="n">
        <v>93.50456849108974</v>
      </c>
    </row>
    <row r="84">
      <c r="A84" s="6" t="inlineStr">
        <is>
          <t>1 wt% Re | 200 C</t>
        </is>
      </c>
      <c r="B84" s="8" t="n">
        <v>0.08400000000000001</v>
      </c>
      <c r="C84" s="6" t="n">
        <v>1266.338871467751</v>
      </c>
      <c r="D84" s="6" t="n">
        <v>104557.590367724</v>
      </c>
      <c r="E84" s="8" t="n">
        <v>0.01416566330088184</v>
      </c>
      <c r="F84" s="8" t="n">
        <v>0</v>
      </c>
      <c r="G84" s="6" t="n">
        <v>885.3974460903532</v>
      </c>
      <c r="H84" s="6" t="n">
        <v>29.34348955742227</v>
      </c>
      <c r="I84" s="6" t="n">
        <v>93.79023603587346</v>
      </c>
    </row>
    <row r="85">
      <c r="A85" s="6" t="inlineStr">
        <is>
          <t>1 wt% Re | 200 C</t>
        </is>
      </c>
      <c r="B85" s="8" t="n">
        <v>0.08500000000000001</v>
      </c>
      <c r="C85" s="6" t="n">
        <v>1270.971592774853</v>
      </c>
      <c r="D85" s="6" t="n">
        <v>104427.3676045852</v>
      </c>
      <c r="E85" s="8" t="n">
        <v>0.01403646598517031</v>
      </c>
      <c r="F85" s="8" t="n">
        <v>0</v>
      </c>
      <c r="G85" s="6" t="n">
        <v>888.9548276735819</v>
      </c>
      <c r="H85" s="6" t="n">
        <v>29.44352092518927</v>
      </c>
      <c r="I85" s="6" t="n">
        <v>94.07498708301085</v>
      </c>
    </row>
    <row r="86">
      <c r="A86" s="6" t="inlineStr">
        <is>
          <t>1 wt% Re | 200 C</t>
        </is>
      </c>
      <c r="B86" s="8" t="n">
        <v>0.08599999999999999</v>
      </c>
      <c r="C86" s="6" t="n">
        <v>1275.603436340091</v>
      </c>
      <c r="D86" s="6" t="n">
        <v>104297.5534555555</v>
      </c>
      <c r="E86" s="8" t="n">
        <v>0.01391024056254885</v>
      </c>
      <c r="F86" s="8" t="n">
        <v>0</v>
      </c>
      <c r="G86" s="6" t="n">
        <v>892.5122092568096</v>
      </c>
      <c r="H86" s="6" t="n">
        <v>29.54355559234423</v>
      </c>
      <c r="I86" s="6" t="n">
        <v>94.35883466686995</v>
      </c>
    </row>
    <row r="87">
      <c r="A87" s="6" t="inlineStr">
        <is>
          <t>1 wt% Re | 200 C</t>
        </is>
      </c>
      <c r="B87" s="8" t="n">
        <v>0.08699999999999999</v>
      </c>
      <c r="C87" s="6" t="n">
        <v>1280.234414425182</v>
      </c>
      <c r="D87" s="6" t="n">
        <v>104168.1338304934</v>
      </c>
      <c r="E87" s="8" t="n">
        <v>0.01378688565643273</v>
      </c>
      <c r="F87" s="8" t="n">
        <v>0</v>
      </c>
      <c r="G87" s="6" t="n">
        <v>896.0695908400378</v>
      </c>
      <c r="H87" s="6" t="n">
        <v>29.64359344511518</v>
      </c>
      <c r="I87" s="6" t="n">
        <v>94.64179148556688</v>
      </c>
    </row>
    <row r="88">
      <c r="A88" s="6" t="inlineStr">
        <is>
          <t>1 wt% Re | 200 C</t>
        </is>
      </c>
      <c r="B88" s="8" t="n">
        <v>0.08799999999999999</v>
      </c>
      <c r="C88" s="6" t="n">
        <v>1284.864538981591</v>
      </c>
      <c r="D88" s="6" t="n">
        <v>104039.095279718</v>
      </c>
      <c r="E88" s="8" t="n">
        <v>0.01366630444924722</v>
      </c>
      <c r="F88" s="8" t="n">
        <v>0</v>
      </c>
      <c r="G88" s="6" t="n">
        <v>899.6269724232664</v>
      </c>
      <c r="H88" s="6" t="n">
        <v>29.74363437490155</v>
      </c>
      <c r="I88" s="6" t="n">
        <v>94.92386991331574</v>
      </c>
    </row>
    <row r="89">
      <c r="A89" s="6" t="inlineStr">
        <is>
          <t>1 wt% Re | 200 C</t>
        </is>
      </c>
      <c r="B89" s="8" t="n">
        <v>0.089</v>
      </c>
      <c r="C89" s="6" t="n">
        <v>1289.493821661696</v>
      </c>
      <c r="D89" s="6" t="n">
        <v>103910.4249580288</v>
      </c>
      <c r="E89" s="8" t="n">
        <v>0.01354840442899757</v>
      </c>
      <c r="F89" s="8" t="n">
        <v>0</v>
      </c>
      <c r="G89" s="6" t="n">
        <v>903.1843540064948</v>
      </c>
      <c r="H89" s="6" t="n">
        <v>29.84367827798373</v>
      </c>
      <c r="I89" s="6" t="n">
        <v>95.20508201219825</v>
      </c>
    </row>
    <row r="90">
      <c r="A90" s="6" t="inlineStr">
        <is>
          <t>1 wt% Re | 200 C</t>
        </is>
      </c>
      <c r="B90" s="8" t="n">
        <v>0.09</v>
      </c>
      <c r="C90" s="6" t="n">
        <v>1294.12227382943</v>
      </c>
      <c r="D90" s="6" t="n">
        <v>103782.1105911228</v>
      </c>
      <c r="E90" s="8" t="n">
        <v>0.0134330971525586</v>
      </c>
      <c r="F90" s="8" t="n">
        <v>0</v>
      </c>
      <c r="G90" s="6" t="n">
        <v>906.7417355897232</v>
      </c>
      <c r="H90" s="6" t="n">
        <v>29.94372505525186</v>
      </c>
      <c r="I90" s="6" t="n">
        <v>95.48543954338555</v>
      </c>
    </row>
    <row r="91">
      <c r="A91" s="6" t="inlineStr">
        <is>
          <t>1 wt% Re | 200 C</t>
        </is>
      </c>
      <c r="B91" s="8" t="n">
        <v>0.091</v>
      </c>
      <c r="C91" s="6" t="n">
        <v>1298.749906570448</v>
      </c>
      <c r="D91" s="6" t="n">
        <v>103654.1404442269</v>
      </c>
      <c r="E91" s="8" t="n">
        <v>0.01332029802441094</v>
      </c>
      <c r="F91" s="8" t="n">
        <v>0</v>
      </c>
      <c r="G91" s="6" t="n">
        <v>910.2991171729518</v>
      </c>
      <c r="H91" s="6" t="n">
        <v>30.04377461195256</v>
      </c>
      <c r="I91" s="6" t="n">
        <v>95.76495397784348</v>
      </c>
    </row>
    <row r="92">
      <c r="A92" s="6" t="inlineStr">
        <is>
          <t>1 wt% Re | 200 C</t>
        </is>
      </c>
      <c r="B92" s="8" t="n">
        <v>0.092</v>
      </c>
      <c r="C92" s="6" t="n">
        <v>1303.376730701827</v>
      </c>
      <c r="D92" s="6" t="n">
        <v>103526.5032927757</v>
      </c>
      <c r="E92" s="8" t="n">
        <v>0.01320992608966063</v>
      </c>
      <c r="F92" s="8" t="n">
        <v>0</v>
      </c>
      <c r="G92" s="6" t="n">
        <v>913.8564987561803</v>
      </c>
      <c r="H92" s="6" t="n">
        <v>30.14382685745215</v>
      </c>
      <c r="I92" s="6" t="n">
        <v>96.04363650654926</v>
      </c>
    </row>
    <row r="93">
      <c r="A93" s="6" t="inlineStr">
        <is>
          <t>1 wt% Re | 200 C</t>
        </is>
      </c>
      <c r="B93" s="8" t="n">
        <v>0.093</v>
      </c>
      <c r="C93" s="6" t="n">
        <v>1308.002756781341</v>
      </c>
      <c r="D93" s="6" t="n">
        <v>103399.1883949805</v>
      </c>
      <c r="E93" s="8" t="n">
        <v>0.0131019038402778</v>
      </c>
      <c r="F93" s="8" t="n">
        <v>0</v>
      </c>
      <c r="G93" s="6" t="n">
        <v>917.4138803394085</v>
      </c>
      <c r="H93" s="6" t="n">
        <v>30.24388170501518</v>
      </c>
      <c r="I93" s="6" t="n">
        <v>96.32149805024738</v>
      </c>
    </row>
    <row r="94">
      <c r="A94" s="6" t="inlineStr">
        <is>
          <t>1 wt% Re | 200 C</t>
        </is>
      </c>
      <c r="B94" s="8" t="n">
        <v>0.094</v>
      </c>
      <c r="C94" s="6" t="n">
        <v>1312.627995116322</v>
      </c>
      <c r="D94" s="6" t="n">
        <v>103272.1854661502</v>
      </c>
      <c r="E94" s="8" t="n">
        <v>0.01299615703357987</v>
      </c>
      <c r="F94" s="8" t="n">
        <v>0</v>
      </c>
      <c r="G94" s="6" t="n">
        <v>920.9712619226373</v>
      </c>
      <c r="H94" s="6" t="n">
        <v>30.3439390715971</v>
      </c>
      <c r="I94" s="6" t="n">
        <v>96.5985492687694</v>
      </c>
    </row>
    <row r="95">
      <c r="A95" s="6" t="inlineStr">
        <is>
          <t>1 wt% Re | 200 C</t>
        </is>
      </c>
      <c r="B95" s="8" t="n">
        <v>0.095</v>
      </c>
      <c r="C95" s="6" t="n">
        <v>1317.25245577213</v>
      </c>
      <c r="D95" s="6" t="n">
        <v>103145.4846546334</v>
      </c>
      <c r="E95" s="8" t="n">
        <v>0.01289261452206593</v>
      </c>
      <c r="F95" s="8" t="n">
        <v>0</v>
      </c>
      <c r="G95" s="6" t="n">
        <v>924.5286435058655</v>
      </c>
      <c r="H95" s="6" t="n">
        <v>30.4439988776499</v>
      </c>
      <c r="I95" s="6" t="n">
        <v>96.87480056994116</v>
      </c>
    </row>
    <row r="96">
      <c r="A96" s="6" t="inlineStr">
        <is>
          <t>1 wt% Re | 200 C</t>
        </is>
      </c>
      <c r="B96" s="8" t="n">
        <v>0.096</v>
      </c>
      <c r="C96" s="6" t="n">
        <v>1321.876148580269</v>
      </c>
      <c r="D96" s="6" t="n">
        <v>103019.0765192639</v>
      </c>
      <c r="E96" s="8" t="n">
        <v>0.01279120809378259</v>
      </c>
      <c r="F96" s="8" t="n">
        <v>0</v>
      </c>
      <c r="G96" s="6" t="n">
        <v>928.0860250890939</v>
      </c>
      <c r="H96" s="6" t="n">
        <v>30.54406104694016</v>
      </c>
      <c r="I96" s="6" t="n">
        <v>97.15026211809973</v>
      </c>
    </row>
    <row r="97">
      <c r="A97" s="6" t="inlineStr">
        <is>
          <t>1 wt% Re | 200 C</t>
        </is>
      </c>
      <c r="B97" s="8" t="n">
        <v>0.097</v>
      </c>
      <c r="C97" s="6" t="n">
        <v>1326.499083146133</v>
      </c>
      <c r="D97" s="6" t="n">
        <v>102892.9520082022</v>
      </c>
      <c r="E97" s="8" t="n">
        <v>0.01269187232246888</v>
      </c>
      <c r="F97" s="8" t="n">
        <v>0</v>
      </c>
      <c r="G97" s="6" t="n">
        <v>931.6434066723225</v>
      </c>
      <c r="H97" s="6" t="n">
        <v>30.64412550637803</v>
      </c>
      <c r="I97" s="6" t="n">
        <v>97.42494384224088</v>
      </c>
    </row>
    <row r="98">
      <c r="A98" s="6" t="inlineStr">
        <is>
          <t>1 wt% Re | 200 C</t>
        </is>
      </c>
      <c r="B98" s="8" t="n">
        <v>0.098</v>
      </c>
      <c r="C98" s="6" t="n">
        <v>1331.121268856447</v>
      </c>
      <c r="D98" s="6" t="n">
        <v>102767.1024390714</v>
      </c>
      <c r="E98" s="8" t="n">
        <v>0.01259454442678803</v>
      </c>
      <c r="F98" s="8" t="n">
        <v>0</v>
      </c>
      <c r="G98" s="6" t="n">
        <v>935.2007882555509</v>
      </c>
      <c r="H98" s="6" t="n">
        <v>30.74419218585695</v>
      </c>
      <c r="I98" s="6" t="n">
        <v>97.69885544381611</v>
      </c>
    </row>
    <row r="99">
      <c r="A99" s="6" t="inlineStr">
        <is>
          <t>1 wt% Re | 200 C</t>
        </is>
      </c>
      <c r="B99" s="8" t="n">
        <v>0.099</v>
      </c>
      <c r="C99" s="6" t="n">
        <v>1335.742714886373</v>
      </c>
      <c r="D99" s="6" t="n">
        <v>102641.519480298</v>
      </c>
      <c r="E99" s="8" t="n">
        <v>0.01249916413801008</v>
      </c>
      <c r="F99" s="8" t="n">
        <v>0</v>
      </c>
      <c r="G99" s="6" t="n">
        <v>938.7581698387793</v>
      </c>
      <c r="H99" s="6" t="n">
        <v>30.84426101810298</v>
      </c>
      <c r="I99" s="6" t="n">
        <v>97.9720064041977</v>
      </c>
    </row>
    <row r="100">
      <c r="A100" s="6" t="inlineStr">
        <is>
          <t>1 wt% Re | 200 C</t>
        </is>
      </c>
      <c r="B100" s="8" t="n">
        <v>0.1</v>
      </c>
      <c r="C100" s="6" t="n">
        <v>1340.363430206332</v>
      </c>
      <c r="D100" s="6" t="n">
        <v>102516.1951335711</v>
      </c>
      <c r="E100" s="8" t="n">
        <v>0.01240567357555896</v>
      </c>
      <c r="F100" s="8" t="n">
        <v>0</v>
      </c>
      <c r="G100" s="6" t="n">
        <v>942.315551422007</v>
      </c>
      <c r="H100" s="6" t="n">
        <v>30.94433193853305</v>
      </c>
      <c r="I100" s="6" t="n">
        <v>98.24440599182924</v>
      </c>
    </row>
    <row r="101">
      <c r="A101" s="6" t="inlineStr">
        <is>
          <t>1 wt% Re | 200 C</t>
        </is>
      </c>
      <c r="B101" s="8" t="n">
        <v>0.101</v>
      </c>
      <c r="C101" s="6" t="n">
        <v>1344.983423588546</v>
      </c>
      <c r="D101" s="6" t="n">
        <v>102391.1217173449</v>
      </c>
      <c r="E101" s="8" t="n">
        <v>0.01231401712988435</v>
      </c>
      <c r="F101" s="8" t="n">
        <v>0</v>
      </c>
      <c r="G101" s="6" t="n">
        <v>945.8729330052357</v>
      </c>
      <c r="H101" s="6" t="n">
        <v>31.04440488512196</v>
      </c>
      <c r="I101" s="6" t="n">
        <v>98.51606326907698</v>
      </c>
    </row>
    <row r="102">
      <c r="A102" s="6" t="inlineStr">
        <is>
          <t>1 wt% Re | 200 C</t>
        </is>
      </c>
      <c r="B102" s="8" t="n">
        <v>0.102</v>
      </c>
      <c r="C102" s="6" t="n">
        <v>1349.602703613293</v>
      </c>
      <c r="D102" s="6" t="n">
        <v>102266.2918513105</v>
      </c>
      <c r="E102" s="8" t="n">
        <v>0.01222414135215999</v>
      </c>
      <c r="F102" s="8" t="n">
        <v>0</v>
      </c>
      <c r="G102" s="6" t="n">
        <v>949.4303145884641</v>
      </c>
      <c r="H102" s="6" t="n">
        <v>31.14447979827676</v>
      </c>
      <c r="I102" s="6" t="n">
        <v>98.78698709879777</v>
      </c>
    </row>
    <row r="103">
      <c r="A103" s="6" t="inlineStr">
        <is>
          <t>1 wt% Re | 200 C</t>
        </is>
      </c>
      <c r="B103" s="8" t="n">
        <v>0.103</v>
      </c>
      <c r="C103" s="6" t="n">
        <v>1354.221278674935</v>
      </c>
      <c r="D103" s="6" t="n">
        <v>102141.698441773</v>
      </c>
      <c r="E103" s="8" t="n">
        <v>0.01213599485034886</v>
      </c>
      <c r="F103" s="8" t="n">
        <v>0</v>
      </c>
      <c r="G103" s="6" t="n">
        <v>952.9876961716926</v>
      </c>
      <c r="H103" s="6" t="n">
        <v>31.24455662071886</v>
      </c>
      <c r="I103" s="6" t="n">
        <v>99.0571861506377</v>
      </c>
    </row>
    <row r="104">
      <c r="A104" s="6" t="inlineStr">
        <is>
          <t>1 wt% Re | 200 C</t>
        </is>
      </c>
      <c r="B104" s="8" t="n">
        <v>0.104</v>
      </c>
      <c r="C104" s="6" t="n">
        <v>1358.839156987678</v>
      </c>
      <c r="D104" s="6" t="n">
        <v>102017.334667872</v>
      </c>
      <c r="E104" s="8" t="n">
        <v>0.01204952819121064</v>
      </c>
      <c r="F104" s="8" t="n">
        <v>0</v>
      </c>
      <c r="G104" s="6" t="n">
        <v>956.545077754921</v>
      </c>
      <c r="H104" s="6" t="n">
        <v>31.34463529737262</v>
      </c>
      <c r="I104" s="6" t="n">
        <v>99.32666890707459</v>
      </c>
    </row>
    <row r="105">
      <c r="A105" s="6" t="inlineStr">
        <is>
          <t>1 wt% Re | 200 C</t>
        </is>
      </c>
      <c r="B105" s="8" t="n">
        <v>0.105</v>
      </c>
      <c r="C105" s="6" t="n">
        <v>1363.456346591119</v>
      </c>
      <c r="D105" s="6" t="n">
        <v>101893.1939685892</v>
      </c>
      <c r="E105" s="8" t="n">
        <v>0.01196469380785862</v>
      </c>
      <c r="F105" s="8" t="n">
        <v>0</v>
      </c>
      <c r="G105" s="6" t="n">
        <v>960.1024593381494</v>
      </c>
      <c r="H105" s="6" t="n">
        <v>31.44471577526061</v>
      </c>
      <c r="I105" s="6" t="n">
        <v>99.5954436692173</v>
      </c>
    </row>
    <row r="106">
      <c r="A106" s="6" t="inlineStr">
        <is>
          <t>1 wt% Re | 200 C</t>
        </is>
      </c>
      <c r="B106" s="8" t="n">
        <v>0.106</v>
      </c>
      <c r="C106" s="6" t="n">
        <v>1368.072855355568</v>
      </c>
      <c r="D106" s="6" t="n">
        <v>101769.270030492</v>
      </c>
      <c r="E106" s="8" t="n">
        <v>0.011881445912503</v>
      </c>
      <c r="F106" s="8" t="n">
        <v>0</v>
      </c>
      <c r="G106" s="6" t="n">
        <v>963.6598409213777</v>
      </c>
      <c r="H106" s="6" t="n">
        <v>31.54479800340449</v>
      </c>
      <c r="I106" s="6" t="n">
        <v>99.86351856237329</v>
      </c>
    </row>
    <row r="107">
      <c r="A107" s="6" t="inlineStr">
        <is>
          <t>1 wt% Re | 200 C</t>
        </is>
      </c>
      <c r="B107" s="8" t="n">
        <v>0.107</v>
      </c>
      <c r="C107" s="6" t="n">
        <v>1372.688690987159</v>
      </c>
      <c r="D107" s="6" t="n">
        <v>101645.556776164</v>
      </c>
      <c r="E107" s="8" t="n">
        <v>0.01179974041404421</v>
      </c>
      <c r="F107" s="8" t="n">
        <v>0</v>
      </c>
      <c r="G107" s="6" t="n">
        <v>967.2172225046062</v>
      </c>
      <c r="H107" s="6" t="n">
        <v>31.64488193273165</v>
      </c>
      <c r="I107" s="6" t="n">
        <v>100.1309015413964</v>
      </c>
    </row>
    <row r="108">
      <c r="A108" s="6" t="inlineStr">
        <is>
          <t>1 wt% Re | 200 C</t>
        </is>
      </c>
      <c r="B108" s="8" t="n">
        <v>0.108</v>
      </c>
      <c r="C108" s="6" t="n">
        <v>1377.303861032766</v>
      </c>
      <c r="D108" s="6" t="n">
        <v>101522.0483532784</v>
      </c>
      <c r="E108" s="8" t="n">
        <v>0.01171953484020458</v>
      </c>
      <c r="F108" s="8" t="n">
        <v>0</v>
      </c>
      <c r="G108" s="6" t="n">
        <v>970.7746040878347</v>
      </c>
      <c r="H108" s="6" t="n">
        <v>31.744967515987</v>
      </c>
      <c r="I108" s="6" t="n">
        <v>100.3976003958246</v>
      </c>
    </row>
    <row r="109">
      <c r="A109" s="6" t="inlineStr">
        <is>
          <t>1 wt% Re | 200 C</t>
        </is>
      </c>
      <c r="B109" s="8" t="n">
        <v>0.109</v>
      </c>
      <c r="C109" s="6" t="n">
        <v>1381.918372884724</v>
      </c>
      <c r="D109" s="6" t="n">
        <v>101398.7391242724</v>
      </c>
      <c r="E109" s="8" t="n">
        <v>0.01164078826390951</v>
      </c>
      <c r="F109" s="8" t="n">
        <v>0</v>
      </c>
      <c r="G109" s="6" t="n">
        <v>974.3319856710632</v>
      </c>
      <c r="H109" s="6" t="n">
        <v>31.8450547076496</v>
      </c>
      <c r="I109" s="6" t="n">
        <v>100.663622754818</v>
      </c>
    </row>
    <row r="110">
      <c r="A110" s="6" t="inlineStr">
        <is>
          <t>1 wt% Re | 200 C</t>
        </is>
      </c>
      <c r="B110" s="8" t="n">
        <v>0.11</v>
      </c>
      <c r="C110" s="6" t="n">
        <v>1386.532233785383</v>
      </c>
      <c r="D110" s="6" t="n">
        <v>101275.6236565857</v>
      </c>
      <c r="E110" s="8" t="n">
        <v>0.01156346123364991</v>
      </c>
      <c r="F110" s="8" t="n">
        <v>0</v>
      </c>
      <c r="G110" s="6" t="n">
        <v>977.8893672542916</v>
      </c>
      <c r="H110" s="6" t="n">
        <v>31.94514346385379</v>
      </c>
      <c r="I110" s="6" t="n">
        <v>100.9289760919071</v>
      </c>
    </row>
    <row r="111">
      <c r="A111" s="6" t="inlineStr">
        <is>
          <t>1 wt% Re | 200 C</t>
        </is>
      </c>
      <c r="B111" s="8" t="n">
        <v>0.111</v>
      </c>
      <c r="C111" s="6" t="n">
        <v>1391.145450831468</v>
      </c>
      <c r="D111" s="6" t="n">
        <v>101152.6967134259</v>
      </c>
      <c r="E111" s="8" t="n">
        <v>0.01148751570757705</v>
      </c>
      <c r="F111" s="8" t="n">
        <v>0</v>
      </c>
      <c r="G111" s="6" t="n">
        <v>981.4467488375199</v>
      </c>
      <c r="H111" s="6" t="n">
        <v>32.04523374231465</v>
      </c>
      <c r="I111" s="6" t="n">
        <v>101.1936677295593</v>
      </c>
    </row>
    <row r="112">
      <c r="A112" s="6" t="inlineStr">
        <is>
          <t>1 wt% Re | 200 C</t>
        </is>
      </c>
      <c r="B112" s="8" t="n">
        <v>0.112</v>
      </c>
      <c r="C112" s="6" t="n">
        <v>1395.758030978296</v>
      </c>
      <c r="D112" s="6" t="n">
        <v>101029.953245029</v>
      </c>
      <c r="E112" s="8" t="n">
        <v>0.0114129149910985</v>
      </c>
      <c r="F112" s="8" t="n">
        <v>0</v>
      </c>
      <c r="G112" s="6" t="n">
        <v>985.0041304207488</v>
      </c>
      <c r="H112" s="6" t="n">
        <v>32.14532550225746</v>
      </c>
      <c r="I112" s="6" t="n">
        <v>101.4577048435723</v>
      </c>
    </row>
    <row r="113">
      <c r="A113" s="6" t="inlineStr">
        <is>
          <t>1 wt% Re | 200 C</t>
        </is>
      </c>
      <c r="B113" s="8" t="n">
        <v>0.113</v>
      </c>
      <c r="C113" s="6" t="n">
        <v>1400.369981043824</v>
      </c>
      <c r="D113" s="6" t="n">
        <v>100907.3883803834</v>
      </c>
      <c r="E113" s="8" t="n">
        <v>0.01133962367775996</v>
      </c>
      <c r="F113" s="8" t="n">
        <v>0</v>
      </c>
      <c r="G113" s="6" t="n">
        <v>988.561512003977</v>
      </c>
      <c r="H113" s="6" t="n">
        <v>32.24541870435083</v>
      </c>
      <c r="I113" s="6" t="n">
        <v>101.7210944673033</v>
      </c>
    </row>
    <row r="114">
      <c r="A114" s="6" t="inlineStr">
        <is>
          <t>1 wt% Re | 200 C</t>
        </is>
      </c>
      <c r="B114" s="8" t="n">
        <v>0.114</v>
      </c>
      <c r="C114" s="6" t="n">
        <v>1404.981307712549</v>
      </c>
      <c r="D114" s="6" t="n">
        <v>100784.9974193904</v>
      </c>
      <c r="E114" s="8" t="n">
        <v>0.01126760759321305</v>
      </c>
      <c r="F114" s="8" t="n">
        <v>0</v>
      </c>
      <c r="G114" s="6" t="n">
        <v>992.1188935872054</v>
      </c>
      <c r="H114" s="6" t="n">
        <v>32.34551331064344</v>
      </c>
      <c r="I114" s="6" t="n">
        <v>101.9838434957397</v>
      </c>
    </row>
    <row r="115">
      <c r="A115" s="6" t="inlineStr">
        <is>
          <t>1 wt% Re | 200 C</t>
        </is>
      </c>
      <c r="B115" s="8" t="n">
        <v>0.115</v>
      </c>
      <c r="C115" s="6" t="n">
        <v>1409.59201753927</v>
      </c>
      <c r="D115" s="6" t="n">
        <v>100662.7758254331</v>
      </c>
      <c r="E115" s="8" t="n">
        <v>0.01119683374208257</v>
      </c>
      <c r="F115" s="8" t="n">
        <v>0</v>
      </c>
      <c r="G115" s="6" t="n">
        <v>995.6762751704332</v>
      </c>
      <c r="H115" s="6" t="n">
        <v>32.44560928450399</v>
      </c>
      <c r="I115" s="6" t="n">
        <v>102.2459586894208</v>
      </c>
    </row>
    <row r="116">
      <c r="A116" s="6" t="inlineStr">
        <is>
          <t>1 wt% Re | 200 C</t>
        </is>
      </c>
      <c r="B116" s="8" t="n">
        <v>0.116</v>
      </c>
      <c r="C116" s="6" t="n">
        <v>1414.20211695271</v>
      </c>
      <c r="D116" s="6" t="n">
        <v>100540.7192183295</v>
      </c>
      <c r="E116" s="8" t="n">
        <v>0.01112727025755994</v>
      </c>
      <c r="F116" s="8" t="n">
        <v>0</v>
      </c>
      <c r="G116" s="6" t="n">
        <v>999.2336567536614</v>
      </c>
      <c r="H116" s="6" t="n">
        <v>32.54570659056438</v>
      </c>
      <c r="I116" s="6" t="n">
        <v>102.5074466782146</v>
      </c>
    </row>
    <row r="117">
      <c r="A117" s="6" t="inlineStr">
        <is>
          <t>1 wt% Re | 200 C</t>
        </is>
      </c>
      <c r="B117" s="8" t="n">
        <v>0.117</v>
      </c>
      <c r="C117" s="6" t="n">
        <v>1418.811612259004</v>
      </c>
      <c r="D117" s="6" t="n">
        <v>100418.8233676474</v>
      </c>
      <c r="E117" s="8" t="n">
        <v>0.01105888635356059</v>
      </c>
      <c r="F117" s="8" t="n">
        <v>0</v>
      </c>
      <c r="G117" s="6" t="n">
        <v>1002.79103833689</v>
      </c>
      <c r="H117" s="6" t="n">
        <v>32.6458051946656</v>
      </c>
      <c r="I117" s="6" t="n">
        <v>102.7683139649587</v>
      </c>
    </row>
    <row r="118">
      <c r="A118" s="6" t="inlineStr">
        <is>
          <t>1 wt% Re | 200 C</t>
        </is>
      </c>
      <c r="B118" s="8" t="n">
        <v>0.118</v>
      </c>
      <c r="C118" s="6" t="n">
        <v>1423.420509645065</v>
      </c>
      <c r="D118" s="6" t="n">
        <v>100297.0841863592</v>
      </c>
      <c r="E118" s="8" t="n">
        <v>0.01099165227929496</v>
      </c>
      <c r="F118" s="8" t="n">
        <v>0</v>
      </c>
      <c r="G118" s="6" t="n">
        <v>1006.348419920119</v>
      </c>
      <c r="H118" s="6" t="n">
        <v>32.74590506380663</v>
      </c>
      <c r="I118" s="6" t="n">
        <v>103.0285669289688</v>
      </c>
    </row>
    <row r="119">
      <c r="A119" s="6" t="inlineStr">
        <is>
          <t>1 wt% Re | 200 C</t>
        </is>
      </c>
      <c r="B119" s="8" t="n">
        <v>0.119</v>
      </c>
      <c r="C119" s="6" t="n">
        <v>1428.028815181839</v>
      </c>
      <c r="D119" s="6" t="n">
        <v>100175.4977248163</v>
      </c>
      <c r="E119" s="8" t="n">
        <v>0.01092553927611176</v>
      </c>
      <c r="F119" s="8" t="n">
        <v>0</v>
      </c>
      <c r="G119" s="6" t="n">
        <v>1009.905801503347</v>
      </c>
      <c r="H119" s="6" t="n">
        <v>32.84600616609571</v>
      </c>
      <c r="I119" s="6" t="n">
        <v>103.2882118294232</v>
      </c>
    </row>
    <row r="120">
      <c r="A120" s="6" t="inlineStr">
        <is>
          <t>1 wt% Re | 200 C</t>
        </is>
      </c>
      <c r="B120" s="8" t="n">
        <v>0.12</v>
      </c>
      <c r="C120" s="6" t="n">
        <v>1432.636534827429</v>
      </c>
      <c r="D120" s="6" t="n">
        <v>100054.060165025</v>
      </c>
      <c r="E120" s="8" t="n">
        <v>0.01086051953648229</v>
      </c>
      <c r="F120" s="8" t="n">
        <v>0</v>
      </c>
      <c r="G120" s="6" t="n">
        <v>1013.463183086575</v>
      </c>
      <c r="H120" s="6" t="n">
        <v>32.94610847070414</v>
      </c>
      <c r="I120" s="6" t="n">
        <v>103.5472548086266</v>
      </c>
    </row>
    <row r="121">
      <c r="A121" s="6" t="inlineStr">
        <is>
          <t>1 wt% Re | 200 C</t>
        </is>
      </c>
      <c r="B121" s="8" t="n">
        <v>0.121</v>
      </c>
      <c r="C121" s="6" t="n">
        <v>1437.243674430123</v>
      </c>
      <c r="D121" s="6" t="n">
        <v>99932.76781520646</v>
      </c>
      <c r="E121" s="8" t="n">
        <v>0.01079656616500279</v>
      </c>
      <c r="F121" s="8" t="n">
        <v>0</v>
      </c>
      <c r="G121" s="6" t="n">
        <v>1017.020564669804</v>
      </c>
      <c r="H121" s="6" t="n">
        <v>33.04621194782234</v>
      </c>
      <c r="I121" s="6" t="n">
        <v>103.8057018951592</v>
      </c>
    </row>
    <row r="122">
      <c r="A122" s="6" t="inlineStr">
        <is>
          <t>1 wt% Re | 200 C</t>
        </is>
      </c>
      <c r="B122" s="8" t="n">
        <v>0.122</v>
      </c>
      <c r="C122" s="6" t="n">
        <v>1441.850239731313</v>
      </c>
      <c r="D122" s="6" t="n">
        <v>99811.61710462354</v>
      </c>
      <c r="E122" s="8" t="n">
        <v>0.01073365314129994</v>
      </c>
      <c r="F122" s="8" t="n">
        <v>0</v>
      </c>
      <c r="G122" s="6" t="n">
        <v>1020.577946253032</v>
      </c>
      <c r="H122" s="6" t="n">
        <v>33.1463165686181</v>
      </c>
      <c r="I122" s="6" t="n">
        <v>104.0635590069163</v>
      </c>
    </row>
    <row r="123">
      <c r="A123" s="6" t="inlineStr">
        <is>
          <t>1 wt% Re | 200 C</t>
        </is>
      </c>
      <c r="B123" s="8" t="n">
        <v>0.123</v>
      </c>
      <c r="C123" s="6" t="n">
        <v>1446.456236368311</v>
      </c>
      <c r="D123" s="6" t="n">
        <v>99690.60457866076</v>
      </c>
      <c r="E123" s="8" t="n">
        <v>0.01067175528473204</v>
      </c>
      <c r="F123" s="8" t="n">
        <v>0</v>
      </c>
      <c r="G123" s="6" t="n">
        <v>1024.135327836261</v>
      </c>
      <c r="H123" s="6" t="n">
        <v>33.24642230519688</v>
      </c>
      <c r="I123" s="6" t="n">
        <v>104.3208319540424</v>
      </c>
    </row>
    <row r="124">
      <c r="A124" s="6" t="inlineStr">
        <is>
          <t>1 wt% Re | 200 C</t>
        </is>
      </c>
      <c r="B124" s="8" t="n">
        <v>0.124</v>
      </c>
      <c r="C124" s="6" t="n">
        <v>1451.061669877074</v>
      </c>
      <c r="D124" s="6" t="n">
        <v>99569.72689414182</v>
      </c>
      <c r="E124" s="8" t="n">
        <v>0.0106108482207853</v>
      </c>
      <c r="F124" s="8" t="n">
        <v>0</v>
      </c>
      <c r="G124" s="6" t="n">
        <v>1027.692709419489</v>
      </c>
      <c r="H124" s="6" t="n">
        <v>33.34652913056389</v>
      </c>
      <c r="I124" s="6" t="n">
        <v>104.5775264417654</v>
      </c>
    </row>
    <row r="125">
      <c r="A125" s="6" t="inlineStr">
        <is>
          <t>1 wt% Re | 200 C</t>
        </is>
      </c>
      <c r="B125" s="8" t="n">
        <v>0.125</v>
      </c>
      <c r="C125" s="6" t="n">
        <v>1455.666545694835</v>
      </c>
      <c r="D125" s="6" t="n">
        <v>99448.98081487212</v>
      </c>
      <c r="E125" s="8" t="n">
        <v>0.01055090834907089</v>
      </c>
      <c r="F125" s="8" t="n">
        <v>0</v>
      </c>
      <c r="G125" s="6" t="n">
        <v>1031.250091002718</v>
      </c>
      <c r="H125" s="6" t="n">
        <v>33.44663701858822</v>
      </c>
      <c r="I125" s="6" t="n">
        <v>104.833648073133</v>
      </c>
    </row>
    <row r="126">
      <c r="A126" s="6" t="inlineStr">
        <is>
          <t>1 wt% Re | 200 C</t>
        </is>
      </c>
      <c r="B126" s="8" t="n">
        <v>0.126</v>
      </c>
      <c r="C126" s="6" t="n">
        <v>1460.270869162639</v>
      </c>
      <c r="D126" s="6" t="n">
        <v>99328.3632073933</v>
      </c>
      <c r="E126" s="8" t="n">
        <v>0.0104919128128347</v>
      </c>
      <c r="F126" s="8" t="n">
        <v>0</v>
      </c>
      <c r="G126" s="6" t="n">
        <v>1034.807472585946</v>
      </c>
      <c r="H126" s="6" t="n">
        <v>33.5467459439685</v>
      </c>
      <c r="I126" s="6" t="n">
        <v>105.0892023516576</v>
      </c>
    </row>
    <row r="127">
      <c r="A127" s="6" t="inlineStr">
        <is>
          <t>1 wt% Re | 200 C</t>
        </is>
      </c>
      <c r="B127" s="8" t="n">
        <v>0.127</v>
      </c>
      <c r="C127" s="6" t="n">
        <v>1464.874645527809</v>
      </c>
      <c r="D127" s="6" t="n">
        <v>99207.87103693864</v>
      </c>
      <c r="E127" s="8" t="n">
        <v>0.01043383946989689</v>
      </c>
      <c r="F127" s="8" t="n">
        <v>0</v>
      </c>
      <c r="G127" s="6" t="n">
        <v>1038.364854169174</v>
      </c>
      <c r="H127" s="6" t="n">
        <v>33.64685588220028</v>
      </c>
      <c r="I127" s="6" t="n">
        <v>105.3441946838726</v>
      </c>
    </row>
    <row r="128">
      <c r="A128" s="6" t="inlineStr">
        <is>
          <t>1 wt% Re | 200 C</t>
        </is>
      </c>
      <c r="B128" s="8" t="n">
        <v>0.128</v>
      </c>
      <c r="C128" s="6" t="n">
        <v>1469.477879946316</v>
      </c>
      <c r="D128" s="6" t="n">
        <v>99087.50136357792</v>
      </c>
      <c r="E128" s="8" t="n">
        <v>0.01037666686494359</v>
      </c>
      <c r="F128" s="8" t="n">
        <v>0</v>
      </c>
      <c r="G128" s="6" t="n">
        <v>1041.922235752403</v>
      </c>
      <c r="H128" s="6" t="n">
        <v>33.74696680954485</v>
      </c>
      <c r="I128" s="6" t="n">
        <v>105.5986303818026</v>
      </c>
    </row>
    <row r="129">
      <c r="A129" s="6" t="inlineStr">
        <is>
          <t>1 wt% Re | 200 C</t>
        </is>
      </c>
      <c r="B129" s="8" t="n">
        <v>0.129</v>
      </c>
      <c r="C129" s="6" t="n">
        <v>1474.080577485078</v>
      </c>
      <c r="D129" s="6" t="n">
        <v>98967.25133854146</v>
      </c>
      <c r="E129" s="8" t="n">
        <v>0.01032037420309809</v>
      </c>
      <c r="F129" s="8" t="n">
        <v>0</v>
      </c>
      <c r="G129" s="6" t="n">
        <v>1045.479617335631</v>
      </c>
      <c r="H129" s="6" t="n">
        <v>33.84707870299957</v>
      </c>
      <c r="I129" s="6" t="n">
        <v>105.8525146653535</v>
      </c>
    </row>
    <row r="130">
      <c r="A130" s="6" t="inlineStr">
        <is>
          <t>1 wt% Re | 200 C</t>
        </is>
      </c>
      <c r="B130" s="8" t="n">
        <v>0.13</v>
      </c>
      <c r="C130" s="6" t="n">
        <v>1478.682743124183</v>
      </c>
      <c r="D130" s="6" t="n">
        <v>98847.11820071416</v>
      </c>
      <c r="E130" s="8" t="n">
        <v>0.01026494132470288</v>
      </c>
      <c r="F130" s="8" t="n">
        <v>0</v>
      </c>
      <c r="G130" s="6" t="n">
        <v>1049.03699891886</v>
      </c>
      <c r="H130" s="6" t="n">
        <v>33.94719154026961</v>
      </c>
      <c r="I130" s="6" t="n">
        <v>106.1058526646228</v>
      </c>
    </row>
    <row r="131">
      <c r="A131" s="6" t="inlineStr">
        <is>
          <t>1 wt% Re | 200 C</t>
        </is>
      </c>
      <c r="B131" s="8" t="n">
        <v>0.131</v>
      </c>
      <c r="C131" s="6" t="n">
        <v>1483.284381759044</v>
      </c>
      <c r="D131" s="6" t="n">
        <v>98727.09927328963</v>
      </c>
      <c r="E131" s="8" t="n">
        <v>0.01021034868124857</v>
      </c>
      <c r="F131" s="8" t="n">
        <v>0</v>
      </c>
      <c r="G131" s="6" t="n">
        <v>1052.594380502088</v>
      </c>
      <c r="H131" s="6" t="n">
        <v>34.04730529974086</v>
      </c>
      <c r="I131" s="6" t="n">
        <v>106.3586494221359</v>
      </c>
    </row>
    <row r="132">
      <c r="A132" s="6" t="inlineStr">
        <is>
          <t>1 wt% Re | 200 C</t>
        </is>
      </c>
      <c r="B132" s="8" t="n">
        <v>0.132</v>
      </c>
      <c r="C132" s="6" t="n">
        <v>1487.885498202475</v>
      </c>
      <c r="D132" s="6" t="n">
        <v>98607.19196057694</v>
      </c>
      <c r="E132" s="8" t="n">
        <v>0.01015657731238902</v>
      </c>
      <c r="F132" s="8" t="n">
        <v>0</v>
      </c>
      <c r="G132" s="6" t="n">
        <v>1056.151762085317</v>
      </c>
      <c r="H132" s="6" t="n">
        <v>34.14741996045421</v>
      </c>
      <c r="I132" s="6" t="n">
        <v>106.6109098950093</v>
      </c>
    </row>
    <row r="133">
      <c r="A133" s="6" t="inlineStr">
        <is>
          <t>1 wt% Re | 200 C</t>
        </is>
      </c>
      <c r="B133" s="8" t="n">
        <v>0.133</v>
      </c>
      <c r="C133" s="6" t="n">
        <v>1492.48609718671</v>
      </c>
      <c r="D133" s="6" t="n">
        <v>98487.393744951</v>
      </c>
      <c r="E133" s="8" t="n">
        <v>0.01010360882398618</v>
      </c>
      <c r="F133" s="8" t="n">
        <v>0</v>
      </c>
      <c r="G133" s="6" t="n">
        <v>1059.709143668545</v>
      </c>
      <c r="H133" s="6" t="n">
        <v>34.24753550208089</v>
      </c>
      <c r="I133" s="6" t="n">
        <v>106.8626389570453</v>
      </c>
    </row>
    <row r="134">
      <c r="A134" s="6" t="inlineStr">
        <is>
          <t>1 wt% Re | 200 C</t>
        </is>
      </c>
      <c r="B134" s="8" t="n">
        <v>0.134</v>
      </c>
      <c r="C134" s="6" t="n">
        <v>1497.086183365359</v>
      </c>
      <c r="D134" s="6" t="n">
        <v>98367.70218393972</v>
      </c>
      <c r="E134" s="8" t="n">
        <v>0.01005142536713101</v>
      </c>
      <c r="F134" s="8" t="n">
        <v>0</v>
      </c>
      <c r="G134" s="6" t="n">
        <v>1063.266525251773</v>
      </c>
      <c r="H134" s="6" t="n">
        <v>34.34765190489897</v>
      </c>
      <c r="I134" s="6" t="n">
        <v>107.1138414007593</v>
      </c>
    </row>
    <row r="135">
      <c r="A135" s="6" t="inlineStr">
        <is>
          <t>1 wt% Re | 200 C</t>
        </is>
      </c>
      <c r="B135" s="8" t="n">
        <v>0.135</v>
      </c>
      <c r="C135" s="6" t="n">
        <v>1501.685761315289</v>
      </c>
      <c r="D135" s="6" t="n">
        <v>98248.11490744057</v>
      </c>
      <c r="E135" s="8" t="n">
        <v>0.01000000961809036</v>
      </c>
      <c r="F135" s="8" t="n">
        <v>0</v>
      </c>
      <c r="G135" s="6" t="n">
        <v>1066.823906835002</v>
      </c>
      <c r="H135" s="6" t="n">
        <v>34.44776914977084</v>
      </c>
      <c r="I135" s="6" t="n">
        <v>107.3645219393438</v>
      </c>
    </row>
    <row r="136">
      <c r="A136" s="6" t="inlineStr">
        <is>
          <t>1 wt% Re | 200 C</t>
        </is>
      </c>
      <c r="B136" s="8" t="n">
        <v>0.136</v>
      </c>
      <c r="C136" s="6" t="n">
        <v>1506.284835538464</v>
      </c>
      <c r="D136" s="6" t="n">
        <v>98128.62961505986</v>
      </c>
      <c r="E136" s="8" t="n">
        <v>0.009949344759132474</v>
      </c>
      <c r="F136" s="8" t="n">
        <v>0</v>
      </c>
      <c r="G136" s="6" t="n">
        <v>1070.38128841823</v>
      </c>
      <c r="H136" s="6" t="n">
        <v>34.54788721812182</v>
      </c>
      <c r="I136" s="6" t="n">
        <v>107.6146852085698</v>
      </c>
    </row>
    <row r="137">
      <c r="A137" s="6" t="inlineStr">
        <is>
          <t>1 wt% Re | 200 C</t>
        </is>
      </c>
      <c r="B137" s="8" t="n">
        <v>0.137</v>
      </c>
      <c r="C137" s="6" t="n">
        <v>1510.883410463717</v>
      </c>
      <c r="D137" s="6" t="n">
        <v>98009.24407356874</v>
      </c>
      <c r="E137" s="8" t="n">
        <v>0.009899414460186379</v>
      </c>
      <c r="F137" s="8" t="n">
        <v>0</v>
      </c>
      <c r="G137" s="6" t="n">
        <v>1073.938670001458</v>
      </c>
      <c r="H137" s="6" t="n">
        <v>34.64800609191947</v>
      </c>
      <c r="I137" s="6" t="n">
        <v>107.8643357686301</v>
      </c>
    </row>
    <row r="138">
      <c r="A138" s="6" t="inlineStr">
        <is>
          <t>1 wt% Re | 200 C</t>
        </is>
      </c>
      <c r="B138" s="8" t="n">
        <v>0.138</v>
      </c>
      <c r="C138" s="6" t="n">
        <v>1515.481490448472</v>
      </c>
      <c r="D138" s="6" t="n">
        <v>97889.95611446965</v>
      </c>
      <c r="E138" s="8" t="n">
        <v>0.009850202861293369</v>
      </c>
      <c r="F138" s="8" t="n">
        <v>0</v>
      </c>
      <c r="G138" s="6" t="n">
        <v>1077.496051584687</v>
      </c>
      <c r="H138" s="6" t="n">
        <v>34.74812575365413</v>
      </c>
      <c r="I138" s="6" t="n">
        <v>108.1134781059253</v>
      </c>
    </row>
    <row r="139">
      <c r="A139" s="6" t="inlineStr">
        <is>
          <t>1 wt% Re | 200 C</t>
        </is>
      </c>
      <c r="B139" s="8" t="n">
        <v>0.139</v>
      </c>
      <c r="C139" s="6" t="n">
        <v>1520.079079780407</v>
      </c>
      <c r="D139" s="6" t="n">
        <v>97770.76363166772</v>
      </c>
      <c r="E139" s="8" t="n">
        <v>0.009801694555810828</v>
      </c>
      <c r="F139" s="8" t="n">
        <v>0</v>
      </c>
      <c r="G139" s="6" t="n">
        <v>1081.053433167916</v>
      </c>
      <c r="H139" s="6" t="n">
        <v>34.84824618631994</v>
      </c>
      <c r="I139" s="6" t="n">
        <v>108.362116634794</v>
      </c>
    </row>
    <row r="140">
      <c r="A140" s="6" t="inlineStr">
        <is>
          <t>1 wt% Re | 200 C</t>
        </is>
      </c>
      <c r="B140" s="8" t="n">
        <v>0.14</v>
      </c>
      <c r="C140" s="6" t="n">
        <v>1524.676182679079</v>
      </c>
      <c r="D140" s="6" t="n">
        <v>97651.66457924235</v>
      </c>
      <c r="E140" s="8" t="n">
        <v>0.009753874574331012</v>
      </c>
      <c r="F140" s="8" t="n">
        <v>0</v>
      </c>
      <c r="G140" s="6" t="n">
        <v>1084.610814751144</v>
      </c>
      <c r="H140" s="6" t="n">
        <v>34.94836737339694</v>
      </c>
      <c r="I140" s="6" t="n">
        <v>108.6102556991921</v>
      </c>
    </row>
    <row r="141">
      <c r="A141" s="6" t="inlineStr">
        <is>
          <t>1 wt% Re | 200 C</t>
        </is>
      </c>
      <c r="B141" s="8" t="n">
        <v>0.141</v>
      </c>
      <c r="C141" s="6" t="n">
        <v>1529.272803297486</v>
      </c>
      <c r="D141" s="6" t="n">
        <v>97532.65696931318</v>
      </c>
      <c r="E141" s="8" t="n">
        <v>0.009706728369279667</v>
      </c>
      <c r="F141" s="8" t="n">
        <v>0</v>
      </c>
      <c r="G141" s="6" t="n">
        <v>1088.168196334372</v>
      </c>
      <c r="H141" s="6" t="n">
        <v>35.04848929883385</v>
      </c>
      <c r="I141" s="6" t="n">
        <v>108.8578995743195</v>
      </c>
    </row>
    <row r="142">
      <c r="A142" s="6" t="inlineStr">
        <is>
          <t>1 wt% Re | 200 C</t>
        </is>
      </c>
      <c r="B142" s="8" t="n">
        <v>0.142</v>
      </c>
      <c r="C142" s="6" t="n">
        <v>1533.868945723591</v>
      </c>
      <c r="D142" s="6" t="n">
        <v>97413.73886999646</v>
      </c>
      <c r="E142" s="8" t="n">
        <v>0.00966024180016099</v>
      </c>
      <c r="F142" s="8" t="n">
        <v>0</v>
      </c>
      <c r="G142" s="6" t="n">
        <v>1091.7255779176</v>
      </c>
      <c r="H142" s="6" t="n">
        <v>35.14861194703149</v>
      </c>
      <c r="I142" s="6" t="n">
        <v>109.1050524681991</v>
      </c>
    </row>
    <row r="143">
      <c r="A143" s="6" t="inlineStr">
        <is>
          <t>1 wt% Re | 200 C</t>
        </is>
      </c>
      <c r="B143" s="8" t="n">
        <v>0.143</v>
      </c>
      <c r="C143" s="6" t="n">
        <v>1538.464613981801</v>
      </c>
      <c r="D143" s="6" t="n">
        <v>97294.90840344722</v>
      </c>
      <c r="E143" s="8" t="n">
        <v>0.009614401119417706</v>
      </c>
      <c r="F143" s="8" t="n">
        <v>0</v>
      </c>
      <c r="G143" s="6" t="n">
        <v>1095.282959500829</v>
      </c>
      <c r="H143" s="6" t="n">
        <v>35.24873530282709</v>
      </c>
      <c r="I143" s="6" t="n">
        <v>109.3517185232081</v>
      </c>
    </row>
    <row r="144">
      <c r="A144" s="6" t="inlineStr">
        <is>
          <t>1 wt% Re | 200 C</t>
        </is>
      </c>
      <c r="B144" s="8" t="n">
        <v>0.144</v>
      </c>
      <c r="C144" s="6" t="n">
        <v>1543.059812034397</v>
      </c>
      <c r="D144" s="6" t="n">
        <v>97176.16374398276</v>
      </c>
      <c r="E144" s="8" t="n">
        <v>0.00956919295887643</v>
      </c>
      <c r="F144" s="8" t="n">
        <v>0</v>
      </c>
      <c r="G144" s="6" t="n">
        <v>1098.840341084057</v>
      </c>
      <c r="H144" s="6" t="n">
        <v>35.34885935147898</v>
      </c>
      <c r="I144" s="6" t="n">
        <v>109.5979018175641</v>
      </c>
    </row>
    <row r="145">
      <c r="A145" s="6" t="inlineStr">
        <is>
          <t>1 wt% Re | 200 C</t>
        </is>
      </c>
      <c r="B145" s="8" t="n">
        <v>0.145</v>
      </c>
      <c r="C145" s="6" t="n">
        <v>1547.654543782922</v>
      </c>
      <c r="D145" s="6" t="n">
        <v>97057.50311628412</v>
      </c>
      <c r="E145" s="8" t="n">
        <v>0.009524604316750257</v>
      </c>
      <c r="F145" s="8" t="n">
        <v>0</v>
      </c>
      <c r="G145" s="6" t="n">
        <v>1102.397722667286</v>
      </c>
      <c r="H145" s="6" t="n">
        <v>35.44898407865222</v>
      </c>
      <c r="I145" s="6" t="n">
        <v>109.8436063667675</v>
      </c>
    </row>
    <row r="146">
      <c r="A146" s="6" t="inlineStr">
        <is>
          <t>1 wt% Re | 200 C</t>
        </is>
      </c>
      <c r="B146" s="8" t="n">
        <v>0.146</v>
      </c>
      <c r="C146" s="6" t="n">
        <v>1552.24881306954</v>
      </c>
      <c r="D146" s="6" t="n">
        <v>96938.92479367113</v>
      </c>
      <c r="E146" s="8" t="n">
        <v>0.009480622545172079</v>
      </c>
      <c r="F146" s="8" t="n">
        <v>0</v>
      </c>
      <c r="G146" s="6" t="n">
        <v>1105.955104250514</v>
      </c>
      <c r="H146" s="6" t="n">
        <v>35.54910947040461</v>
      </c>
      <c r="I146" s="6" t="n">
        <v>110.0888361250015</v>
      </c>
    </row>
    <row r="147">
      <c r="A147" s="6" t="inlineStr">
        <is>
          <t>1 wt% Re | 200 C</t>
        </is>
      </c>
      <c r="B147" s="8" t="n">
        <v>0.147</v>
      </c>
      <c r="C147" s="6" t="n">
        <v>1556.842623678339</v>
      </c>
      <c r="D147" s="6" t="n">
        <v>96820.42709644821</v>
      </c>
      <c r="E147" s="8" t="n">
        <v>0.009437235338233483</v>
      </c>
      <c r="F147" s="8" t="n">
        <v>0</v>
      </c>
      <c r="G147" s="6" t="n">
        <v>1109.512485833742</v>
      </c>
      <c r="H147" s="6" t="n">
        <v>35.64923551317327</v>
      </c>
      <c r="I147" s="6" t="n">
        <v>110.3335949864916</v>
      </c>
    </row>
    <row r="148">
      <c r="A148" s="6" t="inlineStr">
        <is>
          <t>1 wt% Re | 200 C</t>
        </is>
      </c>
      <c r="B148" s="8" t="n">
        <v>0.148</v>
      </c>
      <c r="C148" s="6" t="n">
        <v>1561.435979336612</v>
      </c>
      <c r="D148" s="6" t="n">
        <v>96702.00839031691</v>
      </c>
      <c r="E148" s="8" t="n">
        <v>0.009394430720505472</v>
      </c>
      <c r="F148" s="8" t="n">
        <v>0</v>
      </c>
      <c r="G148" s="6" t="n">
        <v>1113.069867416971</v>
      </c>
      <c r="H148" s="6" t="n">
        <v>35.74936219376195</v>
      </c>
      <c r="I148" s="6" t="n">
        <v>110.5778867868259</v>
      </c>
    </row>
    <row r="149">
      <c r="A149" s="6" t="inlineStr">
        <is>
          <t>1 wt% Re | 200 C</t>
        </is>
      </c>
      <c r="B149" s="8" t="n">
        <v>0.149</v>
      </c>
      <c r="C149" s="6" t="n">
        <v>1566.028883716087</v>
      </c>
      <c r="D149" s="6" t="n">
        <v>96583.66708485257</v>
      </c>
      <c r="E149" s="8" t="n">
        <v>0.009352197036018533</v>
      </c>
      <c r="F149" s="8" t="n">
        <v>0</v>
      </c>
      <c r="G149" s="6" t="n">
        <v>1116.627249000199</v>
      </c>
      <c r="H149" s="6" t="n">
        <v>35.84948949932864</v>
      </c>
      <c r="I149" s="6" t="n">
        <v>110.8217153042377</v>
      </c>
    </row>
    <row r="150">
      <c r="A150" s="6" t="inlineStr">
        <is>
          <t>1 wt% Re | 200 C</t>
        </is>
      </c>
      <c r="B150" s="8" t="n">
        <v>0.15</v>
      </c>
      <c r="C150" s="6" t="n">
        <v>1570.621340434136</v>
      </c>
      <c r="D150" s="6" t="n">
        <v>96465.40163204183</v>
      </c>
      <c r="E150" s="8" t="n">
        <v>0.009310522937680728</v>
      </c>
      <c r="F150" s="8" t="n">
        <v>0</v>
      </c>
      <c r="G150" s="6" t="n">
        <v>1120.184630583428</v>
      </c>
      <c r="H150" s="6" t="n">
        <v>35.94961741737377</v>
      </c>
      <c r="I150" s="6" t="n">
        <v>111.0650842608512</v>
      </c>
    </row>
    <row r="151">
      <c r="A151" s="6" t="inlineStr">
        <is>
          <t>1 wt% Re | 200 C</t>
        </is>
      </c>
      <c r="B151" s="8" t="n">
        <v>0.151</v>
      </c>
      <c r="C151" s="6" t="n">
        <v>1575.213353054939</v>
      </c>
      <c r="D151" s="6" t="n">
        <v>96347.21052487833</v>
      </c>
      <c r="E151" s="8" t="n">
        <v>0.009269397377113651</v>
      </c>
      <c r="F151" s="8" t="n">
        <v>0</v>
      </c>
      <c r="G151" s="6" t="n">
        <v>1123.742012166656</v>
      </c>
      <c r="H151" s="6" t="n">
        <v>36.04974593572889</v>
      </c>
      <c r="I151" s="6" t="n">
        <v>111.307997323892</v>
      </c>
    </row>
    <row r="152">
      <c r="A152" s="6" t="inlineStr">
        <is>
          <t>1 wt% Re | 200 C</t>
        </is>
      </c>
      <c r="B152" s="8" t="n">
        <v>0.152</v>
      </c>
      <c r="C152" s="6" t="n">
        <v>1579.804925090622</v>
      </c>
      <c r="D152" s="6" t="n">
        <v>96229.09229601378</v>
      </c>
      <c r="E152" s="8" t="n">
        <v>0.009228809594887109</v>
      </c>
      <c r="F152" s="8" t="n">
        <v>0</v>
      </c>
      <c r="G152" s="6" t="n">
        <v>1127.299393749885</v>
      </c>
      <c r="H152" s="6" t="n">
        <v>36.14987504254579</v>
      </c>
      <c r="I152" s="6" t="n">
        <v>111.5504581068644</v>
      </c>
    </row>
    <row r="153">
      <c r="A153" s="6" t="inlineStr">
        <is>
          <t>1 wt% Re | 200 C</t>
        </is>
      </c>
      <c r="B153" s="8" t="n">
        <v>0.153</v>
      </c>
      <c r="C153" s="6" t="n">
        <v>1584.396060002362</v>
      </c>
      <c r="D153" s="6" t="n">
        <v>96111.04551646192</v>
      </c>
      <c r="E153" s="8" t="n">
        <v>0.009188749111134405</v>
      </c>
      <c r="F153" s="8" t="n">
        <v>0</v>
      </c>
      <c r="G153" s="6" t="n">
        <v>1130.856775333113</v>
      </c>
      <c r="H153" s="6" t="n">
        <v>36.250004726286</v>
      </c>
      <c r="I153" s="6" t="n">
        <v>111.7924701706946</v>
      </c>
    </row>
    <row r="154">
      <c r="A154" s="6" t="inlineStr">
        <is>
          <t>1 wt% Re | 200 C</t>
        </is>
      </c>
      <c r="B154" s="8" t="n">
        <v>0.154</v>
      </c>
      <c r="C154" s="6" t="n">
        <v>1588.986761201458</v>
      </c>
      <c r="D154" s="6" t="n">
        <v>95993.06879435302</v>
      </c>
      <c r="E154" s="8" t="n">
        <v>0.009149205716531019</v>
      </c>
      <c r="F154" s="8" t="n">
        <v>0</v>
      </c>
      <c r="G154" s="6" t="n">
        <v>1134.414156916341</v>
      </c>
      <c r="H154" s="6" t="n">
        <v>36.35013497571075</v>
      </c>
      <c r="I154" s="6" t="n">
        <v>112.0340370248431</v>
      </c>
    </row>
    <row r="155">
      <c r="A155" s="6" t="inlineStr">
        <is>
          <t>1 wt% Re | 200 C</t>
        </is>
      </c>
      <c r="B155" s="8" t="n">
        <v>0.155</v>
      </c>
      <c r="C155" s="6" t="n">
        <v>1593.577032050378</v>
      </c>
      <c r="D155" s="6" t="n">
        <v>95875.16077373657</v>
      </c>
      <c r="E155" s="8" t="n">
        <v>0.009110169463620402</v>
      </c>
      <c r="F155" s="8" t="n">
        <v>0</v>
      </c>
      <c r="G155" s="6" t="n">
        <v>1137.97153849957</v>
      </c>
      <c r="H155" s="6" t="n">
        <v>36.4502657798713</v>
      </c>
      <c r="I155" s="6" t="n">
        <v>112.2751621283861</v>
      </c>
    </row>
    <row r="156">
      <c r="A156" s="6" t="inlineStr">
        <is>
          <t>1 wt% Re | 200 C</t>
        </is>
      </c>
      <c r="B156" s="8" t="n">
        <v>0.156</v>
      </c>
      <c r="C156" s="6" t="n">
        <v>1598.166875863773</v>
      </c>
      <c r="D156" s="6" t="n">
        <v>95757.32013343004</v>
      </c>
      <c r="E156" s="8" t="n">
        <v>0.009071630658471358</v>
      </c>
      <c r="F156" s="8" t="n">
        <v>0</v>
      </c>
      <c r="G156" s="6" t="n">
        <v>1141.528920082798</v>
      </c>
      <c r="H156" s="6" t="n">
        <v>36.55039712809967</v>
      </c>
      <c r="I156" s="6" t="n">
        <v>112.5158488910673</v>
      </c>
    </row>
    <row r="157">
      <c r="A157" s="6" t="inlineStr">
        <is>
          <t>1 wt% Re | 200 C</t>
        </is>
      </c>
      <c r="B157" s="8" t="n">
        <v>0.157</v>
      </c>
      <c r="C157" s="6" t="n">
        <v>1602.756295909467</v>
      </c>
      <c r="D157" s="6" t="n">
        <v>95639.54558591156</v>
      </c>
      <c r="E157" s="8" t="n">
        <v>0.00903357985265236</v>
      </c>
      <c r="F157" s="8" t="n">
        <v>0</v>
      </c>
      <c r="G157" s="6" t="n">
        <v>1145.086301666026</v>
      </c>
      <c r="H157" s="6" t="n">
        <v>36.65052900999965</v>
      </c>
      <c r="I157" s="6" t="n">
        <v>112.7561006743213</v>
      </c>
    </row>
    <row r="158">
      <c r="A158" s="6" t="inlineStr">
        <is>
          <t>1 wt% Re | 200 C</t>
        </is>
      </c>
      <c r="B158" s="8" t="n">
        <v>0.158</v>
      </c>
      <c r="C158" s="6" t="n">
        <v>1607.345295409417</v>
      </c>
      <c r="D158" s="6" t="n">
        <v>95521.8358762548</v>
      </c>
      <c r="E158" s="8" t="n">
        <v>0.00899600783550882</v>
      </c>
      <c r="F158" s="8" t="n">
        <v>0</v>
      </c>
      <c r="G158" s="6" t="n">
        <v>1148.643683249255</v>
      </c>
      <c r="H158" s="6" t="n">
        <v>36.75066141543823</v>
      </c>
      <c r="I158" s="6" t="n">
        <v>112.995920792269</v>
      </c>
    </row>
    <row r="159">
      <c r="A159" s="6" t="inlineStr">
        <is>
          <t>1 wt% Re | 200 C</t>
        </is>
      </c>
      <c r="B159" s="8" t="n">
        <v>0.159</v>
      </c>
      <c r="C159" s="6" t="n">
        <v>1611.933877540651</v>
      </c>
      <c r="D159" s="6" t="n">
        <v>95404.18978110385</v>
      </c>
      <c r="E159" s="8" t="n">
        <v>0.008958905626730051</v>
      </c>
      <c r="F159" s="8" t="n">
        <v>0</v>
      </c>
      <c r="G159" s="6" t="n">
        <v>1152.201064832483</v>
      </c>
      <c r="H159" s="6" t="n">
        <v>36.85079433453733</v>
      </c>
      <c r="I159" s="6" t="n">
        <v>113.2353125126865</v>
      </c>
    </row>
    <row r="160">
      <c r="A160" s="6" t="inlineStr">
        <is>
          <t>1 wt% Re | 200 C</t>
        </is>
      </c>
      <c r="B160" s="8" t="n">
        <v>0.16</v>
      </c>
      <c r="C160" s="6" t="n">
        <v>1616.522045436176</v>
      </c>
      <c r="D160" s="6" t="n">
        <v>95286.60610768673</v>
      </c>
      <c r="E160" s="8" t="n">
        <v>0.00892226446919334</v>
      </c>
      <c r="F160" s="8" t="n">
        <v>0</v>
      </c>
      <c r="G160" s="6" t="n">
        <v>1155.758446415712</v>
      </c>
      <c r="H160" s="6" t="n">
        <v>36.95092775766581</v>
      </c>
      <c r="I160" s="6" t="n">
        <v>113.474279057948</v>
      </c>
    </row>
    <row r="161">
      <c r="A161" s="6" t="inlineStr">
        <is>
          <t>1 wt% Re | 200 C</t>
        </is>
      </c>
      <c r="B161" s="8" t="n">
        <v>0.161</v>
      </c>
      <c r="C161" s="6" t="n">
        <v>1621.109802185869</v>
      </c>
      <c r="D161" s="6" t="n">
        <v>95169.08369286556</v>
      </c>
      <c r="E161" s="8" t="n">
        <v>0.008886075822073141</v>
      </c>
      <c r="F161" s="8" t="n">
        <v>0</v>
      </c>
      <c r="G161" s="6" t="n">
        <v>1159.31582799894</v>
      </c>
      <c r="H161" s="6" t="n">
        <v>37.05106167543184</v>
      </c>
      <c r="I161" s="6" t="n">
        <v>113.7128236059437</v>
      </c>
    </row>
    <row r="162">
      <c r="A162" s="6" t="inlineStr">
        <is>
          <t>1 wt% Re | 200 C</t>
        </is>
      </c>
      <c r="B162" s="8" t="n">
        <v>0.162</v>
      </c>
      <c r="C162" s="6" t="n">
        <v>1625.697150837336</v>
      </c>
      <c r="D162" s="6" t="n">
        <v>95051.62140222192</v>
      </c>
      <c r="E162" s="8" t="n">
        <v>0.00885033135420399</v>
      </c>
      <c r="F162" s="8" t="n">
        <v>0</v>
      </c>
      <c r="G162" s="6" t="n">
        <v>1162.873209582168</v>
      </c>
      <c r="H162" s="6" t="n">
        <v>37.15119607867544</v>
      </c>
      <c r="I162" s="6" t="n">
        <v>113.9509492909739</v>
      </c>
    </row>
    <row r="163">
      <c r="A163" s="6" t="inlineStr">
        <is>
          <t>1 wt% Re | 200 C</t>
        </is>
      </c>
      <c r="B163" s="8" t="n">
        <v>0.163</v>
      </c>
      <c r="C163" s="6" t="n">
        <v>1630.284094396759</v>
      </c>
      <c r="D163" s="6" t="n">
        <v>94934.21812917577</v>
      </c>
      <c r="E163" s="8" t="n">
        <v>0.008815022937686356</v>
      </c>
      <c r="F163" s="8" t="n">
        <v>0</v>
      </c>
      <c r="G163" s="6" t="n">
        <v>1166.430591165397</v>
      </c>
      <c r="H163" s="6" t="n">
        <v>37.25133095846144</v>
      </c>
      <c r="I163" s="6" t="n">
        <v>114.1886592046186</v>
      </c>
    </row>
    <row r="164">
      <c r="A164" s="6" t="inlineStr">
        <is>
          <t>1 wt% Re | 200 C</t>
        </is>
      </c>
      <c r="B164" s="8" t="n">
        <v>0.164</v>
      </c>
      <c r="C164" s="6" t="n">
        <v>1634.87063582971</v>
      </c>
      <c r="D164" s="6" t="n">
        <v>94816.87279413702</v>
      </c>
      <c r="E164" s="8" t="n">
        <v>0.008780142641725013</v>
      </c>
      <c r="F164" s="8" t="n">
        <v>0</v>
      </c>
      <c r="G164" s="6" t="n">
        <v>1169.987972748625</v>
      </c>
      <c r="H164" s="6" t="n">
        <v>37.35146630607261</v>
      </c>
      <c r="I164" s="6" t="n">
        <v>114.4259563965861</v>
      </c>
    </row>
    <row r="165">
      <c r="A165" s="6" t="inlineStr">
        <is>
          <t>1 wt% Re | 200 C</t>
        </is>
      </c>
      <c r="B165" s="8" t="n">
        <v>0.165</v>
      </c>
      <c r="C165" s="6" t="n">
        <v>1639.456778061951</v>
      </c>
      <c r="D165" s="6" t="n">
        <v>94699.58434368728</v>
      </c>
      <c r="E165" s="8" t="n">
        <v>0.008745682726690275</v>
      </c>
      <c r="F165" s="8" t="n">
        <v>0</v>
      </c>
      <c r="G165" s="6" t="n">
        <v>1173.545354331854</v>
      </c>
      <c r="H165" s="6" t="n">
        <v>37.45160211300306</v>
      </c>
      <c r="I165" s="6" t="n">
        <v>114.6628438755376</v>
      </c>
    </row>
    <row r="166">
      <c r="A166" s="6" t="inlineStr">
        <is>
          <t>1 wt% Re | 200 C</t>
        </is>
      </c>
      <c r="B166" s="8" t="n">
        <v>0.166</v>
      </c>
      <c r="C166" s="6" t="n">
        <v>1644.042523980214</v>
      </c>
      <c r="D166" s="6" t="n">
        <v>94582.35174979182</v>
      </c>
      <c r="E166" s="8" t="n">
        <v>0.008711635638392614</v>
      </c>
      <c r="F166" s="8" t="n">
        <v>0</v>
      </c>
      <c r="G166" s="6" t="n">
        <v>1177.102735915082</v>
      </c>
      <c r="H166" s="6" t="n">
        <v>37.55173837095179</v>
      </c>
      <c r="I166" s="6" t="n">
        <v>114.8993246098927</v>
      </c>
    </row>
    <row r="167">
      <c r="A167" s="6" t="inlineStr">
        <is>
          <t>1 wt% Re | 200 C</t>
        </is>
      </c>
      <c r="B167" s="8" t="n">
        <v>0.167</v>
      </c>
      <c r="C167" s="6" t="n">
        <v>1648.627876432955</v>
      </c>
      <c r="D167" s="6" t="n">
        <v>94465.17400903952</v>
      </c>
      <c r="E167" s="8" t="n">
        <v>0.008677994002561827</v>
      </c>
      <c r="F167" s="8" t="n">
        <v>0</v>
      </c>
      <c r="G167" s="6" t="n">
        <v>1180.66011749831</v>
      </c>
      <c r="H167" s="6" t="n">
        <v>37.65187507181671</v>
      </c>
      <c r="I167" s="6" t="n">
        <v>115.1354015286124</v>
      </c>
    </row>
    <row r="168">
      <c r="A168" s="6" t="inlineStr">
        <is>
          <t>1 wt% Re | 200 C</t>
        </is>
      </c>
      <c r="B168" s="8" t="n">
        <v>0.168</v>
      </c>
      <c r="C168" s="6" t="n">
        <v>1653.212838231095</v>
      </c>
      <c r="D168" s="6" t="n">
        <v>94348.05014190992</v>
      </c>
      <c r="E168" s="8" t="n">
        <v>0.008644750619522313</v>
      </c>
      <c r="F168" s="8" t="n">
        <v>0</v>
      </c>
      <c r="G168" s="6" t="n">
        <v>1184.217499081539</v>
      </c>
      <c r="H168" s="6" t="n">
        <v>37.75201220768859</v>
      </c>
      <c r="I168" s="6" t="n">
        <v>115.3710775219638</v>
      </c>
    </row>
    <row r="169">
      <c r="A169" s="6" t="inlineStr">
        <is>
          <t>1 wt% Re | 200 C</t>
        </is>
      </c>
      <c r="B169" s="8" t="n">
        <v>0.169</v>
      </c>
      <c r="C169" s="6" t="n">
        <v>1657.797412148739</v>
      </c>
      <c r="D169" s="6" t="n">
        <v>94230.97919206654</v>
      </c>
      <c r="E169" s="8" t="n">
        <v>0.008611898459056274</v>
      </c>
      <c r="F169" s="8" t="n">
        <v>0</v>
      </c>
      <c r="G169" s="6" t="n">
        <v>1187.774880664767</v>
      </c>
      <c r="H169" s="6" t="n">
        <v>37.85214977084542</v>
      </c>
      <c r="I169" s="6" t="n">
        <v>115.6063554422639</v>
      </c>
    </row>
    <row r="170">
      <c r="A170" s="6" t="inlineStr">
        <is>
          <t>1 wt% Re | 200 C</t>
        </is>
      </c>
      <c r="B170" s="8" t="n">
        <v>0.17</v>
      </c>
      <c r="C170" s="6" t="n">
        <v>1662.381600923884</v>
      </c>
      <c r="D170" s="6" t="n">
        <v>94113.96022567493</v>
      </c>
      <c r="E170" s="8" t="n">
        <v>0.008579430655447281</v>
      </c>
      <c r="F170" s="8" t="n">
        <v>0</v>
      </c>
      <c r="G170" s="6" t="n">
        <v>1191.332262247996</v>
      </c>
      <c r="H170" s="6" t="n">
        <v>37.95228775374687</v>
      </c>
      <c r="I170" s="6" t="n">
        <v>115.8412381046064</v>
      </c>
    </row>
    <row r="171">
      <c r="A171" s="6" t="inlineStr">
        <is>
          <t>1 wt% Re | 200 C</t>
        </is>
      </c>
      <c r="B171" s="8" t="n">
        <v>0.171</v>
      </c>
      <c r="C171" s="6" t="n">
        <v>1666.965407259092</v>
      </c>
      <c r="D171" s="6" t="n">
        <v>93996.9923307447</v>
      </c>
      <c r="E171" s="8" t="n">
        <v>0.008547340502696728</v>
      </c>
      <c r="F171" s="8" t="n">
        <v>0</v>
      </c>
      <c r="G171" s="6" t="n">
        <v>1194.889643831224</v>
      </c>
      <c r="H171" s="6" t="n">
        <v>38.052426149029</v>
      </c>
      <c r="I171" s="6" t="n">
        <v>116.0757282875688</v>
      </c>
    </row>
    <row r="172">
      <c r="A172" s="6" t="inlineStr">
        <is>
          <t>1 wt% Re | 200 C</t>
        </is>
      </c>
      <c r="B172" s="8" t="n">
        <v>0.172</v>
      </c>
      <c r="C172" s="6" t="n">
        <v>1671.548833822166</v>
      </c>
      <c r="D172" s="6" t="n">
        <v>93880.07461649457</v>
      </c>
      <c r="E172" s="8" t="n">
        <v>0.008515621449906301</v>
      </c>
      <c r="F172" s="8" t="n">
        <v>0</v>
      </c>
      <c r="G172" s="6" t="n">
        <v>1198.447025414452</v>
      </c>
      <c r="H172" s="6" t="n">
        <v>38.15256494949912</v>
      </c>
      <c r="I172" s="6" t="n">
        <v>116.3098287339029</v>
      </c>
    </row>
    <row r="173">
      <c r="A173" s="6" t="inlineStr">
        <is>
          <t>1 wt% Re | 200 C</t>
        </is>
      </c>
      <c r="B173" s="8" t="n">
        <v>0.173</v>
      </c>
      <c r="C173" s="6" t="n">
        <v>1676.131883246802</v>
      </c>
      <c r="D173" s="6" t="n">
        <v>93763.20621273926</v>
      </c>
      <c r="E173" s="8" t="n">
        <v>0.008484267096819667</v>
      </c>
      <c r="F173" s="8" t="n">
        <v>0</v>
      </c>
      <c r="G173" s="6" t="n">
        <v>1202.004406997681</v>
      </c>
      <c r="H173" s="6" t="n">
        <v>38.25270414813088</v>
      </c>
      <c r="I173" s="6" t="n">
        <v>116.5435421512081</v>
      </c>
    </row>
    <row r="174">
      <c r="A174" s="6" t="inlineStr">
        <is>
          <t>1 wt% Re | 200 C</t>
        </is>
      </c>
      <c r="B174" s="8" t="n">
        <v>0.174</v>
      </c>
      <c r="C174" s="6" t="n">
        <v>1680.714558133218</v>
      </c>
      <c r="D174" s="6" t="n">
        <v>93646.38626929792</v>
      </c>
      <c r="E174" s="8" t="n">
        <v>0.00845327118951711</v>
      </c>
      <c r="F174" s="8" t="n">
        <v>0</v>
      </c>
      <c r="G174" s="6" t="n">
        <v>1205.561788580909</v>
      </c>
      <c r="H174" s="6" t="n">
        <v>38.35284373805938</v>
      </c>
      <c r="I174" s="6" t="n">
        <v>116.7768712125876</v>
      </c>
    </row>
    <row r="175">
      <c r="A175" s="6" t="inlineStr">
        <is>
          <t>1 wt% Re | 200 C</t>
        </is>
      </c>
      <c r="B175" s="8" t="n">
        <v>0.175</v>
      </c>
      <c r="C175" s="6" t="n">
        <v>1685.29686104878</v>
      </c>
      <c r="D175" s="6" t="n">
        <v>93529.61395542223</v>
      </c>
      <c r="E175" s="8" t="n">
        <v>0.008422627616256973</v>
      </c>
      <c r="F175" s="8" t="n">
        <v>0</v>
      </c>
      <c r="G175" s="6" t="n">
        <v>1209.119170164138</v>
      </c>
      <c r="H175" s="6" t="n">
        <v>38.45298371257671</v>
      </c>
      <c r="I175" s="6" t="n">
        <v>117.0098185572894</v>
      </c>
    </row>
    <row r="176">
      <c r="A176" s="6" t="inlineStr">
        <is>
          <t>1 wt% Re | 200 C</t>
        </is>
      </c>
      <c r="B176" s="8" t="n">
        <v>0.176</v>
      </c>
      <c r="C176" s="6" t="n">
        <v>1689.878794528602</v>
      </c>
      <c r="D176" s="6" t="n">
        <v>93412.88845924467</v>
      </c>
      <c r="E176" s="8" t="n">
        <v>0.008392330403458074</v>
      </c>
      <c r="F176" s="8" t="n">
        <v>0</v>
      </c>
      <c r="G176" s="6" t="n">
        <v>1212.676551747366</v>
      </c>
      <c r="H176" s="6" t="n">
        <v>38.55312406512734</v>
      </c>
      <c r="I176" s="6" t="n">
        <v>117.2423867913313</v>
      </c>
    </row>
    <row r="177">
      <c r="A177" s="6" t="inlineStr">
        <is>
          <t>1 wt% Re | 200 C</t>
        </is>
      </c>
      <c r="B177" s="8" t="n">
        <v>0.177</v>
      </c>
      <c r="C177" s="6" t="n">
        <v>1694.460361076143</v>
      </c>
      <c r="D177" s="6" t="n">
        <v>93296.20898724486</v>
      </c>
      <c r="E177" s="8" t="n">
        <v>0.008362373711817672</v>
      </c>
      <c r="F177" s="8" t="n">
        <v>0</v>
      </c>
      <c r="G177" s="6" t="n">
        <v>1216.233933330594</v>
      </c>
      <c r="H177" s="6" t="n">
        <v>38.65326478930398</v>
      </c>
      <c r="I177" s="6" t="n">
        <v>117.4745784881107</v>
      </c>
    </row>
    <row r="178">
      <c r="A178" s="6" t="inlineStr">
        <is>
          <t>1 wt% Re | 200 C</t>
        </is>
      </c>
      <c r="B178" s="8" t="n">
        <v>0.178</v>
      </c>
      <c r="C178" s="6" t="n">
        <v>1699.041563163774</v>
      </c>
      <c r="D178" s="6" t="n">
        <v>93179.57476373445</v>
      </c>
      <c r="E178" s="8" t="n">
        <v>0.008332751832559477</v>
      </c>
      <c r="F178" s="8" t="n">
        <v>0</v>
      </c>
      <c r="G178" s="6" t="n">
        <v>1219.791314913823</v>
      </c>
      <c r="H178" s="6" t="n">
        <v>38.75340587884322</v>
      </c>
      <c r="I178" s="6" t="n">
        <v>117.7063961890002</v>
      </c>
    </row>
    <row r="179">
      <c r="A179" s="6" t="inlineStr">
        <is>
          <t>1 wt% Re | 200 C</t>
        </is>
      </c>
      <c r="B179" s="8" t="n">
        <v>0.179</v>
      </c>
      <c r="C179" s="6" t="n">
        <v>1703.622403233348</v>
      </c>
      <c r="D179" s="6" t="n">
        <v>93062.98503035886</v>
      </c>
      <c r="E179" s="8" t="n">
        <v>0.008303459183806899</v>
      </c>
      <c r="F179" s="8" t="n">
        <v>0</v>
      </c>
      <c r="G179" s="6" t="n">
        <v>1223.348696497051</v>
      </c>
      <c r="H179" s="6" t="n">
        <v>38.8535473276217</v>
      </c>
      <c r="I179" s="6" t="n">
        <v>117.9378424039284</v>
      </c>
    </row>
    <row r="180">
      <c r="A180" s="6" t="inlineStr">
        <is>
          <t>1 wt% Re | 200 C</t>
        </is>
      </c>
      <c r="B180" s="8" t="n">
        <v>0.18</v>
      </c>
      <c r="C180" s="6" t="n">
        <v>1708.202883696744</v>
      </c>
      <c r="D180" s="6" t="n">
        <v>92946.43904561587</v>
      </c>
      <c r="E180" s="8" t="n">
        <v>0.008274490307076431</v>
      </c>
      <c r="F180" s="8" t="n">
        <v>0</v>
      </c>
      <c r="G180" s="6" t="n">
        <v>1226.906078080279</v>
      </c>
      <c r="H180" s="6" t="n">
        <v>38.95368912965208</v>
      </c>
      <c r="I180" s="6" t="n">
        <v>118.1689196119477</v>
      </c>
    </row>
    <row r="181">
      <c r="A181" s="6" t="inlineStr">
        <is>
          <t>1 wt% Re | 200 C</t>
        </is>
      </c>
      <c r="B181" s="8" t="n">
        <v>0.181</v>
      </c>
      <c r="C181" s="6" t="n">
        <v>1712.783006936411</v>
      </c>
      <c r="D181" s="6" t="n">
        <v>92829.93608438998</v>
      </c>
      <c r="E181" s="8" t="n">
        <v>0.008245839863886764</v>
      </c>
      <c r="F181" s="8" t="n">
        <v>0</v>
      </c>
      <c r="G181" s="6" t="n">
        <v>1230.463459663509</v>
      </c>
      <c r="H181" s="6" t="n">
        <v>39.05383127907937</v>
      </c>
      <c r="I181" s="6" t="n">
        <v>118.3996302617878</v>
      </c>
    </row>
    <row r="182">
      <c r="A182" s="6" t="inlineStr">
        <is>
          <t>1 wt% Re | 200 C</t>
        </is>
      </c>
      <c r="B182" s="8" t="n">
        <v>0.182</v>
      </c>
      <c r="C182" s="6" t="n">
        <v>1717.36277530588</v>
      </c>
      <c r="D182" s="6" t="n">
        <v>92713.47543750238</v>
      </c>
      <c r="E182" s="8" t="n">
        <v>0.008217502632479048</v>
      </c>
      <c r="F182" s="8" t="n">
        <v>0</v>
      </c>
      <c r="G182" s="6" t="n">
        <v>1234.020841246736</v>
      </c>
      <c r="H182" s="6" t="n">
        <v>39.1539737701772</v>
      </c>
      <c r="I182" s="6" t="n">
        <v>118.6299767723971</v>
      </c>
    </row>
    <row r="183">
      <c r="A183" s="6" t="inlineStr">
        <is>
          <t>1 wt% Re | 200 C</t>
        </is>
      </c>
      <c r="B183" s="8" t="n">
        <v>0.183</v>
      </c>
      <c r="C183" s="6" t="n">
        <v>1721.942191130288</v>
      </c>
      <c r="D183" s="6" t="n">
        <v>92597.05641127535</v>
      </c>
      <c r="E183" s="8" t="n">
        <v>0.00818947350464418</v>
      </c>
      <c r="F183" s="8" t="n">
        <v>0</v>
      </c>
      <c r="G183" s="6" t="n">
        <v>1237.578222829965</v>
      </c>
      <c r="H183" s="6" t="n">
        <v>39.25411659734448</v>
      </c>
      <c r="I183" s="6" t="n">
        <v>118.8599615334708</v>
      </c>
    </row>
    <row r="184">
      <c r="A184" s="6" t="inlineStr">
        <is>
          <t>1 wt% Re | 200 C</t>
        </is>
      </c>
      <c r="B184" s="8" t="n">
        <v>0.184</v>
      </c>
      <c r="C184" s="6" t="n">
        <v>1726.521256706867</v>
      </c>
      <c r="D184" s="6" t="n">
        <v>92480.67832711118</v>
      </c>
      <c r="E184" s="8" t="n">
        <v>0.008161747482652977</v>
      </c>
      <c r="F184" s="8" t="n">
        <v>0</v>
      </c>
      <c r="G184" s="6" t="n">
        <v>1241.135604413193</v>
      </c>
      <c r="H184" s="6" t="n">
        <v>39.35425975510177</v>
      </c>
      <c r="I184" s="6" t="n">
        <v>119.0895869059668</v>
      </c>
    </row>
    <row r="185">
      <c r="A185" s="6" t="inlineStr">
        <is>
          <t>1 wt% Re | 200 C</t>
        </is>
      </c>
      <c r="B185" s="8" t="n">
        <v>0.185</v>
      </c>
      <c r="C185" s="6" t="n">
        <v>1731.099974305439</v>
      </c>
      <c r="D185" s="6" t="n">
        <v>92364.34052108454</v>
      </c>
      <c r="E185" s="8" t="n">
        <v>0.00813431967628544</v>
      </c>
      <c r="F185" s="8" t="n">
        <v>0</v>
      </c>
      <c r="G185" s="6" t="n">
        <v>1244.692985996422</v>
      </c>
      <c r="H185" s="6" t="n">
        <v>39.4544032380882</v>
      </c>
      <c r="I185" s="6" t="n">
        <v>119.3188552226103</v>
      </c>
    </row>
    <row r="186">
      <c r="A186" s="6" t="inlineStr">
        <is>
          <t>1 wt% Re | 200 C</t>
        </is>
      </c>
      <c r="B186" s="8" t="n">
        <v>0.186</v>
      </c>
      <c r="C186" s="6" t="n">
        <v>1735.678346168892</v>
      </c>
      <c r="D186" s="6" t="n">
        <v>92248.042343548</v>
      </c>
      <c r="E186" s="8" t="n">
        <v>0.008107185299955333</v>
      </c>
      <c r="F186" s="8" t="n">
        <v>0</v>
      </c>
      <c r="G186" s="6" t="n">
        <v>1248.25036757965</v>
      </c>
      <c r="H186" s="6" t="n">
        <v>39.55454704105809</v>
      </c>
      <c r="I186" s="6" t="n">
        <v>119.5477687883862</v>
      </c>
    </row>
    <row r="187">
      <c r="A187" s="6" t="inlineStr">
        <is>
          <t>1 wt% Re | 200 C</t>
        </is>
      </c>
      <c r="B187" s="8" t="n">
        <v>0.187</v>
      </c>
      <c r="C187" s="6" t="n">
        <v>1740.256374513642</v>
      </c>
      <c r="D187" s="6" t="n">
        <v>92131.78315875046</v>
      </c>
      <c r="E187" s="8" t="n">
        <v>0.008080339669926599</v>
      </c>
      <c r="F187" s="8" t="n">
        <v>0</v>
      </c>
      <c r="G187" s="6" t="n">
        <v>1251.807749162879</v>
      </c>
      <c r="H187" s="6" t="n">
        <v>39.65469115887803</v>
      </c>
      <c r="I187" s="6" t="n">
        <v>119.7763298810203</v>
      </c>
    </row>
    <row r="188">
      <c r="A188" s="6" t="inlineStr">
        <is>
          <t>1 wt% Re | 200 C</t>
        </is>
      </c>
      <c r="B188" s="8" t="n">
        <v>0.188</v>
      </c>
      <c r="C188" s="6" t="n">
        <v>1744.834061530096</v>
      </c>
      <c r="D188" s="6" t="n">
        <v>92015.56234446733</v>
      </c>
      <c r="E188" s="8" t="n">
        <v>0.008053778201618114</v>
      </c>
      <c r="F188" s="8" t="n">
        <v>0</v>
      </c>
      <c r="G188" s="6" t="n">
        <v>1255.365130746107</v>
      </c>
      <c r="H188" s="6" t="n">
        <v>39.75483558652383</v>
      </c>
      <c r="I188" s="6" t="n">
        <v>120.00454075145</v>
      </c>
    </row>
    <row r="189">
      <c r="A189" s="6" t="inlineStr">
        <is>
          <t>1 wt% Re | 200 C</t>
        </is>
      </c>
      <c r="B189" s="8" t="n">
        <v>0.189</v>
      </c>
      <c r="C189" s="6" t="n">
        <v>1749.41140938309</v>
      </c>
      <c r="D189" s="6" t="n">
        <v>91899.37929164279</v>
      </c>
      <c r="E189" s="8" t="n">
        <v>0.008027496406993627</v>
      </c>
      <c r="F189" s="8" t="n">
        <v>0</v>
      </c>
      <c r="G189" s="6" t="n">
        <v>1258.922512329336</v>
      </c>
      <c r="H189" s="6" t="n">
        <v>39.85498031907761</v>
      </c>
      <c r="I189" s="6" t="n">
        <v>120.2324036242837</v>
      </c>
    </row>
    <row r="190">
      <c r="A190" s="6" t="inlineStr">
        <is>
          <t>1 wt% Re | 200 C</t>
        </is>
      </c>
      <c r="B190" s="8" t="n">
        <v>0.19</v>
      </c>
      <c r="C190" s="6" t="n">
        <v>1753.988420212328</v>
      </c>
      <c r="D190" s="6" t="n">
        <v>91783.23340404333</v>
      </c>
      <c r="E190" s="8" t="n">
        <v>0.008001489892033677</v>
      </c>
      <c r="F190" s="8" t="n">
        <v>0</v>
      </c>
      <c r="G190" s="6" t="n">
        <v>1262.479893912563</v>
      </c>
      <c r="H190" s="6" t="n">
        <v>39.955125351725</v>
      </c>
      <c r="I190" s="6" t="n">
        <v>120.4599206982508</v>
      </c>
    </row>
    <row r="191">
      <c r="A191" s="6" t="inlineStr">
        <is>
          <t>1 wt% Re | 200 C</t>
        </is>
      </c>
      <c r="B191" s="8" t="n">
        <v>0.191</v>
      </c>
      <c r="C191" s="6" t="n">
        <v>1758.565096132808</v>
      </c>
      <c r="D191" s="6" t="n">
        <v>91667.12409792191</v>
      </c>
      <c r="E191" s="8" t="n">
        <v>0.007975754354286581</v>
      </c>
      <c r="F191" s="8" t="n">
        <v>0</v>
      </c>
      <c r="G191" s="6" t="n">
        <v>1266.037275495792</v>
      </c>
      <c r="H191" s="6" t="n">
        <v>40.05527067975257</v>
      </c>
      <c r="I191" s="6" t="n">
        <v>120.6870941466408</v>
      </c>
    </row>
    <row r="192">
      <c r="A192" s="6" t="inlineStr">
        <is>
          <t>1 wt% Re | 200 C</t>
        </is>
      </c>
      <c r="B192" s="8" t="n">
        <v>0.192</v>
      </c>
      <c r="C192" s="6" t="n">
        <v>1763.141439235237</v>
      </c>
      <c r="D192" s="6" t="n">
        <v>91551.05080169304</v>
      </c>
      <c r="E192" s="8" t="n">
        <v>0.007950285580495507</v>
      </c>
      <c r="F192" s="8" t="n">
        <v>0</v>
      </c>
      <c r="G192" s="6" t="n">
        <v>1269.59465707902</v>
      </c>
      <c r="H192" s="6" t="n">
        <v>40.15541629854491</v>
      </c>
      <c r="I192" s="6" t="n">
        <v>120.9139261177327</v>
      </c>
    </row>
    <row r="193">
      <c r="A193" s="6" t="inlineStr">
        <is>
          <t>1 wt% Re | 200 C</t>
        </is>
      </c>
      <c r="B193" s="8" t="n">
        <v>0.193</v>
      </c>
      <c r="C193" s="6" t="n">
        <v>1767.717451586439</v>
      </c>
      <c r="D193" s="6" t="n">
        <v>91435.01295561729</v>
      </c>
      <c r="E193" s="8" t="n">
        <v>0.00792507944429904</v>
      </c>
      <c r="F193" s="8" t="n">
        <v>0</v>
      </c>
      <c r="G193" s="6" t="n">
        <v>1273.152038662249</v>
      </c>
      <c r="H193" s="6" t="n">
        <v>40.25556220358244</v>
      </c>
      <c r="I193" s="6" t="n">
        <v>121.1404187352158</v>
      </c>
    </row>
    <row r="194">
      <c r="A194" s="6" t="inlineStr">
        <is>
          <t>1 wt% Re | 200 C</t>
        </is>
      </c>
      <c r="B194" s="8" t="n">
        <v>0.194</v>
      </c>
      <c r="C194" s="6" t="n">
        <v>1772.293135229752</v>
      </c>
      <c r="D194" s="6" t="n">
        <v>91319.01001149658</v>
      </c>
      <c r="E194" s="8" t="n">
        <v>0.007900131904002454</v>
      </c>
      <c r="F194" s="8" t="n">
        <v>0</v>
      </c>
      <c r="G194" s="6" t="n">
        <v>1276.709420245477</v>
      </c>
      <c r="H194" s="6" t="n">
        <v>40.35570839043863</v>
      </c>
      <c r="I194" s="6" t="n">
        <v>121.3665740985998</v>
      </c>
    </row>
    <row r="195">
      <c r="A195" s="6" t="inlineStr">
        <is>
          <t>1 wt% Re | 200 C</t>
        </is>
      </c>
      <c r="B195" s="8" t="n">
        <v>0.195</v>
      </c>
      <c r="C195" s="6" t="n">
        <v>1776.868492185418</v>
      </c>
      <c r="D195" s="6" t="n">
        <v>91203.04143237765</v>
      </c>
      <c r="E195" s="8" t="n">
        <v>0.007875439000417268</v>
      </c>
      <c r="F195" s="8" t="n">
        <v>0</v>
      </c>
      <c r="G195" s="6" t="n">
        <v>1280.266801828706</v>
      </c>
      <c r="H195" s="6" t="n">
        <v>40.45585485477785</v>
      </c>
      <c r="I195" s="6" t="n">
        <v>121.5923942836176</v>
      </c>
    </row>
    <row r="196">
      <c r="A196" s="6" t="inlineStr">
        <is>
          <t>1 wt% Re | 200 C</t>
        </is>
      </c>
      <c r="B196" s="8" t="n">
        <v>0.196</v>
      </c>
      <c r="C196" s="6" t="n">
        <v>1781.443524450963</v>
      </c>
      <c r="D196" s="6" t="n">
        <v>91087.10669226562</v>
      </c>
      <c r="E196" s="8" t="n">
        <v>0.007850996854766583</v>
      </c>
      <c r="F196" s="8" t="n">
        <v>0</v>
      </c>
      <c r="G196" s="6" t="n">
        <v>1283.824183411934</v>
      </c>
      <c r="H196" s="6" t="n">
        <v>40.55600159235288</v>
      </c>
      <c r="I196" s="6" t="n">
        <v>121.8178813426177</v>
      </c>
    </row>
    <row r="197">
      <c r="A197" s="6" t="inlineStr">
        <is>
          <t>1 wt% Re | 200 C</t>
        </is>
      </c>
      <c r="B197" s="8" t="n">
        <v>0.197</v>
      </c>
      <c r="C197" s="6" t="n">
        <v>1786.018234001576</v>
      </c>
      <c r="D197" s="6" t="n">
        <v>90971.20527584566</v>
      </c>
      <c r="E197" s="8" t="n">
        <v>0.007826801666653978</v>
      </c>
      <c r="F197" s="8" t="n">
        <v>0</v>
      </c>
      <c r="G197" s="6" t="n">
        <v>1287.381564995163</v>
      </c>
      <c r="H197" s="6" t="n">
        <v>40.65614859900279</v>
      </c>
      <c r="I197" s="6" t="n">
        <v>122.0430373049491</v>
      </c>
    </row>
    <row r="198">
      <c r="A198" s="6" t="inlineStr">
        <is>
          <t>1 wt% Re | 200 C</t>
        </is>
      </c>
      <c r="B198" s="8" t="n">
        <v>0.198</v>
      </c>
      <c r="C198" s="6" t="n">
        <v>1790.592622790461</v>
      </c>
      <c r="D198" s="6" t="n">
        <v>90855.33667821332</v>
      </c>
      <c r="E198" s="8" t="n">
        <v>0.007802849712093561</v>
      </c>
      <c r="F198" s="8" t="n">
        <v>0</v>
      </c>
      <c r="G198" s="6" t="n">
        <v>1290.938946578391</v>
      </c>
      <c r="H198" s="6" t="n">
        <v>40.75629587065067</v>
      </c>
      <c r="I198" s="6" t="n">
        <v>122.267864177338</v>
      </c>
    </row>
    <row r="199">
      <c r="A199" s="6" t="inlineStr">
        <is>
          <t>1 wt% Re | 200 C</t>
        </is>
      </c>
      <c r="B199" s="8" t="n">
        <v>0.199</v>
      </c>
      <c r="C199" s="6" t="n">
        <v>1795.166692749207</v>
      </c>
      <c r="D199" s="6" t="n">
        <v>90739.50040461303</v>
      </c>
      <c r="E199" s="8" t="n">
        <v>0.007779137341599246</v>
      </c>
      <c r="F199" s="8" t="n">
        <v>0</v>
      </c>
      <c r="G199" s="6" t="n">
        <v>1294.49632816162</v>
      </c>
      <c r="H199" s="6" t="n">
        <v>40.8564434033016</v>
      </c>
      <c r="I199" s="6" t="n">
        <v>122.4923639442555</v>
      </c>
    </row>
    <row r="200">
      <c r="A200" s="6" t="inlineStr">
        <is>
          <t>1 wt% Re | 200 C</t>
        </is>
      </c>
      <c r="B200" s="8" t="n">
        <v>0.2</v>
      </c>
      <c r="C200" s="6" t="n">
        <v>1799.740445788129</v>
      </c>
      <c r="D200" s="6" t="n">
        <v>90623.69597018433</v>
      </c>
      <c r="E200" s="8" t="n">
        <v>0.007755660978330983</v>
      </c>
      <c r="F200" s="8" t="n">
        <v>0</v>
      </c>
      <c r="G200" s="6" t="n">
        <v>1298.053709744847</v>
      </c>
      <c r="H200" s="6" t="n">
        <v>40.95659119304051</v>
      </c>
      <c r="I200" s="6" t="n">
        <v>122.7165385682783</v>
      </c>
    </row>
    <row r="201">
      <c r="A201" s="6" t="inlineStr">
        <is>
          <t>1 wt% Re | 200 C</t>
        </is>
      </c>
      <c r="B201" s="8" t="n">
        <v>0.201</v>
      </c>
      <c r="C201" s="6" t="n">
        <v>1804.313883796617</v>
      </c>
      <c r="D201" s="6" t="n">
        <v>90507.92289971565</v>
      </c>
      <c r="E201" s="8" t="n">
        <v>0.007732417116296144</v>
      </c>
      <c r="F201" s="8" t="n">
        <v>0</v>
      </c>
      <c r="G201" s="6" t="n">
        <v>1301.611091328076</v>
      </c>
      <c r="H201" s="6" t="n">
        <v>41.05673923603027</v>
      </c>
      <c r="I201" s="6" t="n">
        <v>122.9403899904417</v>
      </c>
    </row>
    <row r="202">
      <c r="A202" s="6" t="inlineStr">
        <is>
          <t>1 wt% Re | 200 C</t>
        </is>
      </c>
      <c r="B202" s="8" t="n">
        <v>0.202</v>
      </c>
      <c r="C202" s="6" t="n">
        <v>1808.88700864346</v>
      </c>
      <c r="D202" s="6" t="n">
        <v>90392.18072740566</v>
      </c>
      <c r="E202" s="8" t="n">
        <v>0.00770940231860402</v>
      </c>
      <c r="F202" s="8" t="n">
        <v>0</v>
      </c>
      <c r="G202" s="6" t="n">
        <v>1305.168472911305</v>
      </c>
      <c r="H202" s="6" t="n">
        <v>41.15688752850975</v>
      </c>
      <c r="I202" s="6" t="n">
        <v>123.1639201305845</v>
      </c>
    </row>
    <row r="203">
      <c r="A203" s="6" t="inlineStr">
        <is>
          <t>1 wt% Re | 200 C</t>
        </is>
      </c>
      <c r="B203" s="8" t="n">
        <v>0.203</v>
      </c>
      <c r="C203" s="6" t="n">
        <v>1813.459822177185</v>
      </c>
      <c r="D203" s="6" t="n">
        <v>90276.46899663127</v>
      </c>
      <c r="E203" s="8" t="n">
        <v>0.007686613215771719</v>
      </c>
      <c r="F203" s="8" t="n">
        <v>0</v>
      </c>
      <c r="G203" s="6" t="n">
        <v>1308.725854494533</v>
      </c>
      <c r="H203" s="6" t="n">
        <v>41.25703606679188</v>
      </c>
      <c r="I203" s="6" t="n">
        <v>123.3871308876875</v>
      </c>
    </row>
    <row r="204">
      <c r="A204" s="6" t="inlineStr">
        <is>
          <t>1 wt% Re | 200 C</t>
        </is>
      </c>
      <c r="B204" s="8" t="n">
        <v>0.204</v>
      </c>
      <c r="C204" s="6" t="n">
        <v>1818.032326226371</v>
      </c>
      <c r="D204" s="6" t="n">
        <v>90160.78725972289</v>
      </c>
      <c r="E204" s="8" t="n">
        <v>0.007664046504079641</v>
      </c>
      <c r="F204" s="8" t="n">
        <v>0</v>
      </c>
      <c r="G204" s="6" t="n">
        <v>1312.283236077761</v>
      </c>
      <c r="H204" s="6" t="n">
        <v>41.35718484726193</v>
      </c>
      <c r="I204" s="6" t="n">
        <v>123.610024140204</v>
      </c>
    </row>
    <row r="205">
      <c r="A205" s="6" t="inlineStr">
        <is>
          <t>1 wt% Re | 200 C</t>
        </is>
      </c>
      <c r="B205" s="8" t="n">
        <v>0.205</v>
      </c>
      <c r="C205" s="6" t="n">
        <v>1822.60452259997</v>
      </c>
      <c r="D205" s="6" t="n">
        <v>90045.13507774587</v>
      </c>
      <c r="E205" s="8" t="n">
        <v>0.007641698943974846</v>
      </c>
      <c r="F205" s="8" t="n">
        <v>0</v>
      </c>
      <c r="G205" s="6" t="n">
        <v>1315.840617660989</v>
      </c>
      <c r="H205" s="6" t="n">
        <v>41.45733386637568</v>
      </c>
      <c r="I205" s="6" t="n">
        <v>123.8326017463844</v>
      </c>
    </row>
    <row r="206">
      <c r="A206" s="6" t="inlineStr">
        <is>
          <t>1 wt% Re | 200 C</t>
        </is>
      </c>
      <c r="B206" s="8" t="n">
        <v>0.206</v>
      </c>
      <c r="C206" s="6" t="n">
        <v>1827.176413087604</v>
      </c>
      <c r="D206" s="6" t="n">
        <v>89929.51202028857</v>
      </c>
      <c r="E206" s="8" t="n">
        <v>0.007619567358520754</v>
      </c>
      <c r="F206" s="8" t="n">
        <v>0</v>
      </c>
      <c r="G206" s="6" t="n">
        <v>1319.397999244218</v>
      </c>
      <c r="H206" s="6" t="n">
        <v>41.55748312065776</v>
      </c>
      <c r="I206" s="6" t="n">
        <v>124.0548655445935</v>
      </c>
    </row>
    <row r="207">
      <c r="A207" s="6" t="inlineStr">
        <is>
          <t>1 wt% Re | 200 C</t>
        </is>
      </c>
      <c r="B207" s="8" t="n">
        <v>0.207</v>
      </c>
      <c r="C207" s="6" t="n">
        <v>1831.747999459876</v>
      </c>
      <c r="D207" s="6" t="n">
        <v>89813.91766525657</v>
      </c>
      <c r="E207" s="8" t="n">
        <v>0.007597648631891536</v>
      </c>
      <c r="F207" s="8" t="n">
        <v>0</v>
      </c>
      <c r="G207" s="6" t="n">
        <v>1322.955380827446</v>
      </c>
      <c r="H207" s="6" t="n">
        <v>41.65763260669988</v>
      </c>
      <c r="I207" s="6" t="n">
        <v>124.2768173536211</v>
      </c>
    </row>
    <row r="208">
      <c r="A208" s="6" t="inlineStr">
        <is>
          <t>1 wt% Re | 200 C</t>
        </is>
      </c>
      <c r="B208" s="8" t="n">
        <v>0.208</v>
      </c>
      <c r="C208" s="6" t="n">
        <v>1836.319283468662</v>
      </c>
      <c r="D208" s="6" t="n">
        <v>89698.35159867247</v>
      </c>
      <c r="E208" s="8" t="n">
        <v>0.007575939707909771</v>
      </c>
      <c r="F208" s="8" t="n">
        <v>0</v>
      </c>
      <c r="G208" s="6" t="n">
        <v>1326.512762410675</v>
      </c>
      <c r="H208" s="6" t="n">
        <v>41.75778232115941</v>
      </c>
      <c r="I208" s="6" t="n">
        <v>124.4984589729867</v>
      </c>
    </row>
    <row r="209">
      <c r="A209" s="6" t="inlineStr">
        <is>
          <t>1 wt% Re | 200 C</t>
        </is>
      </c>
      <c r="B209" s="8" t="n">
        <v>0.209</v>
      </c>
      <c r="C209" s="6" t="n">
        <v>1840.890266847399</v>
      </c>
      <c r="D209" s="6" t="n">
        <v>89582.81341448209</v>
      </c>
      <c r="E209" s="8" t="n">
        <v>0.007554437588625871</v>
      </c>
      <c r="F209" s="8" t="n">
        <v>0</v>
      </c>
      <c r="G209" s="6" t="n">
        <v>1330.070143993903</v>
      </c>
      <c r="H209" s="6" t="n">
        <v>41.85793226075761</v>
      </c>
      <c r="I209" s="6" t="n">
        <v>124.7197921832378</v>
      </c>
    </row>
    <row r="210">
      <c r="A210" s="6" t="inlineStr">
        <is>
          <t>1 wt% Re | 200 C</t>
        </is>
      </c>
      <c r="B210" s="8" t="n">
        <v>0.21</v>
      </c>
      <c r="C210" s="6" t="n">
        <v>1845.46095131137</v>
      </c>
      <c r="D210" s="6" t="n">
        <v>89467.30271436548</v>
      </c>
      <c r="E210" s="8" t="n">
        <v>0.007533139332937925</v>
      </c>
      <c r="F210" s="8" t="n">
        <v>0</v>
      </c>
      <c r="G210" s="6" t="n">
        <v>1333.627525577132</v>
      </c>
      <c r="H210" s="6" t="n">
        <v>41.95808242227819</v>
      </c>
      <c r="I210" s="6" t="n">
        <v>124.9408187462421</v>
      </c>
    </row>
    <row r="211">
      <c r="A211" s="6" t="inlineStr">
        <is>
          <t>1 wt% Re | 200 C</t>
        </is>
      </c>
      <c r="B211" s="8" t="n">
        <v>0.211</v>
      </c>
      <c r="C211" s="6" t="n">
        <v>1850.031338557982</v>
      </c>
      <c r="D211" s="6" t="n">
        <v>89351.81910755385</v>
      </c>
      <c r="E211" s="8" t="n">
        <v>0.007512042055250619</v>
      </c>
      <c r="F211" s="8" t="n">
        <v>0</v>
      </c>
      <c r="G211" s="6" t="n">
        <v>1337.18490716036</v>
      </c>
      <c r="H211" s="6" t="n">
        <v>42.05823280256588</v>
      </c>
      <c r="I211" s="6" t="n">
        <v>125.1615404054738</v>
      </c>
    </row>
    <row r="212">
      <c r="A212" s="6" t="inlineStr">
        <is>
          <t>1 wt% Re | 200 C</t>
        </is>
      </c>
      <c r="B212" s="8" t="n">
        <v>0.212</v>
      </c>
      <c r="C212" s="6" t="n">
        <v>1854.601430267036</v>
      </c>
      <c r="D212" s="6" t="n">
        <v>89236.36221065132</v>
      </c>
      <c r="E212" s="8" t="n">
        <v>0.007491142924171927</v>
      </c>
      <c r="F212" s="8" t="n">
        <v>0</v>
      </c>
      <c r="G212" s="6" t="n">
        <v>1340.742288743588</v>
      </c>
      <c r="H212" s="6" t="n">
        <v>42.15838339852493</v>
      </c>
      <c r="I212" s="6" t="n">
        <v>125.381958886294</v>
      </c>
    </row>
    <row r="213">
      <c r="A213" s="6" t="inlineStr">
        <is>
          <t>1 wt% Re | 200 C</t>
        </is>
      </c>
      <c r="B213" s="8" t="n">
        <v>0.213</v>
      </c>
      <c r="C213" s="6" t="n">
        <v>1859.171228100997</v>
      </c>
      <c r="D213" s="6" t="n">
        <v>89120.93164746203</v>
      </c>
      <c r="E213" s="8" t="n">
        <v>0.007470439161246357</v>
      </c>
      <c r="F213" s="8" t="n">
        <v>0</v>
      </c>
      <c r="G213" s="6" t="n">
        <v>1344.299670326817</v>
      </c>
      <c r="H213" s="6" t="n">
        <v>42.25853420711767</v>
      </c>
      <c r="I213" s="6" t="n">
        <v>125.6020758962261</v>
      </c>
    </row>
    <row r="214">
      <c r="A214" s="6" t="inlineStr">
        <is>
          <t>1 wt% Re | 200 C</t>
        </is>
      </c>
      <c r="B214" s="8" t="n">
        <v>0.214</v>
      </c>
      <c r="C214" s="6" t="n">
        <v>1863.740733705253</v>
      </c>
      <c r="D214" s="6" t="n">
        <v>89005.52704882178</v>
      </c>
      <c r="E214" s="8" t="n">
        <v>0.007449928039723569</v>
      </c>
      <c r="F214" s="8" t="n">
        <v>0</v>
      </c>
      <c r="G214" s="6" t="n">
        <v>1347.857051910045</v>
      </c>
      <c r="H214" s="6" t="n">
        <v>42.35868522536327</v>
      </c>
      <c r="I214" s="6" t="n">
        <v>125.8218931252249</v>
      </c>
    </row>
    <row r="215">
      <c r="A215" s="6" t="inlineStr">
        <is>
          <t>1 wt% Re | 200 C</t>
        </is>
      </c>
      <c r="B215" s="8" t="n">
        <v>0.215</v>
      </c>
      <c r="C215" s="6" t="n">
        <v>1868.309948708368</v>
      </c>
      <c r="D215" s="6" t="n">
        <v>88890.1480524345</v>
      </c>
      <c r="E215" s="8" t="n">
        <v>0.007429606883361194</v>
      </c>
      <c r="F215" s="8" t="n">
        <v>0</v>
      </c>
      <c r="G215" s="6" t="n">
        <v>1351.414433493273</v>
      </c>
      <c r="H215" s="6" t="n">
        <v>42.45883645033638</v>
      </c>
      <c r="I215" s="6" t="n">
        <v>126.0414122459406</v>
      </c>
    </row>
    <row r="216">
      <c r="A216" s="6" t="inlineStr">
        <is>
          <t>1 wt% Re | 200 C</t>
        </is>
      </c>
      <c r="B216" s="8" t="n">
        <v>0.216</v>
      </c>
      <c r="C216" s="6" t="n">
        <v>1872.878874722342</v>
      </c>
      <c r="D216" s="6" t="n">
        <v>88774.79430271337</v>
      </c>
      <c r="E216" s="8" t="n">
        <v>0.007409473065260765</v>
      </c>
      <c r="F216" s="8" t="n">
        <v>0</v>
      </c>
      <c r="G216" s="6" t="n">
        <v>1354.971815076502</v>
      </c>
      <c r="H216" s="6" t="n">
        <v>42.55898787916573</v>
      </c>
      <c r="I216" s="6" t="n">
        <v>126.2606349139784</v>
      </c>
    </row>
    <row r="217">
      <c r="A217" s="6" t="inlineStr">
        <is>
          <t>1 wt% Re | 200 C</t>
        </is>
      </c>
      <c r="B217" s="8" t="n">
        <v>0.217</v>
      </c>
      <c r="C217" s="6" t="n">
        <v>1877.447513342852</v>
      </c>
      <c r="D217" s="6" t="n">
        <v>88659.46545062614</v>
      </c>
      <c r="E217" s="8" t="n">
        <v>0.0073895240067357</v>
      </c>
      <c r="F217" s="8" t="n">
        <v>0</v>
      </c>
      <c r="G217" s="6" t="n">
        <v>1358.529196659731</v>
      </c>
      <c r="H217" s="6" t="n">
        <v>42.65913950903309</v>
      </c>
      <c r="I217" s="6" t="n">
        <v>126.4795627681515</v>
      </c>
    </row>
    <row r="218">
      <c r="A218" s="6" t="inlineStr">
        <is>
          <t>1 wt% Re | 200 C</t>
        </is>
      </c>
      <c r="B218" s="8" t="n">
        <v>0.218</v>
      </c>
      <c r="C218" s="6" t="n">
        <v>1882.015866149487</v>
      </c>
      <c r="D218" s="6" t="n">
        <v>88544.16115354482</v>
      </c>
      <c r="E218" s="8" t="n">
        <v>0.0073697571762103</v>
      </c>
      <c r="F218" s="8" t="n">
        <v>0</v>
      </c>
      <c r="G218" s="6" t="n">
        <v>1362.086578242958</v>
      </c>
      <c r="H218" s="6" t="n">
        <v>42.75929133717182</v>
      </c>
      <c r="I218" s="6" t="n">
        <v>126.6981974307306</v>
      </c>
    </row>
    <row r="219">
      <c r="A219" s="6" t="inlineStr">
        <is>
          <t>1 wt% Re | 200 C</t>
        </is>
      </c>
      <c r="B219" s="8" t="n">
        <v>0.219</v>
      </c>
      <c r="C219" s="6" t="n">
        <v>1886.583934706</v>
      </c>
      <c r="D219" s="6" t="n">
        <v>88428.88107509943</v>
      </c>
      <c r="E219" s="8" t="n">
        <v>0.007350170088148789</v>
      </c>
      <c r="F219" s="8" t="n">
        <v>0</v>
      </c>
      <c r="G219" s="6" t="n">
        <v>1365.643959826187</v>
      </c>
      <c r="H219" s="6" t="n">
        <v>42.85944336086591</v>
      </c>
      <c r="I219" s="6" t="n">
        <v>126.9165405076874</v>
      </c>
    </row>
    <row r="220">
      <c r="A220" s="6" t="inlineStr">
        <is>
          <t>1 wt% Re | 200 C</t>
        </is>
      </c>
      <c r="B220" s="8" t="n">
        <v>0.22</v>
      </c>
      <c r="C220" s="6" t="n">
        <v>1891.151720560525</v>
      </c>
      <c r="D220" s="6" t="n">
        <v>88313.62488503591</v>
      </c>
      <c r="E220" s="8" t="n">
        <v>0.007330760302013429</v>
      </c>
      <c r="F220" s="8" t="n">
        <v>0</v>
      </c>
      <c r="G220" s="6" t="n">
        <v>1369.201341409415</v>
      </c>
      <c r="H220" s="6" t="n">
        <v>42.9595955774487</v>
      </c>
      <c r="I220" s="6" t="n">
        <v>127.1345935889345</v>
      </c>
    </row>
    <row r="221">
      <c r="A221" s="6" t="inlineStr">
        <is>
          <t>1 wt% Re | 200 C</t>
        </is>
      </c>
      <c r="B221" s="8" t="n">
        <v>0.221</v>
      </c>
      <c r="C221" s="6" t="n">
        <v>1895.719225245815</v>
      </c>
      <c r="D221" s="6" t="n">
        <v>88198.39225907753</v>
      </c>
      <c r="E221" s="8" t="n">
        <v>0.007311525421250809</v>
      </c>
      <c r="F221" s="8" t="n">
        <v>0</v>
      </c>
      <c r="G221" s="6" t="n">
        <v>1372.758722992644</v>
      </c>
      <c r="H221" s="6" t="n">
        <v>43.05974798430176</v>
      </c>
      <c r="I221" s="6" t="n">
        <v>127.3523582485598</v>
      </c>
    </row>
    <row r="222">
      <c r="A222" s="6" t="inlineStr">
        <is>
          <t>1 wt% Re | 200 C</t>
        </is>
      </c>
      <c r="B222" s="8" t="n">
        <v>0.222</v>
      </c>
      <c r="C222" s="6" t="n">
        <v>1900.28645027946</v>
      </c>
      <c r="D222" s="6" t="n">
        <v>88083.18287879045</v>
      </c>
      <c r="E222" s="8" t="n">
        <v>0.007292463092305402</v>
      </c>
      <c r="F222" s="8" t="n">
        <v>0</v>
      </c>
      <c r="G222" s="6" t="n">
        <v>1376.316104575872</v>
      </c>
      <c r="H222" s="6" t="n">
        <v>43.15990057885392</v>
      </c>
      <c r="I222" s="6" t="n">
        <v>127.5698360450565</v>
      </c>
    </row>
    <row r="223">
      <c r="A223" s="6" t="inlineStr">
        <is>
          <t>1 wt% Re | 200 C</t>
        </is>
      </c>
      <c r="B223" s="8" t="n">
        <v>0.223</v>
      </c>
      <c r="C223" s="6" t="n">
        <v>1904.853397164108</v>
      </c>
      <c r="D223" s="6" t="n">
        <v>87967.99643145263</v>
      </c>
      <c r="E223" s="8" t="n">
        <v>0.007273571003659569</v>
      </c>
      <c r="F223" s="8" t="n">
        <v>0</v>
      </c>
      <c r="G223" s="6" t="n">
        <v>1379.873486159101</v>
      </c>
      <c r="H223" s="6" t="n">
        <v>43.26005335858002</v>
      </c>
      <c r="I223" s="6" t="n">
        <v>127.7870285215492</v>
      </c>
    </row>
    <row r="224">
      <c r="A224" s="6" t="inlineStr">
        <is>
          <t>1 wt% Re | 200 C</t>
        </is>
      </c>
      <c r="B224" s="8" t="n">
        <v>0.224</v>
      </c>
      <c r="C224" s="6" t="n">
        <v>1909.42006738768</v>
      </c>
      <c r="D224" s="6" t="n">
        <v>87852.83260992638</v>
      </c>
      <c r="E224" s="8" t="n">
        <v>0.007254846884899161</v>
      </c>
      <c r="F224" s="8" t="n">
        <v>0</v>
      </c>
      <c r="G224" s="6" t="n">
        <v>1383.430867742329</v>
      </c>
      <c r="H224" s="6" t="n">
        <v>43.3602063210001</v>
      </c>
      <c r="I224" s="6" t="n">
        <v>128.0039372060153</v>
      </c>
    </row>
    <row r="225">
      <c r="A225" s="6" t="inlineStr">
        <is>
          <t>1 wt% Re | 200 C</t>
        </is>
      </c>
      <c r="B225" s="8" t="n">
        <v>0.225</v>
      </c>
      <c r="C225" s="6" t="n">
        <v>1913.986462423579</v>
      </c>
      <c r="D225" s="6" t="n">
        <v>87737.69111253417</v>
      </c>
      <c r="E225" s="8" t="n">
        <v>0.007236288505803925</v>
      </c>
      <c r="F225" s="8" t="n">
        <v>0</v>
      </c>
      <c r="G225" s="6" t="n">
        <v>1386.988249325557</v>
      </c>
      <c r="H225" s="6" t="n">
        <v>43.46035946367821</v>
      </c>
      <c r="I225" s="6" t="n">
        <v>128.2205636115023</v>
      </c>
    </row>
    <row r="226">
      <c r="A226" s="6" t="inlineStr">
        <is>
          <t>1 wt% Re | 200 C</t>
        </is>
      </c>
      <c r="B226" s="8" t="n">
        <v>0.226</v>
      </c>
      <c r="C226" s="6" t="n">
        <v>1918.552583730901</v>
      </c>
      <c r="D226" s="6" t="n">
        <v>87622.57164293801</v>
      </c>
      <c r="E226" s="8" t="n">
        <v>0.007217893675461971</v>
      </c>
      <c r="F226" s="8" t="n">
        <v>0</v>
      </c>
      <c r="G226" s="6" t="n">
        <v>1390.545630908786</v>
      </c>
      <c r="H226" s="6" t="n">
        <v>43.56051278422157</v>
      </c>
      <c r="I226" s="6" t="n">
        <v>128.436909236341</v>
      </c>
    </row>
    <row r="227">
      <c r="A227" s="6" t="inlineStr">
        <is>
          <t>1 wt% Re | 200 C</t>
        </is>
      </c>
      <c r="B227" s="8" t="n">
        <v>0.227</v>
      </c>
      <c r="C227" s="6" t="n">
        <v>1923.118432754634</v>
      </c>
      <c r="D227" s="6" t="n">
        <v>87507.47391002157</v>
      </c>
      <c r="E227" s="8" t="n">
        <v>0.007199660241407545</v>
      </c>
      <c r="F227" s="8" t="n">
        <v>0</v>
      </c>
      <c r="G227" s="6" t="n">
        <v>1394.103012492014</v>
      </c>
      <c r="H227" s="6" t="n">
        <v>43.66066628027951</v>
      </c>
      <c r="I227" s="6" t="n">
        <v>128.6529755643547</v>
      </c>
    </row>
    <row r="228">
      <c r="A228" s="6" t="inlineStr">
        <is>
          <t>1 wt% Re | 200 C</t>
        </is>
      </c>
      <c r="B228" s="8" t="n">
        <v>0.228</v>
      </c>
      <c r="C228" s="6" t="n">
        <v>1927.684010925859</v>
      </c>
      <c r="D228" s="6" t="n">
        <v>87392.39762777596</v>
      </c>
      <c r="E228" s="8" t="n">
        <v>0.007181586088781386</v>
      </c>
      <c r="F228" s="8" t="n">
        <v>0</v>
      </c>
      <c r="G228" s="6" t="n">
        <v>1397.660394075243</v>
      </c>
      <c r="H228" s="6" t="n">
        <v>43.76081994954266</v>
      </c>
      <c r="I228" s="6" t="n">
        <v>128.8687640650648</v>
      </c>
    </row>
    <row r="229">
      <c r="A229" s="6" t="inlineStr">
        <is>
          <t>1 wt% Re | 200 C</t>
        </is>
      </c>
      <c r="B229" s="8" t="n">
        <v>0.229</v>
      </c>
      <c r="C229" s="6" t="n">
        <v>1932.249319661945</v>
      </c>
      <c r="D229" s="6" t="n">
        <v>87277.34251518801</v>
      </c>
      <c r="E229" s="8" t="n">
        <v>0.007163669139513016</v>
      </c>
      <c r="F229" s="8" t="n">
        <v>0</v>
      </c>
      <c r="G229" s="6" t="n">
        <v>1401.217775658471</v>
      </c>
      <c r="H229" s="6" t="n">
        <v>43.86097378974194</v>
      </c>
      <c r="I229" s="6" t="n">
        <v>129.0842761938916</v>
      </c>
    </row>
    <row r="230">
      <c r="A230" s="6" t="inlineStr">
        <is>
          <t>1 wt% Re | 200 C</t>
        </is>
      </c>
      <c r="B230" s="8" t="n">
        <v>0.23</v>
      </c>
      <c r="C230" s="6" t="n">
        <v>1936.814360366744</v>
      </c>
      <c r="D230" s="6" t="n">
        <v>87162.30829613174</v>
      </c>
      <c r="E230" s="8" t="n">
        <v>0.007145907351524249</v>
      </c>
      <c r="F230" s="8" t="n">
        <v>0</v>
      </c>
      <c r="G230" s="6" t="n">
        <v>1404.7751572417</v>
      </c>
      <c r="H230" s="6" t="n">
        <v>43.96112779864773</v>
      </c>
      <c r="I230" s="6" t="n">
        <v>129.2995133923529</v>
      </c>
    </row>
    <row r="231">
      <c r="A231" s="6" t="inlineStr">
        <is>
          <t>1 wt% Re | 200 C</t>
        </is>
      </c>
      <c r="B231" s="8" t="n">
        <v>0.231</v>
      </c>
      <c r="C231" s="6" t="n">
        <v>1941.379134430772</v>
      </c>
      <c r="D231" s="6" t="n">
        <v>87047.29469926261</v>
      </c>
      <c r="E231" s="8" t="n">
        <v>0.007128298717953325</v>
      </c>
      <c r="F231" s="8" t="n">
        <v>0</v>
      </c>
      <c r="G231" s="6" t="n">
        <v>1408.332538824928</v>
      </c>
      <c r="H231" s="6" t="n">
        <v>44.06128197406905</v>
      </c>
      <c r="I231" s="6" t="n">
        <v>129.5144770882576</v>
      </c>
    </row>
    <row r="232">
      <c r="A232" s="6" t="inlineStr">
        <is>
          <t>1 wt% Re | 200 C</t>
        </is>
      </c>
      <c r="B232" s="8" t="n">
        <v>0.232</v>
      </c>
      <c r="C232" s="6" t="n">
        <v>1945.943643231402</v>
      </c>
      <c r="D232" s="6" t="n">
        <v>86932.30145791436</v>
      </c>
      <c r="E232" s="8" t="n">
        <v>0.007110841266399002</v>
      </c>
      <c r="F232" s="8" t="n">
        <v>0</v>
      </c>
      <c r="G232" s="6" t="n">
        <v>1411.889920408156</v>
      </c>
      <c r="H232" s="6" t="n">
        <v>44.16143631385269</v>
      </c>
      <c r="I232" s="6" t="n">
        <v>129.7291686958964</v>
      </c>
    </row>
    <row r="233">
      <c r="A233" s="6" t="inlineStr">
        <is>
          <t>1 wt% Re | 200 C</t>
        </is>
      </c>
      <c r="B233" s="8" t="n">
        <v>0.233</v>
      </c>
      <c r="C233" s="6" t="n">
        <v>1950.507888133043</v>
      </c>
      <c r="D233" s="6" t="n">
        <v>86817.32830999879</v>
      </c>
      <c r="E233" s="8" t="n">
        <v>0.007093533058184072</v>
      </c>
      <c r="F233" s="8" t="n">
        <v>0</v>
      </c>
      <c r="G233" s="6" t="n">
        <v>1415.447301991385</v>
      </c>
      <c r="H233" s="6" t="n">
        <v>44.2615908158824</v>
      </c>
      <c r="I233" s="6" t="n">
        <v>129.9435896162288</v>
      </c>
    </row>
    <row r="234">
      <c r="A234" s="6" t="inlineStr">
        <is>
          <t>1 wt% Re | 200 C</t>
        </is>
      </c>
      <c r="B234" s="8" t="n">
        <v>0.234</v>
      </c>
      <c r="C234" s="6" t="n">
        <v>1955.071870487317</v>
      </c>
      <c r="D234" s="6" t="n">
        <v>86702.37499790775</v>
      </c>
      <c r="E234" s="8" t="n">
        <v>0.007076372187637649</v>
      </c>
      <c r="F234" s="8" t="n">
        <v>0</v>
      </c>
      <c r="G234" s="6" t="n">
        <v>1419.004683574613</v>
      </c>
      <c r="H234" s="6" t="n">
        <v>44.3617454780781</v>
      </c>
      <c r="I234" s="6" t="n">
        <v>130.1577412370669</v>
      </c>
    </row>
    <row r="235">
      <c r="A235" s="6" t="inlineStr">
        <is>
          <t>1 wt% Re | 200 C</t>
        </is>
      </c>
      <c r="B235" s="8" t="n">
        <v>0.235</v>
      </c>
      <c r="C235" s="6" t="n">
        <v>1959.635591633231</v>
      </c>
      <c r="D235" s="6" t="n">
        <v>86587.44126841798</v>
      </c>
      <c r="E235" s="8" t="n">
        <v>0.007059356781395723</v>
      </c>
      <c r="F235" s="8" t="n">
        <v>0</v>
      </c>
      <c r="G235" s="6" t="n">
        <v>1422.562065157842</v>
      </c>
      <c r="H235" s="6" t="n">
        <v>44.46190029839509</v>
      </c>
      <c r="I235" s="6" t="n">
        <v>130.3716249332558</v>
      </c>
    </row>
    <row r="236">
      <c r="A236" s="6" t="inlineStr">
        <is>
          <t>1 wt% Re | 200 C</t>
        </is>
      </c>
      <c r="B236" s="8" t="n">
        <v>0.236</v>
      </c>
      <c r="C236" s="6" t="n">
        <v>1964.199052897359</v>
      </c>
      <c r="D236" s="6" t="n">
        <v>86472.52687259807</v>
      </c>
      <c r="E236" s="8" t="n">
        <v>0.007042484997719433</v>
      </c>
      <c r="F236" s="8" t="n">
        <v>0</v>
      </c>
      <c r="G236" s="6" t="n">
        <v>1426.11944674107</v>
      </c>
      <c r="H236" s="6" t="n">
        <v>44.56205527482339</v>
      </c>
      <c r="I236" s="6" t="n">
        <v>130.5852420668505</v>
      </c>
    </row>
    <row r="237">
      <c r="A237" s="6" t="inlineStr">
        <is>
          <t>1 wt% Re | 200 C</t>
        </is>
      </c>
      <c r="B237" s="8" t="n">
        <v>0.237</v>
      </c>
      <c r="C237" s="6" t="n">
        <v>1968.762255594002</v>
      </c>
      <c r="D237" s="6" t="n">
        <v>86357.63156571805</v>
      </c>
      <c r="E237" s="8" t="n">
        <v>0.007025755025830519</v>
      </c>
      <c r="F237" s="8" t="n">
        <v>0</v>
      </c>
      <c r="G237" s="6" t="n">
        <v>1429.676828324299</v>
      </c>
      <c r="H237" s="6" t="n">
        <v>44.66221040538687</v>
      </c>
      <c r="I237" s="6" t="n">
        <v>130.7985939872899</v>
      </c>
    </row>
    <row r="238">
      <c r="A238" s="6" t="inlineStr">
        <is>
          <t>1 wt% Re | 200 C</t>
        </is>
      </c>
      <c r="B238" s="8" t="n">
        <v>0.238</v>
      </c>
      <c r="C238" s="6" t="n">
        <v>1973.325201025354</v>
      </c>
      <c r="D238" s="6" t="n">
        <v>86242.75510716105</v>
      </c>
      <c r="E238" s="8" t="n">
        <v>0.007009165085263459</v>
      </c>
      <c r="F238" s="8" t="n">
        <v>0</v>
      </c>
      <c r="G238" s="6" t="n">
        <v>1433.234209907527</v>
      </c>
      <c r="H238" s="6" t="n">
        <v>44.76236568814271</v>
      </c>
      <c r="I238" s="6" t="n">
        <v>131.0116820315678</v>
      </c>
    </row>
    <row r="239">
      <c r="A239" s="6" t="inlineStr">
        <is>
          <t>1 wt% Re | 200 C</t>
        </is>
      </c>
      <c r="B239" s="8" t="n">
        <v>0.239</v>
      </c>
      <c r="C239" s="6" t="n">
        <v>1977.887890481671</v>
      </c>
      <c r="D239" s="6" t="n">
        <v>86127.89726033719</v>
      </c>
      <c r="E239" s="8" t="n">
        <v>0.006992713425233825</v>
      </c>
      <c r="F239" s="8" t="n">
        <v>0</v>
      </c>
      <c r="G239" s="6" t="n">
        <v>1436.791591490755</v>
      </c>
      <c r="H239" s="6" t="n">
        <v>44.86252112118051</v>
      </c>
      <c r="I239" s="6" t="n">
        <v>131.2245075244004</v>
      </c>
    </row>
    <row r="240">
      <c r="A240" s="6" t="inlineStr">
        <is>
          <t>1 wt% Re | 200 C</t>
        </is>
      </c>
      <c r="B240" s="8" t="n">
        <v>0.24</v>
      </c>
      <c r="C240" s="6" t="n">
        <v>1982.450325241425</v>
      </c>
      <c r="D240" s="6" t="n">
        <v>86013.05779259984</v>
      </c>
      <c r="E240" s="8" t="n">
        <v>0.006976398324022342</v>
      </c>
      <c r="F240" s="8" t="n">
        <v>0</v>
      </c>
      <c r="G240" s="6" t="n">
        <v>1440.348973073984</v>
      </c>
      <c r="H240" s="6" t="n">
        <v>44.96267670262171</v>
      </c>
      <c r="I240" s="6" t="n">
        <v>131.4370717783911</v>
      </c>
    </row>
    <row r="241">
      <c r="A241" s="6" t="inlineStr">
        <is>
          <t>1 wt% Re | 200 C</t>
        </is>
      </c>
      <c r="B241" s="8" t="n">
        <v>0.241</v>
      </c>
      <c r="C241" s="6" t="n">
        <v>1987.012506571465</v>
      </c>
      <c r="D241" s="6" t="n">
        <v>85898.23647516368</v>
      </c>
      <c r="E241" s="8" t="n">
        <v>0.006960218088374244</v>
      </c>
      <c r="F241" s="8" t="n">
        <v>0</v>
      </c>
      <c r="G241" s="6" t="n">
        <v>1443.906354657212</v>
      </c>
      <c r="H241" s="6" t="n">
        <v>45.062832430619</v>
      </c>
      <c r="I241" s="6" t="n">
        <v>131.6493760941928</v>
      </c>
    </row>
    <row r="242">
      <c r="A242" s="6" t="inlineStr">
        <is>
          <t>1 wt% Re | 200 C</t>
        </is>
      </c>
      <c r="B242" s="8" t="n">
        <v>0.242</v>
      </c>
      <c r="C242" s="6" t="n">
        <v>1991.57443572717</v>
      </c>
      <c r="D242" s="6" t="n">
        <v>85783.43308302498</v>
      </c>
      <c r="E242" s="8" t="n">
        <v>0.00694417105291345</v>
      </c>
      <c r="F242" s="8" t="n">
        <v>0</v>
      </c>
      <c r="G242" s="6" t="n">
        <v>1447.46373624044</v>
      </c>
      <c r="H242" s="6" t="n">
        <v>45.16298830335558</v>
      </c>
      <c r="I242" s="6" t="n">
        <v>131.8614217606665</v>
      </c>
    </row>
    <row r="243">
      <c r="A243" s="6" t="inlineStr">
        <is>
          <t>1 wt% Re | 200 C</t>
        </is>
      </c>
      <c r="B243" s="8" t="n">
        <v>0.243</v>
      </c>
      <c r="C243" s="6" t="n">
        <v>1996.1361139526</v>
      </c>
      <c r="D243" s="6" t="n">
        <v>85668.64739488377</v>
      </c>
      <c r="E243" s="8" t="n">
        <v>0.006928255579571148</v>
      </c>
      <c r="F243" s="8" t="n">
        <v>0</v>
      </c>
      <c r="G243" s="6" t="n">
        <v>1451.021117823669</v>
      </c>
      <c r="H243" s="6" t="n">
        <v>45.26314431904454</v>
      </c>
      <c r="I243" s="6" t="n">
        <v>132.0732100550377</v>
      </c>
    </row>
    <row r="244">
      <c r="A244" s="6" t="inlineStr">
        <is>
          <t>1 wt% Re | 200 C</t>
        </is>
      </c>
      <c r="B244" s="8" t="n">
        <v>0.244</v>
      </c>
      <c r="C244" s="6" t="n">
        <v>2000.697542480645</v>
      </c>
      <c r="D244" s="6" t="n">
        <v>85553.87919306793</v>
      </c>
      <c r="E244" s="8" t="n">
        <v>0.006912470057028394</v>
      </c>
      <c r="F244" s="8" t="n">
        <v>0</v>
      </c>
      <c r="G244" s="6" t="n">
        <v>1454.578499406897</v>
      </c>
      <c r="H244" s="6" t="n">
        <v>45.36330047592826</v>
      </c>
      <c r="I244" s="6" t="n">
        <v>132.28474224305</v>
      </c>
    </row>
    <row r="245">
      <c r="A245" s="6" t="inlineStr">
        <is>
          <t>1 wt% Re | 200 C</t>
        </is>
      </c>
      <c r="B245" s="8" t="n">
        <v>0.245</v>
      </c>
      <c r="C245" s="6" t="n">
        <v>2005.258722533175</v>
      </c>
      <c r="D245" s="6" t="n">
        <v>85439.12826345925</v>
      </c>
      <c r="E245" s="8" t="n">
        <v>0.00689681290017229</v>
      </c>
      <c r="F245" s="8" t="n">
        <v>0</v>
      </c>
      <c r="G245" s="6" t="n">
        <v>1458.135880990126</v>
      </c>
      <c r="H245" s="6" t="n">
        <v>45.46345677227783</v>
      </c>
      <c r="I245" s="6" t="n">
        <v>132.4960195791161</v>
      </c>
    </row>
    <row r="246">
      <c r="A246" s="6" t="inlineStr">
        <is>
          <t>1 wt% Re | 200 C</t>
        </is>
      </c>
      <c r="B246" s="8" t="n">
        <v>0.246</v>
      </c>
      <c r="C246" s="6" t="n">
        <v>2009.819655321181</v>
      </c>
      <c r="D246" s="6" t="n">
        <v>85324.39439542098</v>
      </c>
      <c r="E246" s="8" t="n">
        <v>0.006881282549565376</v>
      </c>
      <c r="F246" s="8" t="n">
        <v>0</v>
      </c>
      <c r="G246" s="6" t="n">
        <v>1461.693262573354</v>
      </c>
      <c r="H246" s="6" t="n">
        <v>45.56361320639243</v>
      </c>
      <c r="I246" s="6" t="n">
        <v>132.7070433064656</v>
      </c>
    </row>
    <row r="247">
      <c r="A247" s="6" t="inlineStr">
        <is>
          <t>1 wt% Re | 200 C</t>
        </is>
      </c>
      <c r="B247" s="8" t="n">
        <v>0.247</v>
      </c>
      <c r="C247" s="6" t="n">
        <v>2014.380342044914</v>
      </c>
      <c r="D247" s="6" t="n">
        <v>85209.67738172761</v>
      </c>
      <c r="E247" s="8" t="n">
        <v>0.006865877470927874</v>
      </c>
      <c r="F247" s="8" t="n">
        <v>0</v>
      </c>
      <c r="G247" s="6" t="n">
        <v>1465.250644156582</v>
      </c>
      <c r="H247" s="6" t="n">
        <v>45.66376977659881</v>
      </c>
      <c r="I247" s="6" t="n">
        <v>132.9178146572914</v>
      </c>
    </row>
    <row r="248">
      <c r="A248" s="6" t="inlineStr">
        <is>
          <t>1 wt% Re | 200 C</t>
        </is>
      </c>
      <c r="B248" s="8" t="n">
        <v>0.248</v>
      </c>
      <c r="C248" s="6" t="n">
        <v>2018.94078389403</v>
      </c>
      <c r="D248" s="6" t="n">
        <v>85094.97701849595</v>
      </c>
      <c r="E248" s="8" t="n">
        <v>0.00685059615463241</v>
      </c>
      <c r="F248" s="8" t="n">
        <v>0</v>
      </c>
      <c r="G248" s="6" t="n">
        <v>1468.808025739811</v>
      </c>
      <c r="H248" s="6" t="n">
        <v>45.76392648125071</v>
      </c>
      <c r="I248" s="6" t="n">
        <v>133.1283348528923</v>
      </c>
    </row>
    <row r="249">
      <c r="A249" s="6" t="inlineStr">
        <is>
          <t>1 wt% Re | 200 C</t>
        </is>
      </c>
      <c r="B249" s="8" t="n">
        <v>0.249</v>
      </c>
      <c r="C249" s="6" t="n">
        <v>2023.500982047725</v>
      </c>
      <c r="D249" s="6" t="n">
        <v>84980.29310511799</v>
      </c>
      <c r="E249" s="8" t="n">
        <v>0.006835437115210847</v>
      </c>
      <c r="F249" s="8" t="n">
        <v>0</v>
      </c>
      <c r="G249" s="6" t="n">
        <v>1472.365407323039</v>
      </c>
      <c r="H249" s="6" t="n">
        <v>45.86408331872829</v>
      </c>
      <c r="I249" s="6" t="n">
        <v>133.3386051038142</v>
      </c>
    </row>
    <row r="250">
      <c r="A250" s="6" t="inlineStr">
        <is>
          <t>1 wt% Re | 200 C</t>
        </is>
      </c>
      <c r="B250" s="8" t="n">
        <v>0.25</v>
      </c>
      <c r="C250" s="6" t="n">
        <v>2028.060937674865</v>
      </c>
      <c r="D250" s="6" t="n">
        <v>84865.62544419551</v>
      </c>
      <c r="E250" s="8" t="n">
        <v>0.006820398890872923</v>
      </c>
      <c r="F250" s="8" t="n">
        <v>0</v>
      </c>
      <c r="G250" s="6" t="n">
        <v>1475.922788906268</v>
      </c>
      <c r="H250" s="6" t="n">
        <v>45.96424028743766</v>
      </c>
      <c r="I250" s="6" t="n">
        <v>133.5486266099884</v>
      </c>
    </row>
    <row r="251">
      <c r="A251" s="6" t="inlineStr">
        <is>
          <t>1 wt% Re | 200 C</t>
        </is>
      </c>
      <c r="B251" s="8" t="n">
        <v>0.251</v>
      </c>
      <c r="C251" s="6" t="n">
        <v>2032.620651934121</v>
      </c>
      <c r="D251" s="6" t="n">
        <v>84750.97384147604</v>
      </c>
      <c r="E251" s="8" t="n">
        <v>0.006805480043036369</v>
      </c>
      <c r="F251" s="8" t="n">
        <v>0</v>
      </c>
      <c r="G251" s="6" t="n">
        <v>1479.480170489496</v>
      </c>
      <c r="H251" s="6" t="n">
        <v>46.06439738581029</v>
      </c>
      <c r="I251" s="6" t="n">
        <v>133.7584005608675</v>
      </c>
    </row>
    <row r="252">
      <c r="A252" s="6" t="inlineStr">
        <is>
          <t>1 wt% Re | 200 C</t>
        </is>
      </c>
      <c r="B252" s="8" t="n">
        <v>0.252</v>
      </c>
      <c r="C252" s="6" t="n">
        <v>2037.180125974104</v>
      </c>
      <c r="D252" s="6" t="n">
        <v>84636.33810579052</v>
      </c>
      <c r="E252" s="8" t="n">
        <v>0.006790679155868131</v>
      </c>
      <c r="F252" s="8" t="n">
        <v>0</v>
      </c>
      <c r="G252" s="6" t="n">
        <v>1483.037552072725</v>
      </c>
      <c r="H252" s="6" t="n">
        <v>46.16455461230259</v>
      </c>
      <c r="I252" s="6" t="n">
        <v>133.967928135559</v>
      </c>
    </row>
    <row r="253">
      <c r="A253" s="6" t="inlineStr">
        <is>
          <t>1 wt% Re | 200 C</t>
        </is>
      </c>
      <c r="B253" s="8" t="n">
        <v>0.253</v>
      </c>
      <c r="C253" s="6" t="n">
        <v>2041.739360933485</v>
      </c>
      <c r="D253" s="6" t="n">
        <v>84521.71804899228</v>
      </c>
      <c r="E253" s="8" t="n">
        <v>0.006775994835836475</v>
      </c>
      <c r="F253" s="8" t="n">
        <v>0</v>
      </c>
      <c r="G253" s="6" t="n">
        <v>1486.594933655953</v>
      </c>
      <c r="H253" s="6" t="n">
        <v>46.26471196539535</v>
      </c>
      <c r="I253" s="6" t="n">
        <v>134.1772105029576</v>
      </c>
    </row>
    <row r="254">
      <c r="A254" s="6" t="inlineStr">
        <is>
          <t>1 wt% Re | 200 C</t>
        </is>
      </c>
      <c r="B254" s="8" t="n">
        <v>0.254</v>
      </c>
      <c r="C254" s="6" t="n">
        <v>2046.29835794112</v>
      </c>
      <c r="D254" s="6" t="n">
        <v>84407.1134858976</v>
      </c>
      <c r="E254" s="8" t="n">
        <v>0.006761425711273601</v>
      </c>
      <c r="F254" s="8" t="n">
        <v>0</v>
      </c>
      <c r="G254" s="6" t="n">
        <v>1490.152315239181</v>
      </c>
      <c r="H254" s="6" t="n">
        <v>46.36486944359326</v>
      </c>
      <c r="I254" s="6" t="n">
        <v>134.3862488218733</v>
      </c>
    </row>
    <row r="255">
      <c r="A255" s="6" t="inlineStr">
        <is>
          <t>1 wt% Re | 200 C</t>
        </is>
      </c>
      <c r="B255" s="8" t="n">
        <v>0.255</v>
      </c>
      <c r="C255" s="6" t="n">
        <v>2050.857118116186</v>
      </c>
      <c r="D255" s="6" t="n">
        <v>84292.52423422768</v>
      </c>
      <c r="E255" s="8" t="n">
        <v>0.006746970431948532</v>
      </c>
      <c r="F255" s="8" t="n">
        <v>0</v>
      </c>
      <c r="G255" s="6" t="n">
        <v>1493.70969682241</v>
      </c>
      <c r="H255" s="6" t="n">
        <v>46.46502704542453</v>
      </c>
      <c r="I255" s="6" t="n">
        <v>134.5950442411597</v>
      </c>
    </row>
    <row r="256">
      <c r="A256" s="6" t="inlineStr">
        <is>
          <t>1 wt% Re | 200 C</t>
        </is>
      </c>
      <c r="B256" s="8" t="n">
        <v>0.256</v>
      </c>
      <c r="C256" s="6" t="n">
        <v>2055.415642568286</v>
      </c>
      <c r="D256" s="6" t="n">
        <v>84177.95011455168</v>
      </c>
      <c r="E256" s="8" t="n">
        <v>0.006732627668649965</v>
      </c>
      <c r="F256" s="8" t="n">
        <v>0</v>
      </c>
      <c r="G256" s="6" t="n">
        <v>1497.267078405638</v>
      </c>
      <c r="H256" s="6" t="n">
        <v>46.56518476944033</v>
      </c>
      <c r="I256" s="6" t="n">
        <v>134.8035978998383</v>
      </c>
    </row>
    <row r="257">
      <c r="A257" s="6" t="inlineStr">
        <is>
          <t>1 wt% Re | 200 C</t>
        </is>
      </c>
      <c r="B257" s="8" t="n">
        <v>0.257</v>
      </c>
      <c r="C257" s="6" t="n">
        <v>2059.973932397581</v>
      </c>
      <c r="D257" s="6" t="n">
        <v>84063.39095023158</v>
      </c>
      <c r="E257" s="8" t="n">
        <v>0.006718396112778823</v>
      </c>
      <c r="F257" s="8" t="n">
        <v>0</v>
      </c>
      <c r="G257" s="6" t="n">
        <v>1500.824459988866</v>
      </c>
      <c r="H257" s="6" t="n">
        <v>46.66534261421436</v>
      </c>
      <c r="I257" s="6" t="n">
        <v>135.0119109272219</v>
      </c>
    </row>
    <row r="258">
      <c r="A258" s="6" t="inlineStr">
        <is>
          <t>1 wt% Re | 200 C</t>
        </is>
      </c>
      <c r="B258" s="8" t="n">
        <v>0.258</v>
      </c>
      <c r="C258" s="6" t="n">
        <v>2064.5319886949</v>
      </c>
      <c r="D258" s="6" t="n">
        <v>83948.84656736789</v>
      </c>
      <c r="E258" s="8" t="n">
        <v>0.006704274475950263</v>
      </c>
      <c r="F258" s="8" t="n">
        <v>0</v>
      </c>
      <c r="G258" s="6" t="n">
        <v>1504.381841572095</v>
      </c>
      <c r="H258" s="6" t="n">
        <v>46.76550057834248</v>
      </c>
      <c r="I258" s="6" t="n">
        <v>135.2199844430351</v>
      </c>
    </row>
    <row r="259">
      <c r="A259" s="6" t="inlineStr">
        <is>
          <t>1 wt% Re | 200 C</t>
        </is>
      </c>
      <c r="B259" s="8" t="n">
        <v>0.259</v>
      </c>
      <c r="C259" s="6" t="n">
        <v>2069.089812541858</v>
      </c>
      <c r="D259" s="6" t="n">
        <v>83834.31679474683</v>
      </c>
      <c r="E259" s="8" t="n">
        <v>0.006690261489604847</v>
      </c>
      <c r="F259" s="8" t="n">
        <v>0</v>
      </c>
      <c r="G259" s="6" t="n">
        <v>1507.939223155323</v>
      </c>
      <c r="H259" s="6" t="n">
        <v>46.86565866044219</v>
      </c>
      <c r="I259" s="6" t="n">
        <v>135.4278195575339</v>
      </c>
    </row>
    <row r="260">
      <c r="A260" s="6" t="inlineStr">
        <is>
          <t>1 wt% Re | 200 C</t>
        </is>
      </c>
      <c r="B260" s="8" t="n">
        <v>0.26</v>
      </c>
      <c r="C260" s="6" t="n">
        <v>2073.647405010971</v>
      </c>
      <c r="D260" s="6" t="n">
        <v>83719.80146378867</v>
      </c>
      <c r="E260" s="8" t="n">
        <v>0.006676355904628678</v>
      </c>
      <c r="F260" s="8" t="n">
        <v>0</v>
      </c>
      <c r="G260" s="6" t="n">
        <v>1511.496604738552</v>
      </c>
      <c r="H260" s="6" t="n">
        <v>46.96581685915228</v>
      </c>
      <c r="I260" s="6" t="n">
        <v>135.6354173716221</v>
      </c>
    </row>
    <row r="261">
      <c r="A261" s="6" t="inlineStr">
        <is>
          <t>1 wt% Re | 200 C</t>
        </is>
      </c>
      <c r="B261" s="8" t="n">
        <v>0.261</v>
      </c>
      <c r="C261" s="6" t="n">
        <v>2078.204767165769</v>
      </c>
      <c r="D261" s="6" t="n">
        <v>83605.30040849726</v>
      </c>
      <c r="E261" s="8" t="n">
        <v>0.006662556490982223</v>
      </c>
      <c r="F261" s="8" t="n">
        <v>0</v>
      </c>
      <c r="G261" s="6" t="n">
        <v>1515.05398632178</v>
      </c>
      <c r="H261" s="6" t="n">
        <v>47.0659751731324</v>
      </c>
      <c r="I261" s="6" t="n">
        <v>135.8427789769668</v>
      </c>
    </row>
    <row r="262">
      <c r="A262" s="6" t="inlineStr">
        <is>
          <t>1 wt% Re | 200 C</t>
        </is>
      </c>
      <c r="B262" s="8" t="n">
        <v>0.262</v>
      </c>
      <c r="C262" s="6" t="n">
        <v>2082.761900060901</v>
      </c>
      <c r="D262" s="6" t="n">
        <v>83490.81346541081</v>
      </c>
      <c r="E262" s="8" t="n">
        <v>0.006648862037337605</v>
      </c>
      <c r="F262" s="8" t="n">
        <v>0</v>
      </c>
      <c r="G262" s="6" t="n">
        <v>1518.611367905009</v>
      </c>
      <c r="H262" s="6" t="n">
        <v>47.16613360106269</v>
      </c>
      <c r="I262" s="6" t="n">
        <v>136.0499054561116</v>
      </c>
    </row>
    <row r="263">
      <c r="A263" s="6" t="inlineStr">
        <is>
          <t>1 wt% Re | 200 C</t>
        </is>
      </c>
      <c r="B263" s="8" t="n">
        <v>0.263</v>
      </c>
      <c r="C263" s="6" t="n">
        <v>2087.318804742247</v>
      </c>
      <c r="D263" s="6" t="n">
        <v>83376.34047355362</v>
      </c>
      <c r="E263" s="8" t="n">
        <v>0.006635271350724142</v>
      </c>
      <c r="F263" s="8" t="n">
        <v>0</v>
      </c>
      <c r="G263" s="6" t="n">
        <v>1522.168749488237</v>
      </c>
      <c r="H263" s="6" t="n">
        <v>47.2662921416433</v>
      </c>
      <c r="I263" s="6" t="n">
        <v>136.2567978825881</v>
      </c>
    </row>
    <row r="264">
      <c r="A264" s="6" t="inlineStr">
        <is>
          <t>1 wt% Re | 200 C</t>
        </is>
      </c>
      <c r="B264" s="8" t="n">
        <v>0.264</v>
      </c>
      <c r="C264" s="6" t="n">
        <v>2091.875482247022</v>
      </c>
      <c r="D264" s="6" t="n">
        <v>83261.88127438891</v>
      </c>
      <c r="E264" s="8" t="n">
        <v>0.006621783256181919</v>
      </c>
      <c r="F264" s="8" t="n">
        <v>0</v>
      </c>
      <c r="G264" s="6" t="n">
        <v>1525.726131071465</v>
      </c>
      <c r="H264" s="6" t="n">
        <v>47.36645079359413</v>
      </c>
      <c r="I264" s="6" t="n">
        <v>136.4634573210251</v>
      </c>
    </row>
    <row r="265">
      <c r="A265" s="6" t="inlineStr">
        <is>
          <t>1 wt% Re | 200 C</t>
        </is>
      </c>
      <c r="B265" s="8" t="n">
        <v>0.265</v>
      </c>
      <c r="C265" s="6" t="n">
        <v>2096.431933603887</v>
      </c>
      <c r="D265" s="6" t="n">
        <v>83147.43571177307</v>
      </c>
      <c r="E265" s="8" t="n">
        <v>0.006608396596423175</v>
      </c>
      <c r="F265" s="8" t="n">
        <v>0</v>
      </c>
      <c r="G265" s="6" t="n">
        <v>1529.283512654694</v>
      </c>
      <c r="H265" s="6" t="n">
        <v>47.46660955565441</v>
      </c>
      <c r="I265" s="6" t="n">
        <v>136.6698848272573</v>
      </c>
    </row>
    <row r="266">
      <c r="A266" s="6" t="inlineStr">
        <is>
          <t>1 wt% Re | 200 C</t>
        </is>
      </c>
      <c r="B266" s="8" t="n">
        <v>0.266</v>
      </c>
      <c r="C266" s="6" t="n">
        <v>2100.988159833044</v>
      </c>
      <c r="D266" s="6" t="n">
        <v>83033.00363191035</v>
      </c>
      <c r="E266" s="8" t="n">
        <v>0.006595110231501286</v>
      </c>
      <c r="F266" s="8" t="n">
        <v>0</v>
      </c>
      <c r="G266" s="6" t="n">
        <v>1532.840894237922</v>
      </c>
      <c r="H266" s="6" t="n">
        <v>47.56676842658227</v>
      </c>
      <c r="I266" s="6" t="n">
        <v>136.8760814484306</v>
      </c>
    </row>
    <row r="267">
      <c r="A267" s="6" t="inlineStr">
        <is>
          <t>1 wt% Re | 200 C</t>
        </is>
      </c>
      <c r="B267" s="8" t="n">
        <v>0.267</v>
      </c>
      <c r="C267" s="6" t="n">
        <v>2105.544161946345</v>
      </c>
      <c r="D267" s="6" t="n">
        <v>82918.58488330925</v>
      </c>
      <c r="E267" s="8" t="n">
        <v>0.006581923038487168</v>
      </c>
      <c r="F267" s="8" t="n">
        <v>0</v>
      </c>
      <c r="G267" s="6" t="n">
        <v>1536.398275821151</v>
      </c>
      <c r="H267" s="6" t="n">
        <v>47.6669274051545</v>
      </c>
      <c r="I267" s="6" t="n">
        <v>137.0820482231072</v>
      </c>
    </row>
    <row r="268">
      <c r="A268" s="6" t="inlineStr">
        <is>
          <t>1 wt% Re | 200 C</t>
        </is>
      </c>
      <c r="B268" s="8" t="n">
        <v>0.268</v>
      </c>
      <c r="C268" s="6" t="n">
        <v>2110.099940947381</v>
      </c>
      <c r="D268" s="6" t="n">
        <v>82804.17931673916</v>
      </c>
      <c r="E268" s="8" t="n">
        <v>0.00656883391115293</v>
      </c>
      <c r="F268" s="8" t="n">
        <v>0</v>
      </c>
      <c r="G268" s="6" t="n">
        <v>1539.955657404379</v>
      </c>
      <c r="H268" s="6" t="n">
        <v>47.76708649016609</v>
      </c>
      <c r="I268" s="6" t="n">
        <v>137.287786181368</v>
      </c>
    </row>
    <row r="269">
      <c r="A269" s="6" t="inlineStr">
        <is>
          <t>1 wt% Re | 200 C</t>
        </is>
      </c>
      <c r="B269" s="8" t="n">
        <v>0.269</v>
      </c>
      <c r="C269" s="6" t="n">
        <v>2114.655497831596</v>
      </c>
      <c r="D269" s="6" t="n">
        <v>82689.78678518858</v>
      </c>
      <c r="E269" s="8" t="n">
        <v>0.006555841759662502</v>
      </c>
      <c r="F269" s="8" t="n">
        <v>0</v>
      </c>
      <c r="G269" s="6" t="n">
        <v>1543.513038987607</v>
      </c>
      <c r="H269" s="6" t="n">
        <v>47.86724568043002</v>
      </c>
      <c r="I269" s="6" t="n">
        <v>137.4932963449143</v>
      </c>
    </row>
    <row r="270">
      <c r="A270" s="6" t="inlineStr">
        <is>
          <t>1 wt% Re | 200 C</t>
        </is>
      </c>
      <c r="B270" s="8" t="n">
        <v>0.27</v>
      </c>
      <c r="C270" s="6" t="n">
        <v>2119.21083358637</v>
      </c>
      <c r="D270" s="6" t="n">
        <v>82575.40714382401</v>
      </c>
      <c r="E270" s="8" t="n">
        <v>0.006542945510269148</v>
      </c>
      <c r="F270" s="8" t="n">
        <v>0</v>
      </c>
      <c r="G270" s="6" t="n">
        <v>1547.070420570836</v>
      </c>
      <c r="H270" s="6" t="n">
        <v>47.96740497477681</v>
      </c>
      <c r="I270" s="6" t="n">
        <v>137.698579727167</v>
      </c>
    </row>
    <row r="271">
      <c r="A271" s="6" t="inlineStr">
        <is>
          <t>1 wt% Re | 200 C</t>
        </is>
      </c>
      <c r="B271" s="8" t="n">
        <v>0.271</v>
      </c>
      <c r="C271" s="6" t="n">
        <v>2123.765949191122</v>
      </c>
      <c r="D271" s="6" t="n">
        <v>82461.0402499496</v>
      </c>
      <c r="E271" s="8" t="n">
        <v>0.006530144105019667</v>
      </c>
      <c r="F271" s="8" t="n">
        <v>0</v>
      </c>
      <c r="G271" s="6" t="n">
        <v>1550.627802154065</v>
      </c>
      <c r="H271" s="6" t="n">
        <v>48.06756437205425</v>
      </c>
      <c r="I271" s="6" t="n">
        <v>137.9036373333647</v>
      </c>
    </row>
    <row r="272">
      <c r="A272" s="6" t="inlineStr">
        <is>
          <t>1 wt% Re | 200 C</t>
        </is>
      </c>
      <c r="B272" s="8" t="n">
        <v>0.272</v>
      </c>
      <c r="C272" s="6" t="n">
        <v>2128.320845617402</v>
      </c>
      <c r="D272" s="6" t="n">
        <v>82346.68596296808</v>
      </c>
      <c r="E272" s="8" t="n">
        <v>0.006517436501465049</v>
      </c>
      <c r="F272" s="8" t="n">
        <v>0</v>
      </c>
      <c r="G272" s="6" t="n">
        <v>1554.185183737293</v>
      </c>
      <c r="H272" s="6" t="n">
        <v>48.16772387112708</v>
      </c>
      <c r="I272" s="6" t="n">
        <v>138.1084701606602</v>
      </c>
    </row>
    <row r="273">
      <c r="A273" s="6" t="inlineStr">
        <is>
          <t>1 wt% Re | 200 C</t>
        </is>
      </c>
      <c r="B273" s="8" t="n">
        <v>0.273</v>
      </c>
      <c r="C273" s="6" t="n">
        <v>2132.87552382898</v>
      </c>
      <c r="D273" s="6" t="n">
        <v>82232.34414434215</v>
      </c>
      <c r="E273" s="8" t="n">
        <v>0.006504821672377513</v>
      </c>
      <c r="F273" s="8" t="n">
        <v>0</v>
      </c>
      <c r="G273" s="6" t="n">
        <v>1557.742565320521</v>
      </c>
      <c r="H273" s="6" t="n">
        <v>48.26788347087665</v>
      </c>
      <c r="I273" s="6" t="n">
        <v>138.313079198216</v>
      </c>
    </row>
    <row r="274">
      <c r="A274" s="6" t="inlineStr">
        <is>
          <t>1 wt% Re | 200 C</t>
        </is>
      </c>
      <c r="B274" s="8" t="n">
        <v>0.274</v>
      </c>
      <c r="C274" s="6" t="n">
        <v>2137.429984781944</v>
      </c>
      <c r="D274" s="6" t="n">
        <v>82118.01465755695</v>
      </c>
      <c r="E274" s="8" t="n">
        <v>0.006492298605473704</v>
      </c>
      <c r="F274" s="8" t="n">
        <v>0</v>
      </c>
      <c r="G274" s="6" t="n">
        <v>1561.29994690375</v>
      </c>
      <c r="H274" s="6" t="n">
        <v>48.3680431702007</v>
      </c>
      <c r="I274" s="6" t="n">
        <v>138.5174654272972</v>
      </c>
    </row>
    <row r="275">
      <c r="A275" s="6" t="inlineStr">
        <is>
          <t>1 wt% Re | 200 C</t>
        </is>
      </c>
      <c r="B275" s="8" t="n">
        <v>0.275</v>
      </c>
      <c r="C275" s="6" t="n">
        <v>2141.984229424781</v>
      </c>
      <c r="D275" s="6" t="n">
        <v>82003.69736808332</v>
      </c>
      <c r="E275" s="8" t="n">
        <v>0.006479866303143904</v>
      </c>
      <c r="F275" s="8" t="n">
        <v>0</v>
      </c>
      <c r="G275" s="6" t="n">
        <v>1564.857328486978</v>
      </c>
      <c r="H275" s="6" t="n">
        <v>48.46820296801292</v>
      </c>
      <c r="I275" s="6" t="n">
        <v>138.7216298213639</v>
      </c>
    </row>
    <row r="276">
      <c r="A276" s="6" t="inlineStr">
        <is>
          <t>1 wt% Re | 200 C</t>
        </is>
      </c>
      <c r="B276" s="8" t="n">
        <v>0.276</v>
      </c>
      <c r="C276" s="6" t="n">
        <v>2146.538258698471</v>
      </c>
      <c r="D276" s="6" t="n">
        <v>81889.39214334183</v>
      </c>
      <c r="E276" s="8" t="n">
        <v>0.006467523782187104</v>
      </c>
      <c r="F276" s="8" t="n">
        <v>0</v>
      </c>
      <c r="G276" s="6" t="n">
        <v>1568.414710070206</v>
      </c>
      <c r="H276" s="6" t="n">
        <v>48.5683628632428</v>
      </c>
      <c r="I276" s="6" t="n">
        <v>138.9255733461621</v>
      </c>
    </row>
    <row r="277">
      <c r="A277" s="6" t="inlineStr">
        <is>
          <t>1 wt% Re | 200 C</t>
        </is>
      </c>
      <c r="B277" s="8" t="n">
        <v>0.277</v>
      </c>
      <c r="C277" s="6" t="n">
        <v>2151.092073536574</v>
      </c>
      <c r="D277" s="6" t="n">
        <v>81775.09885266743</v>
      </c>
      <c r="E277" s="8" t="n">
        <v>0.006455270073551826</v>
      </c>
      <c r="F277" s="8" t="n">
        <v>0</v>
      </c>
      <c r="G277" s="6" t="n">
        <v>1571.972091653435</v>
      </c>
      <c r="H277" s="6" t="n">
        <v>48.66852285483529</v>
      </c>
      <c r="I277" s="6" t="n">
        <v>139.1292969598126</v>
      </c>
    </row>
    <row r="278">
      <c r="A278" s="6" t="inlineStr">
        <is>
          <t>1 wt% Re | 200 C</t>
        </is>
      </c>
      <c r="B278" s="8" t="n">
        <v>0.278</v>
      </c>
      <c r="C278" s="6" t="n">
        <v>2155.645674865315</v>
      </c>
      <c r="D278" s="6" t="n">
        <v>81660.81736727527</v>
      </c>
      <c r="E278" s="8" t="n">
        <v>0.00644310422208248</v>
      </c>
      <c r="F278" s="8" t="n">
        <v>0</v>
      </c>
      <c r="G278" s="6" t="n">
        <v>1575.529473236663</v>
      </c>
      <c r="H278" s="6" t="n">
        <v>48.76868294175048</v>
      </c>
      <c r="I278" s="6" t="n">
        <v>139.3328016128995</v>
      </c>
    </row>
    <row r="279">
      <c r="A279" s="6" t="inlineStr">
        <is>
          <t>1 wt% Re | 200 C</t>
        </is>
      </c>
      <c r="B279" s="8" t="n">
        <v>0.279</v>
      </c>
      <c r="C279" s="6" t="n">
        <v>2160.19906360366</v>
      </c>
      <c r="D279" s="6" t="n">
        <v>81546.54756022684</v>
      </c>
      <c r="E279" s="8" t="n">
        <v>0.006431025286271178</v>
      </c>
      <c r="F279" s="8" t="n">
        <v>0</v>
      </c>
      <c r="G279" s="6" t="n">
        <v>1579.086854819891</v>
      </c>
      <c r="H279" s="6" t="n">
        <v>48.86884312296343</v>
      </c>
      <c r="I279" s="6" t="n">
        <v>139.5360882485561</v>
      </c>
    </row>
    <row r="280">
      <c r="A280" s="6" t="inlineStr">
        <is>
          <t>1 wt% Re | 200 C</t>
        </is>
      </c>
      <c r="B280" s="8" t="n">
        <v>0.28</v>
      </c>
      <c r="C280" s="6" t="n">
        <v>2164.752240663414</v>
      </c>
      <c r="D280" s="6" t="n">
        <v>81432.28930639703</v>
      </c>
      <c r="E280" s="8" t="n">
        <v>0.006419032338014853</v>
      </c>
      <c r="F280" s="8" t="n">
        <v>0</v>
      </c>
      <c r="G280" s="6" t="n">
        <v>1582.64423640312</v>
      </c>
      <c r="H280" s="6" t="n">
        <v>48.96900339746377</v>
      </c>
      <c r="I280" s="6" t="n">
        <v>139.7391578025508</v>
      </c>
    </row>
    <row r="281">
      <c r="A281" s="6" t="inlineStr">
        <is>
          <t>1 wt% Re | 200 C</t>
        </is>
      </c>
      <c r="B281" s="8" t="n">
        <v>0.281</v>
      </c>
      <c r="C281" s="6" t="n">
        <v>2169.305206949291</v>
      </c>
      <c r="D281" s="6" t="n">
        <v>81318.04248244183</v>
      </c>
      <c r="E281" s="8" t="n">
        <v>0.006407124462377531</v>
      </c>
      <c r="F281" s="8" t="n">
        <v>0</v>
      </c>
      <c r="G281" s="6" t="n">
        <v>1586.201617986349</v>
      </c>
      <c r="H281" s="6" t="n">
        <v>49.06916376425558</v>
      </c>
      <c r="I281" s="6" t="n">
        <v>139.942011203371</v>
      </c>
    </row>
    <row r="282">
      <c r="A282" s="6" t="inlineStr">
        <is>
          <t>1 wt% Re | 200 C</t>
        </is>
      </c>
      <c r="B282" s="8" t="n">
        <v>0.282</v>
      </c>
      <c r="C282" s="6" t="n">
        <v>2173.857963358997</v>
      </c>
      <c r="D282" s="6" t="n">
        <v>81203.80696676686</v>
      </c>
      <c r="E282" s="8" t="n">
        <v>0.006395300757357668</v>
      </c>
      <c r="F282" s="8" t="n">
        <v>0</v>
      </c>
      <c r="G282" s="6" t="n">
        <v>1589.758999569577</v>
      </c>
      <c r="H282" s="6" t="n">
        <v>49.16932422235701</v>
      </c>
      <c r="I282" s="6" t="n">
        <v>140.1446493723055</v>
      </c>
    </row>
    <row r="283">
      <c r="A283" s="6" t="inlineStr">
        <is>
          <t>1 wt% Re | 200 C</t>
        </is>
      </c>
      <c r="B283" s="8" t="n">
        <v>0.283</v>
      </c>
      <c r="C283" s="6" t="n">
        <v>2178.410510783313</v>
      </c>
      <c r="D283" s="6" t="n">
        <v>81089.58263949638</v>
      </c>
      <c r="E283" s="8" t="n">
        <v>0.006383560333660361</v>
      </c>
      <c r="F283" s="8" t="n">
        <v>0</v>
      </c>
      <c r="G283" s="6" t="n">
        <v>1593.316381152805</v>
      </c>
      <c r="H283" s="6" t="n">
        <v>49.26948477080011</v>
      </c>
      <c r="I283" s="6" t="n">
        <v>140.3470732235266</v>
      </c>
    </row>
    <row r="284">
      <c r="A284" s="6" t="inlineStr">
        <is>
          <t>1 wt% Re | 200 C</t>
        </is>
      </c>
      <c r="B284" s="8" t="n">
        <v>0.284</v>
      </c>
      <c r="C284" s="6" t="n">
        <v>2182.96285010617</v>
      </c>
      <c r="D284" s="6" t="n">
        <v>80975.36938244296</v>
      </c>
      <c r="E284" s="8" t="n">
        <v>0.006371902314474411</v>
      </c>
      <c r="F284" s="8" t="n">
        <v>0</v>
      </c>
      <c r="G284" s="6" t="n">
        <v>1596.873762736033</v>
      </c>
      <c r="H284" s="6" t="n">
        <v>49.36964540863062</v>
      </c>
      <c r="I284" s="6" t="n">
        <v>140.54928366417</v>
      </c>
    </row>
    <row r="285">
      <c r="A285" s="6" t="inlineStr">
        <is>
          <t>1 wt% Re | 200 C</t>
        </is>
      </c>
      <c r="B285" s="8" t="n">
        <v>0.285</v>
      </c>
      <c r="C285" s="6" t="n">
        <v>2187.514982204724</v>
      </c>
      <c r="D285" s="6" t="n">
        <v>80861.16707907803</v>
      </c>
      <c r="E285" s="8" t="n">
        <v>0.006360325835254013</v>
      </c>
      <c r="F285" s="8" t="n">
        <v>0</v>
      </c>
      <c r="G285" s="6" t="n">
        <v>1600.431144319262</v>
      </c>
      <c r="H285" s="6" t="n">
        <v>49.46980613490756</v>
      </c>
      <c r="I285" s="6" t="n">
        <v>140.7512815944137</v>
      </c>
    </row>
    <row r="286">
      <c r="A286" s="6" t="inlineStr">
        <is>
          <t>1 wt% Re | 200 C</t>
        </is>
      </c>
      <c r="B286" s="8" t="n">
        <v>0.286</v>
      </c>
      <c r="C286" s="6" t="n">
        <v>2192.066907949438</v>
      </c>
      <c r="D286" s="6" t="n">
        <v>80746.97561450275</v>
      </c>
      <c r="E286" s="8" t="n">
        <v>0.006348830043505054</v>
      </c>
      <c r="F286" s="8" t="n">
        <v>0</v>
      </c>
      <c r="G286" s="6" t="n">
        <v>1603.98852590249</v>
      </c>
      <c r="H286" s="6" t="n">
        <v>49.56996694870319</v>
      </c>
      <c r="I286" s="6" t="n">
        <v>140.9530679075567</v>
      </c>
    </row>
    <row r="287">
      <c r="A287" s="6" t="inlineStr">
        <is>
          <t>1 wt% Re | 200 C</t>
        </is>
      </c>
      <c r="B287" s="8" t="n">
        <v>0.287</v>
      </c>
      <c r="C287" s="6" t="n">
        <v>2196.618628204146</v>
      </c>
      <c r="D287" s="6" t="n">
        <v>80632.79487541967</v>
      </c>
      <c r="E287" s="8" t="n">
        <v>0.006337414098575819</v>
      </c>
      <c r="F287" s="8" t="n">
        <v>0</v>
      </c>
      <c r="G287" s="6" t="n">
        <v>1607.545907485718</v>
      </c>
      <c r="H287" s="6" t="n">
        <v>49.67012784910268</v>
      </c>
      <c r="I287" s="6" t="n">
        <v>141.1546434900951</v>
      </c>
    </row>
    <row r="288">
      <c r="A288" s="6" t="inlineStr">
        <is>
          <t>1 wt% Re | 200 C</t>
        </is>
      </c>
      <c r="B288" s="8" t="n">
        <v>0.288</v>
      </c>
      <c r="C288" s="6" t="n">
        <v>2201.170143826143</v>
      </c>
      <c r="D288" s="6" t="n">
        <v>80518.62475010494</v>
      </c>
      <c r="E288" s="8" t="n">
        <v>0.006326077171452091</v>
      </c>
      <c r="F288" s="8" t="n">
        <v>0</v>
      </c>
      <c r="G288" s="6" t="n">
        <v>1611.103289068947</v>
      </c>
      <c r="H288" s="6" t="n">
        <v>49.77028883520394</v>
      </c>
      <c r="I288" s="6" t="n">
        <v>141.356009221798</v>
      </c>
    </row>
    <row r="289">
      <c r="A289" s="6" t="inlineStr">
        <is>
          <t>1 wt% Re | 200 C</t>
        </is>
      </c>
      <c r="B289" s="8" t="n">
        <v>0.289</v>
      </c>
      <c r="C289" s="6" t="n">
        <v>2205.721455666238</v>
      </c>
      <c r="D289" s="6" t="n">
        <v>80404.46512838102</v>
      </c>
      <c r="E289" s="8" t="n">
        <v>0.006314818444556444</v>
      </c>
      <c r="F289" s="8" t="n">
        <v>0</v>
      </c>
      <c r="G289" s="6" t="n">
        <v>1614.660670652175</v>
      </c>
      <c r="H289" s="6" t="n">
        <v>49.87044990611724</v>
      </c>
      <c r="I289" s="6" t="n">
        <v>141.5571659757819</v>
      </c>
    </row>
    <row r="290">
      <c r="A290" s="6" t="inlineStr">
        <is>
          <t>1 wt% Re | 200 C</t>
        </is>
      </c>
      <c r="B290" s="8" t="n">
        <v>0.29</v>
      </c>
      <c r="C290" s="6" t="n">
        <v>2210.272564568842</v>
      </c>
      <c r="D290" s="6" t="n">
        <v>80290.31590159005</v>
      </c>
      <c r="E290" s="8" t="n">
        <v>0.006303637111551727</v>
      </c>
      <c r="F290" s="8" t="n">
        <v>0</v>
      </c>
      <c r="G290" s="6" t="n">
        <v>1618.218052235404</v>
      </c>
      <c r="H290" s="6" t="n">
        <v>49.97061106096533</v>
      </c>
      <c r="I290" s="6" t="n">
        <v>141.7581146185847</v>
      </c>
    </row>
    <row r="291">
      <c r="A291" s="6" t="inlineStr">
        <is>
          <t>1 wt% Re | 200 C</t>
        </is>
      </c>
      <c r="B291" s="8" t="n">
        <v>0.291</v>
      </c>
      <c r="C291" s="6" t="n">
        <v>2214.82347137203</v>
      </c>
      <c r="D291" s="6" t="n">
        <v>80176.1769625678</v>
      </c>
      <c r="E291" s="8" t="n">
        <v>0.006292532377148518</v>
      </c>
      <c r="F291" s="8" t="n">
        <v>0</v>
      </c>
      <c r="G291" s="6" t="n">
        <v>1621.775433818632</v>
      </c>
      <c r="H291" s="6" t="n">
        <v>50.07077229888282</v>
      </c>
      <c r="I291" s="6" t="n">
        <v>141.9588560102372</v>
      </c>
    </row>
    <row r="292">
      <c r="A292" s="6" t="inlineStr">
        <is>
          <t>1 wt% Re | 200 C</t>
        </is>
      </c>
      <c r="B292" s="8" t="n">
        <v>0.292</v>
      </c>
      <c r="C292" s="6" t="n">
        <v>2219.374176907611</v>
      </c>
      <c r="D292" s="6" t="n">
        <v>80062.04820561798</v>
      </c>
      <c r="E292" s="8" t="n">
        <v>0.006281503456916609</v>
      </c>
      <c r="F292" s="8" t="n">
        <v>0</v>
      </c>
      <c r="G292" s="6" t="n">
        <v>1625.332815401861</v>
      </c>
      <c r="H292" s="6" t="n">
        <v>50.1709336190163</v>
      </c>
      <c r="I292" s="6" t="n">
        <v>142.1593910043353</v>
      </c>
    </row>
    <row r="293">
      <c r="A293" s="6" t="inlineStr">
        <is>
          <t>1 wt% Re | 200 C</t>
        </is>
      </c>
      <c r="B293" s="8" t="n">
        <v>0.293</v>
      </c>
      <c r="C293" s="6" t="n">
        <v>2223.924682001197</v>
      </c>
      <c r="D293" s="6" t="n">
        <v>79947.92952648737</v>
      </c>
      <c r="E293" s="8" t="n">
        <v>0.006270549577100249</v>
      </c>
      <c r="F293" s="8" t="n">
        <v>0</v>
      </c>
      <c r="G293" s="6" t="n">
        <v>1628.890196985089</v>
      </c>
      <c r="H293" s="6" t="n">
        <v>50.27109502052394</v>
      </c>
      <c r="I293" s="6" t="n">
        <v>142.3597204481098</v>
      </c>
    </row>
    <row r="294">
      <c r="A294" s="6" t="inlineStr">
        <is>
          <t>1 wt% Re | 200 C</t>
        </is>
      </c>
      <c r="B294" s="8" t="n">
        <v>0.294</v>
      </c>
      <c r="C294" s="6" t="n">
        <v>2228.474987472272</v>
      </c>
      <c r="D294" s="6" t="n">
        <v>79833.82082234096</v>
      </c>
      <c r="E294" s="8" t="n">
        <v>0.006259669974437217</v>
      </c>
      <c r="F294" s="8" t="n">
        <v>0</v>
      </c>
      <c r="G294" s="6" t="n">
        <v>1632.447578568318</v>
      </c>
      <c r="H294" s="6" t="n">
        <v>50.37125650257542</v>
      </c>
      <c r="I294" s="6" t="n">
        <v>142.5598451824959</v>
      </c>
    </row>
    <row r="295">
      <c r="A295" s="6" t="inlineStr">
        <is>
          <t>1 wt% Re | 200 C</t>
        </is>
      </c>
      <c r="B295" s="8" t="n">
        <v>0.295</v>
      </c>
      <c r="C295" s="6" t="n">
        <v>2233.025094134257</v>
      </c>
      <c r="D295" s="6" t="n">
        <v>79719.72199173833</v>
      </c>
      <c r="E295" s="8" t="n">
        <v>0.006248863895981518</v>
      </c>
      <c r="F295" s="8" t="n">
        <v>0</v>
      </c>
      <c r="G295" s="6" t="n">
        <v>1636.004960151546</v>
      </c>
      <c r="H295" s="6" t="n">
        <v>50.47141806435161</v>
      </c>
      <c r="I295" s="6" t="n">
        <v>142.7597660422014</v>
      </c>
    </row>
    <row r="296">
      <c r="A296" s="6" t="inlineStr">
        <is>
          <t>1 wt% Re | 200 C</t>
        </is>
      </c>
      <c r="B296" s="8" t="n">
        <v>0.296</v>
      </c>
      <c r="C296" s="6" t="n">
        <v>2237.575002794576</v>
      </c>
      <c r="D296" s="6" t="n">
        <v>79605.63293460973</v>
      </c>
      <c r="E296" s="8" t="n">
        <v>0.00623813059892969</v>
      </c>
      <c r="F296" s="8" t="n">
        <v>0</v>
      </c>
      <c r="G296" s="6" t="n">
        <v>1639.562341734775</v>
      </c>
      <c r="H296" s="6" t="n">
        <v>50.57157970504453</v>
      </c>
      <c r="I296" s="6" t="n">
        <v>142.9594838557744</v>
      </c>
    </row>
    <row r="297">
      <c r="A297" s="6" t="inlineStr">
        <is>
          <t>1 wt% Re | 200 C</t>
        </is>
      </c>
      <c r="B297" s="8" t="n">
        <v>0.297</v>
      </c>
      <c r="C297" s="6" t="n">
        <v>2242.124714254716</v>
      </c>
      <c r="D297" s="6" t="n">
        <v>79491.55355223325</v>
      </c>
      <c r="E297" s="8" t="n">
        <v>0.006227469350450573</v>
      </c>
      <c r="F297" s="8" t="n">
        <v>0</v>
      </c>
      <c r="G297" s="6" t="n">
        <v>1643.119723318002</v>
      </c>
      <c r="H297" s="6" t="n">
        <v>50.67174142385702</v>
      </c>
      <c r="I297" s="6" t="n">
        <v>143.1589994456688</v>
      </c>
    </row>
    <row r="298">
      <c r="A298" s="6" t="inlineStr">
        <is>
          <t>1 wt% Re | 200 C</t>
        </is>
      </c>
      <c r="B298" s="8" t="n">
        <v>0.298</v>
      </c>
      <c r="C298" s="6" t="n">
        <v>2246.674229310304</v>
      </c>
      <c r="D298" s="6" t="n">
        <v>79377.48374721198</v>
      </c>
      <c r="E298" s="8" t="n">
        <v>0.006216879427518562</v>
      </c>
      <c r="F298" s="8" t="n">
        <v>0</v>
      </c>
      <c r="G298" s="6" t="n">
        <v>1646.677104901231</v>
      </c>
      <c r="H298" s="6" t="n">
        <v>50.77190322000268</v>
      </c>
      <c r="I298" s="6" t="n">
        <v>143.3583136283108</v>
      </c>
    </row>
    <row r="299">
      <c r="A299" s="6" t="inlineStr">
        <is>
          <t>1 wt% Re | 200 C</t>
        </is>
      </c>
      <c r="B299" s="8" t="n">
        <v>0.299</v>
      </c>
      <c r="C299" s="6" t="n">
        <v>2251.223548751153</v>
      </c>
      <c r="D299" s="6" t="n">
        <v>79263.42342345214</v>
      </c>
      <c r="E299" s="8" t="n">
        <v>0.006206360116750094</v>
      </c>
      <c r="F299" s="8" t="n">
        <v>0</v>
      </c>
      <c r="G299" s="6" t="n">
        <v>1650.234486484459</v>
      </c>
      <c r="H299" s="6" t="n">
        <v>50.87206509270552</v>
      </c>
      <c r="I299" s="6" t="n">
        <v>143.5574272141626</v>
      </c>
    </row>
    <row r="300">
      <c r="A300" s="6" t="inlineStr">
        <is>
          <t>1 wt% Re | 200 C</t>
        </is>
      </c>
      <c r="B300" s="8" t="n">
        <v>0.3</v>
      </c>
      <c r="C300" s="6" t="n">
        <v>2255.772673361333</v>
      </c>
      <c r="D300" s="6" t="n">
        <v>79149.37248614104</v>
      </c>
      <c r="E300" s="8" t="n">
        <v>0.006195910714243509</v>
      </c>
      <c r="F300" s="8" t="n">
        <v>0</v>
      </c>
      <c r="G300" s="6" t="n">
        <v>1653.791868067688</v>
      </c>
      <c r="H300" s="6" t="n">
        <v>50.97222704120001</v>
      </c>
      <c r="I300" s="6" t="n">
        <v>143.7563410077865</v>
      </c>
    </row>
    <row r="301">
      <c r="A301" s="6" t="inlineStr">
        <is>
          <t>1 wt% Re | 200 C</t>
        </is>
      </c>
      <c r="B301" s="8" t="n">
        <v>0.301</v>
      </c>
      <c r="C301" s="6" t="n">
        <v>2260.321603919231</v>
      </c>
      <c r="D301" s="6" t="n">
        <v>79035.3308417261</v>
      </c>
      <c r="E301" s="8" t="n">
        <v>0.006185530525421992</v>
      </c>
      <c r="F301" s="8" t="n">
        <v>0</v>
      </c>
      <c r="G301" s="6" t="n">
        <v>1657.349249650916</v>
      </c>
      <c r="H301" s="6" t="n">
        <v>51.07238906473075</v>
      </c>
      <c r="I301" s="6" t="n">
        <v>143.9550558079073</v>
      </c>
    </row>
    <row r="302">
      <c r="A302" s="6" t="inlineStr">
        <is>
          <t>1 wt% Re | 200 C</t>
        </is>
      </c>
      <c r="B302" s="8" t="n">
        <v>0.302</v>
      </c>
      <c r="C302" s="6" t="n">
        <v>2264.87034119761</v>
      </c>
      <c r="D302" s="6" t="n">
        <v>78921.29839789373</v>
      </c>
      <c r="E302" s="8" t="n">
        <v>0.0061752188648797</v>
      </c>
      <c r="F302" s="8" t="n">
        <v>0</v>
      </c>
      <c r="G302" s="6" t="n">
        <v>1660.906631234145</v>
      </c>
      <c r="H302" s="6" t="n">
        <v>51.17255116255237</v>
      </c>
      <c r="I302" s="6" t="n">
        <v>144.1535724074743</v>
      </c>
    </row>
    <row r="303">
      <c r="A303" s="6" t="inlineStr">
        <is>
          <t>1 wt% Re | 200 C</t>
        </is>
      </c>
      <c r="B303" s="8" t="n">
        <v>0.303</v>
      </c>
      <c r="C303" s="6" t="n">
        <v>2269.418885963669</v>
      </c>
      <c r="D303" s="6" t="n">
        <v>78807.27506354908</v>
      </c>
      <c r="E303" s="8" t="n">
        <v>0.006164975056230881</v>
      </c>
      <c r="F303" s="8" t="n">
        <v>0</v>
      </c>
      <c r="G303" s="6" t="n">
        <v>1664.464012817373</v>
      </c>
      <c r="H303" s="6" t="n">
        <v>51.27271333392924</v>
      </c>
      <c r="I303" s="6" t="n">
        <v>144.3518915937221</v>
      </c>
    </row>
    <row r="304">
      <c r="A304" s="6" t="inlineStr">
        <is>
          <t>1 wt% Re | 200 C</t>
        </is>
      </c>
      <c r="B304" s="8" t="n">
        <v>0.304</v>
      </c>
      <c r="C304" s="6" t="n">
        <v>2273.967238979105</v>
      </c>
      <c r="D304" s="6" t="n">
        <v>78693.26074879587</v>
      </c>
      <c r="E304" s="8" t="n">
        <v>0.006154798431961987</v>
      </c>
      <c r="F304" s="8" t="n">
        <v>0</v>
      </c>
      <c r="G304" s="6" t="n">
        <v>1668.021394400602</v>
      </c>
      <c r="H304" s="6" t="n">
        <v>51.37287557813561</v>
      </c>
      <c r="I304" s="6" t="n">
        <v>144.5500141482308</v>
      </c>
    </row>
    <row r="305">
      <c r="A305" s="6" t="inlineStr">
        <is>
          <t>1 wt% Re | 200 C</t>
        </is>
      </c>
      <c r="B305" s="8" t="n">
        <v>0.305</v>
      </c>
      <c r="C305" s="6" t="n">
        <v>2278.515401000159</v>
      </c>
      <c r="D305" s="6" t="n">
        <v>78579.25536491684</v>
      </c>
      <c r="E305" s="8" t="n">
        <v>0.006144688333286667</v>
      </c>
      <c r="F305" s="8" t="n">
        <v>0</v>
      </c>
      <c r="G305" s="6" t="n">
        <v>1671.578775983829</v>
      </c>
      <c r="H305" s="6" t="n">
        <v>51.47303789445498</v>
      </c>
      <c r="I305" s="6" t="n">
        <v>144.7479408469853</v>
      </c>
    </row>
    <row r="306">
      <c r="A306" s="6" t="inlineStr">
        <is>
          <t>1 wt% Re | 200 C</t>
        </is>
      </c>
      <c r="B306" s="8" t="n">
        <v>0.306</v>
      </c>
      <c r="C306" s="6" t="n">
        <v>2283.063372777689</v>
      </c>
      <c r="D306" s="6" t="n">
        <v>78465.25882435437</v>
      </c>
      <c r="E306" s="8" t="n">
        <v>0.006134644110003619</v>
      </c>
      <c r="F306" s="8" t="n">
        <v>0</v>
      </c>
      <c r="G306" s="6" t="n">
        <v>1675.136157567058</v>
      </c>
      <c r="H306" s="6" t="n">
        <v>51.57320028218048</v>
      </c>
      <c r="I306" s="6" t="n">
        <v>144.9456724604337</v>
      </c>
    </row>
    <row r="307">
      <c r="A307" s="6" t="inlineStr">
        <is>
          <t>1 wt% Re | 200 C</t>
        </is>
      </c>
      <c r="B307" s="8" t="n">
        <v>0.307</v>
      </c>
      <c r="C307" s="6" t="n">
        <v>2287.611155057212</v>
      </c>
      <c r="D307" s="6" t="n">
        <v>78351.27104069173</v>
      </c>
      <c r="E307" s="8" t="n">
        <v>0.006124665120357184</v>
      </c>
      <c r="F307" s="8" t="n">
        <v>0</v>
      </c>
      <c r="G307" s="6" t="n">
        <v>1678.693539150287</v>
      </c>
      <c r="H307" s="6" t="n">
        <v>51.67336274061427</v>
      </c>
      <c r="I307" s="6" t="n">
        <v>145.1432097535453</v>
      </c>
    </row>
    <row r="308">
      <c r="A308" s="6" t="inlineStr">
        <is>
          <t>1 wt% Re | 200 C</t>
        </is>
      </c>
      <c r="B308" s="8" t="n">
        <v>0.308</v>
      </c>
      <c r="C308" s="6" t="n">
        <v>2292.158748578968</v>
      </c>
      <c r="D308" s="6" t="n">
        <v>78237.29192863435</v>
      </c>
      <c r="E308" s="8" t="n">
        <v>0.006114750730900675</v>
      </c>
      <c r="F308" s="8" t="n">
        <v>0</v>
      </c>
      <c r="G308" s="6" t="n">
        <v>1682.250920733515</v>
      </c>
      <c r="H308" s="6" t="n">
        <v>51.77352526906765</v>
      </c>
      <c r="I308" s="6" t="n">
        <v>145.3405534858667</v>
      </c>
    </row>
    <row r="309">
      <c r="A309" s="6" t="inlineStr">
        <is>
          <t>1 wt% Re | 200 C</t>
        </is>
      </c>
      <c r="B309" s="8" t="n">
        <v>0.309</v>
      </c>
      <c r="C309" s="6" t="n">
        <v>2296.706154077971</v>
      </c>
      <c r="D309" s="6" t="n">
        <v>78123.321403992</v>
      </c>
      <c r="E309" s="8" t="n">
        <v>0.006104900316362321</v>
      </c>
      <c r="F309" s="8" t="n">
        <v>0</v>
      </c>
      <c r="G309" s="6" t="n">
        <v>1685.808302316743</v>
      </c>
      <c r="H309" s="6" t="n">
        <v>51.8736878668608</v>
      </c>
      <c r="I309" s="6" t="n">
        <v>145.5377044115785</v>
      </c>
    </row>
    <row r="310">
      <c r="A310" s="6" t="inlineStr">
        <is>
          <t>1 wt% Re | 200 C</t>
        </is>
      </c>
      <c r="B310" s="8" t="n">
        <v>0.31</v>
      </c>
      <c r="C310" s="6" t="n">
        <v>2301.253372284065</v>
      </c>
      <c r="D310" s="6" t="n">
        <v>78009.35938366054</v>
      </c>
      <c r="E310" s="8" t="n">
        <v>0.006095113259513838</v>
      </c>
      <c r="F310" s="8" t="n">
        <v>0</v>
      </c>
      <c r="G310" s="6" t="n">
        <v>1689.365683899972</v>
      </c>
      <c r="H310" s="6" t="n">
        <v>51.9738505333227</v>
      </c>
      <c r="I310" s="6" t="n">
        <v>145.7346632795508</v>
      </c>
    </row>
    <row r="311">
      <c r="A311" s="6" t="inlineStr">
        <is>
          <t>1 wt% Re | 200 C</t>
        </is>
      </c>
      <c r="B311" s="8" t="n">
        <v>0.311</v>
      </c>
      <c r="C311" s="6" t="n">
        <v>2305.800403921972</v>
      </c>
      <c r="D311" s="6" t="n">
        <v>77895.40578560496</v>
      </c>
      <c r="E311" s="8" t="n">
        <v>0.006085388951041473</v>
      </c>
      <c r="F311" s="8" t="n">
        <v>0</v>
      </c>
      <c r="G311" s="6" t="n">
        <v>1692.9230654832</v>
      </c>
      <c r="H311" s="6" t="n">
        <v>52.07401326779095</v>
      </c>
      <c r="I311" s="6" t="n">
        <v>145.931430833397</v>
      </c>
    </row>
    <row r="312">
      <c r="A312" s="6" t="inlineStr">
        <is>
          <t>1 wt% Re | 200 C</t>
        </is>
      </c>
      <c r="B312" s="8" t="n">
        <v>0.312</v>
      </c>
      <c r="C312" s="6" t="n">
        <v>2310.347249711354</v>
      </c>
      <c r="D312" s="6" t="n">
        <v>77781.46052884171</v>
      </c>
      <c r="E312" s="8" t="n">
        <v>0.006075726789419594</v>
      </c>
      <c r="F312" s="8" t="n">
        <v>0</v>
      </c>
      <c r="G312" s="6" t="n">
        <v>1696.480447066428</v>
      </c>
      <c r="H312" s="6" t="n">
        <v>52.17417606961166</v>
      </c>
      <c r="I312" s="6" t="n">
        <v>146.1280078115283</v>
      </c>
    </row>
    <row r="313">
      <c r="A313" s="6" t="inlineStr">
        <is>
          <t>1 wt% Re | 200 C</t>
        </is>
      </c>
      <c r="B313" s="8" t="n">
        <v>0.313</v>
      </c>
      <c r="C313" s="6" t="n">
        <v>2314.893910366852</v>
      </c>
      <c r="D313" s="6" t="n">
        <v>77667.5235334224</v>
      </c>
      <c r="E313" s="8" t="n">
        <v>0.006066126180786607</v>
      </c>
      <c r="F313" s="8" t="n">
        <v>0</v>
      </c>
      <c r="G313" s="6" t="n">
        <v>1700.037828649657</v>
      </c>
      <c r="H313" s="6" t="n">
        <v>52.27433893813926</v>
      </c>
      <c r="I313" s="6" t="n">
        <v>146.3243949472065</v>
      </c>
    </row>
    <row r="314">
      <c r="A314" s="6" t="inlineStr">
        <is>
          <t>1 wt% Re | 200 C</t>
        </is>
      </c>
      <c r="B314" s="8" t="n">
        <v>0.314</v>
      </c>
      <c r="C314" s="6" t="n">
        <v>2319.440386598148</v>
      </c>
      <c r="D314" s="6" t="n">
        <v>77553.59472041689</v>
      </c>
      <c r="E314" s="8" t="n">
        <v>0.006056586538823328</v>
      </c>
      <c r="F314" s="8" t="n">
        <v>0</v>
      </c>
      <c r="G314" s="6" t="n">
        <v>1703.595210232886</v>
      </c>
      <c r="H314" s="6" t="n">
        <v>52.37450187273645</v>
      </c>
      <c r="I314" s="6" t="n">
        <v>146.5205929685967</v>
      </c>
    </row>
    <row r="315">
      <c r="A315" s="6" t="inlineStr">
        <is>
          <t>1 wt% Re | 200 C</t>
        </is>
      </c>
      <c r="B315" s="8" t="n">
        <v>0.315</v>
      </c>
      <c r="C315" s="6" t="n">
        <v>2323.986679110009</v>
      </c>
      <c r="D315" s="6" t="n">
        <v>77439.67401189754</v>
      </c>
      <c r="E315" s="8" t="n">
        <v>0.006047107284633584</v>
      </c>
      <c r="F315" s="8" t="n">
        <v>0</v>
      </c>
      <c r="G315" s="6" t="n">
        <v>1707.152591816113</v>
      </c>
      <c r="H315" s="6" t="n">
        <v>52.47466487277394</v>
      </c>
      <c r="I315" s="6" t="n">
        <v>146.7166025988184</v>
      </c>
    </row>
    <row r="316">
      <c r="A316" s="6" t="inlineStr">
        <is>
          <t>1 wt% Re | 200 C</t>
        </is>
      </c>
      <c r="B316" s="8" t="n">
        <v>0.316</v>
      </c>
      <c r="C316" s="6" t="n">
        <v>2328.532788602341</v>
      </c>
      <c r="D316" s="6" t="n">
        <v>77325.76133092295</v>
      </c>
      <c r="E316" s="8" t="n">
        <v>0.006037687846627132</v>
      </c>
      <c r="F316" s="8" t="n">
        <v>0</v>
      </c>
      <c r="G316" s="6" t="n">
        <v>1710.709973399343</v>
      </c>
      <c r="H316" s="6" t="n">
        <v>52.57482793763051</v>
      </c>
      <c r="I316" s="6" t="n">
        <v>146.9124245559971</v>
      </c>
    </row>
    <row r="317">
      <c r="A317" s="6" t="inlineStr">
        <is>
          <t>1 wt% Re | 200 C</t>
        </is>
      </c>
      <c r="B317" s="8" t="n">
        <v>0.317</v>
      </c>
      <c r="C317" s="6" t="n">
        <v>2333.07871577023</v>
      </c>
      <c r="D317" s="6" t="n">
        <v>77211.8566015227</v>
      </c>
      <c r="E317" s="8" t="n">
        <v>0.006028327660404766</v>
      </c>
      <c r="F317" s="8" t="n">
        <v>0</v>
      </c>
      <c r="G317" s="6" t="n">
        <v>1714.267354982571</v>
      </c>
      <c r="H317" s="6" t="n">
        <v>52.67499106669272</v>
      </c>
      <c r="I317" s="6" t="n">
        <v>147.1080595533143</v>
      </c>
    </row>
    <row r="318">
      <c r="A318" s="6" t="inlineStr">
        <is>
          <t>1 wt% Re | 200 C</t>
        </is>
      </c>
      <c r="B318" s="8" t="n">
        <v>0.318</v>
      </c>
      <c r="C318" s="6" t="n">
        <v>2337.624461304005</v>
      </c>
      <c r="D318" s="6" t="n">
        <v>77097.9597486819</v>
      </c>
      <c r="E318" s="8" t="n">
        <v>0.006019026168645577</v>
      </c>
      <c r="F318" s="8" t="n">
        <v>0</v>
      </c>
      <c r="G318" s="6" t="n">
        <v>1717.8247365658</v>
      </c>
      <c r="H318" s="6" t="n">
        <v>52.77515425935486</v>
      </c>
      <c r="I318" s="6" t="n">
        <v>147.3035082990573</v>
      </c>
    </row>
    <row r="319">
      <c r="A319" s="6" t="inlineStr">
        <is>
          <t>1 wt% Re | 200 C</t>
        </is>
      </c>
      <c r="B319" s="8" t="n">
        <v>0.319</v>
      </c>
      <c r="C319" s="6" t="n">
        <v>2342.170025889265</v>
      </c>
      <c r="D319" s="6" t="n">
        <v>76984.07069832638</v>
      </c>
      <c r="E319" s="8" t="n">
        <v>0.006009782820996337</v>
      </c>
      <c r="F319" s="8" t="n">
        <v>0</v>
      </c>
      <c r="G319" s="6" t="n">
        <v>1721.382118149027</v>
      </c>
      <c r="H319" s="6" t="n">
        <v>52.87531751501877</v>
      </c>
      <c r="I319" s="6" t="n">
        <v>147.4987714966681</v>
      </c>
    </row>
    <row r="320">
      <c r="A320" s="6" t="inlineStr">
        <is>
          <t>1 wt% Re | 200 C</t>
        </is>
      </c>
      <c r="B320" s="8" t="n">
        <v>0.32</v>
      </c>
      <c r="C320" s="6" t="n">
        <v>2346.715410206948</v>
      </c>
      <c r="D320" s="6" t="n">
        <v>76870.18937730778</v>
      </c>
      <c r="E320" s="8" t="n">
        <v>0.006000597073962964</v>
      </c>
      <c r="F320" s="8" t="n">
        <v>0</v>
      </c>
      <c r="G320" s="6" t="n">
        <v>1724.939499732256</v>
      </c>
      <c r="H320" s="6" t="n">
        <v>52.97548083309389</v>
      </c>
      <c r="I320" s="6" t="n">
        <v>147.6938498447917</v>
      </c>
    </row>
    <row r="321">
      <c r="A321" s="6" t="inlineStr">
        <is>
          <t>1 wt% Re | 200 C</t>
        </is>
      </c>
      <c r="B321" s="8" t="n">
        <v>0.321</v>
      </c>
      <c r="C321" s="6" t="n">
        <v>2351.260614933359</v>
      </c>
      <c r="D321" s="6" t="n">
        <v>76756.31571338934</v>
      </c>
      <c r="E321" s="8" t="n">
        <v>0.00599146839080397</v>
      </c>
      <c r="F321" s="8" t="n">
        <v>0</v>
      </c>
      <c r="G321" s="6" t="n">
        <v>1728.496881315484</v>
      </c>
      <c r="H321" s="6" t="n">
        <v>53.07564421299686</v>
      </c>
      <c r="I321" s="6" t="n">
        <v>147.888744037324</v>
      </c>
    </row>
    <row r="322">
      <c r="A322" s="6" t="inlineStr">
        <is>
          <t>1 wt% Re | 200 C</t>
        </is>
      </c>
      <c r="B322" s="8" t="n">
        <v>0.322</v>
      </c>
      <c r="C322" s="6" t="n">
        <v>2355.80564074023</v>
      </c>
      <c r="D322" s="6" t="n">
        <v>76642.44963523162</v>
      </c>
      <c r="E322" s="8" t="n">
        <v>0.005982396241425941</v>
      </c>
      <c r="F322" s="8" t="n">
        <v>0</v>
      </c>
      <c r="G322" s="6" t="n">
        <v>1732.054262898713</v>
      </c>
      <c r="H322" s="6" t="n">
        <v>53.17580765415168</v>
      </c>
      <c r="I322" s="6" t="n">
        <v>148.0834547634587</v>
      </c>
    </row>
    <row r="323">
      <c r="A323" s="6" t="inlineStr">
        <is>
          <t>1 wt% Re | 200 C</t>
        </is>
      </c>
      <c r="B323" s="8" t="n">
        <v>0.323</v>
      </c>
      <c r="C323" s="6" t="n">
        <v>2360.350488294753</v>
      </c>
      <c r="D323" s="6" t="n">
        <v>76528.59107237864</v>
      </c>
      <c r="E323" s="8" t="n">
        <v>0.005973380102280906</v>
      </c>
      <c r="F323" s="8" t="n">
        <v>0</v>
      </c>
      <c r="G323" s="6" t="n">
        <v>1735.611644481941</v>
      </c>
      <c r="H323" s="6" t="n">
        <v>53.27597115598942</v>
      </c>
      <c r="I323" s="6" t="n">
        <v>148.2779827077337</v>
      </c>
    </row>
    <row r="324">
      <c r="A324" s="6" t="inlineStr">
        <is>
          <t>1 wt% Re | 200 C</t>
        </is>
      </c>
      <c r="B324" s="8" t="n">
        <v>0.324</v>
      </c>
      <c r="C324" s="6" t="n">
        <v>2364.895158259636</v>
      </c>
      <c r="D324" s="6" t="n">
        <v>76414.73995524421</v>
      </c>
      <c r="E324" s="8" t="n">
        <v>0.005964419456265638</v>
      </c>
      <c r="F324" s="8" t="n">
        <v>0</v>
      </c>
      <c r="G324" s="6" t="n">
        <v>1739.16902606517</v>
      </c>
      <c r="H324" s="6" t="n">
        <v>53.37613471794825</v>
      </c>
      <c r="I324" s="6" t="n">
        <v>148.4723285500774</v>
      </c>
    </row>
    <row r="325">
      <c r="A325" s="6" t="inlineStr">
        <is>
          <t>1 wt% Re | 200 C</t>
        </is>
      </c>
      <c r="B325" s="8" t="n">
        <v>0.325</v>
      </c>
      <c r="C325" s="6" t="n">
        <v>2369.439651293137</v>
      </c>
      <c r="D325" s="6" t="n">
        <v>76300.89621509868</v>
      </c>
      <c r="E325" s="8" t="n">
        <v>0.005955513792622773</v>
      </c>
      <c r="F325" s="8" t="n">
        <v>0</v>
      </c>
      <c r="G325" s="6" t="n">
        <v>1742.726407648398</v>
      </c>
      <c r="H325" s="6" t="n">
        <v>53.47629833947316</v>
      </c>
      <c r="I325" s="6" t="n">
        <v>148.6664929658535</v>
      </c>
    </row>
    <row r="326">
      <c r="A326" s="6" t="inlineStr">
        <is>
          <t>1 wt% Re | 200 C</t>
        </is>
      </c>
      <c r="B326" s="8" t="n">
        <v>0.326</v>
      </c>
      <c r="C326" s="6" t="n">
        <v>2373.983968049115</v>
      </c>
      <c r="D326" s="6" t="n">
        <v>76187.05978405557</v>
      </c>
      <c r="E326" s="8" t="n">
        <v>0.005946662606843785</v>
      </c>
      <c r="F326" s="8" t="n">
        <v>0</v>
      </c>
      <c r="G326" s="6" t="n">
        <v>1746.283789231626</v>
      </c>
      <c r="H326" s="6" t="n">
        <v>53.57646202001605</v>
      </c>
      <c r="I326" s="6" t="n">
        <v>148.8604766259057</v>
      </c>
    </row>
    <row r="327">
      <c r="A327" s="6" t="inlineStr">
        <is>
          <t>1 wt% Re | 200 C</t>
        </is>
      </c>
      <c r="B327" s="8" t="n">
        <v>0.327</v>
      </c>
      <c r="C327" s="6" t="n">
        <v>2378.528109177069</v>
      </c>
      <c r="D327" s="6" t="n">
        <v>76073.23059505898</v>
      </c>
      <c r="E327" s="8" t="n">
        <v>0.005937865400573687</v>
      </c>
      <c r="F327" s="8" t="n">
        <v>0</v>
      </c>
      <c r="G327" s="6" t="n">
        <v>1749.841170814854</v>
      </c>
      <c r="H327" s="6" t="n">
        <v>53.6766257590354</v>
      </c>
      <c r="I327" s="6" t="n">
        <v>149.0542801966024</v>
      </c>
    </row>
    <row r="328">
      <c r="A328" s="6" t="inlineStr">
        <is>
          <t>1 wt% Re | 200 C</t>
        </is>
      </c>
      <c r="B328" s="8" t="n">
        <v>0.328</v>
      </c>
      <c r="C328" s="6" t="n">
        <v>2383.072075322183</v>
      </c>
      <c r="D328" s="6" t="n">
        <v>75959.40858187061</v>
      </c>
      <c r="E328" s="8" t="n">
        <v>0.005929121681517522</v>
      </c>
      <c r="F328" s="8" t="n">
        <v>0</v>
      </c>
      <c r="G328" s="6" t="n">
        <v>1753.398552398083</v>
      </c>
      <c r="H328" s="6" t="n">
        <v>53.77678955599641</v>
      </c>
      <c r="I328" s="6" t="n">
        <v>149.2479043398793</v>
      </c>
    </row>
    <row r="329">
      <c r="A329" s="6" t="inlineStr">
        <is>
          <t>1 wt% Re | 200 C</t>
        </is>
      </c>
      <c r="B329" s="8" t="n">
        <v>0.329</v>
      </c>
      <c r="C329" s="6" t="n">
        <v>2387.615867125361</v>
      </c>
      <c r="D329" s="6" t="n">
        <v>75845.59367905764</v>
      </c>
      <c r="E329" s="8" t="n">
        <v>0.005920430963348516</v>
      </c>
      <c r="F329" s="8" t="n">
        <v>0</v>
      </c>
      <c r="G329" s="6" t="n">
        <v>1756.955933981311</v>
      </c>
      <c r="H329" s="6" t="n">
        <v>53.87695341037072</v>
      </c>
      <c r="I329" s="6" t="n">
        <v>149.4413497132832</v>
      </c>
    </row>
    <row r="330">
      <c r="A330" s="6" t="inlineStr">
        <is>
          <t>1 wt% Re | 200 C</t>
        </is>
      </c>
      <c r="B330" s="8" t="n">
        <v>0.33</v>
      </c>
      <c r="C330" s="6" t="n">
        <v>2392.159485223282</v>
      </c>
      <c r="D330" s="6" t="n">
        <v>75731.78582198019</v>
      </c>
      <c r="E330" s="8" t="n">
        <v>0.005911792765617914</v>
      </c>
      <c r="F330" s="8" t="n">
        <v>0</v>
      </c>
      <c r="G330" s="6" t="n">
        <v>1760.51331556454</v>
      </c>
      <c r="H330" s="6" t="n">
        <v>53.97711732163641</v>
      </c>
      <c r="I330" s="6" t="n">
        <v>149.634616970014</v>
      </c>
    </row>
    <row r="331">
      <c r="A331" s="6" t="inlineStr">
        <is>
          <t>1 wt% Re | 200 C</t>
        </is>
      </c>
      <c r="B331" s="8" t="n">
        <v>0.331</v>
      </c>
      <c r="C331" s="6" t="n">
        <v>2396.702930248421</v>
      </c>
      <c r="D331" s="6" t="n">
        <v>75617.9849467797</v>
      </c>
      <c r="E331" s="8" t="n">
        <v>0.005903206613666432</v>
      </c>
      <c r="F331" s="8" t="n">
        <v>0</v>
      </c>
      <c r="G331" s="6" t="n">
        <v>1764.070697147768</v>
      </c>
      <c r="H331" s="6" t="n">
        <v>54.07728128927781</v>
      </c>
      <c r="I331" s="6" t="n">
        <v>149.8277067589667</v>
      </c>
    </row>
    <row r="332">
      <c r="A332" s="6" t="inlineStr">
        <is>
          <t>1 wt% Re | 200 C</t>
        </is>
      </c>
      <c r="B332" s="8" t="n">
        <v>0.332</v>
      </c>
      <c r="C332" s="6" t="n">
        <v>2401.246202829112</v>
      </c>
      <c r="D332" s="6" t="n">
        <v>75504.19099036689</v>
      </c>
      <c r="E332" s="8" t="n">
        <v>0.005894672038537332</v>
      </c>
      <c r="F332" s="8" t="n">
        <v>0</v>
      </c>
      <c r="G332" s="6" t="n">
        <v>1767.628078730997</v>
      </c>
      <c r="H332" s="6" t="n">
        <v>54.17744531278557</v>
      </c>
      <c r="I332" s="6" t="n">
        <v>150.0206197247728</v>
      </c>
    </row>
    <row r="333">
      <c r="A333" s="6" t="inlineStr">
        <is>
          <t>1 wt% Re | 200 C</t>
        </is>
      </c>
      <c r="B333" s="8" t="n">
        <v>0.333</v>
      </c>
      <c r="C333" s="6" t="n">
        <v>2405.789303589567</v>
      </c>
      <c r="D333" s="6" t="n">
        <v>75390.40389041037</v>
      </c>
      <c r="E333" s="8" t="n">
        <v>0.005886188576891019</v>
      </c>
      <c r="F333" s="8" t="n">
        <v>0</v>
      </c>
      <c r="G333" s="6" t="n">
        <v>1771.185460314225</v>
      </c>
      <c r="H333" s="6" t="n">
        <v>54.27760939165631</v>
      </c>
      <c r="I333" s="6" t="n">
        <v>150.2133565078412</v>
      </c>
    </row>
    <row r="334">
      <c r="A334" s="6" t="inlineStr">
        <is>
          <t>1 wt% Re | 200 C</t>
        </is>
      </c>
      <c r="B334" s="8" t="n">
        <v>0.334</v>
      </c>
      <c r="C334" s="6" t="n">
        <v>2410.332233149931</v>
      </c>
      <c r="D334" s="6" t="n">
        <v>75276.62358532516</v>
      </c>
      <c r="E334" s="8" t="n">
        <v>0.005877755770921213</v>
      </c>
      <c r="F334" s="8" t="n">
        <v>0</v>
      </c>
      <c r="G334" s="6" t="n">
        <v>1774.742841897454</v>
      </c>
      <c r="H334" s="6" t="n">
        <v>54.37777352539281</v>
      </c>
      <c r="I334" s="6" t="n">
        <v>150.4059177443982</v>
      </c>
    </row>
    <row r="335">
      <c r="A335" s="6" t="inlineStr">
        <is>
          <t>1 wt% Re | 200 C</t>
        </is>
      </c>
      <c r="B335" s="8" t="n">
        <v>0.335</v>
      </c>
      <c r="C335" s="6" t="n">
        <v>2414.874992126311</v>
      </c>
      <c r="D335" s="6" t="n">
        <v>75162.8500142617</v>
      </c>
      <c r="E335" s="8" t="n">
        <v>0.005869373168272568</v>
      </c>
      <c r="F335" s="8" t="n">
        <v>0</v>
      </c>
      <c r="G335" s="6" t="n">
        <v>1778.300223480682</v>
      </c>
      <c r="H335" s="6" t="n">
        <v>54.4779377135037</v>
      </c>
      <c r="I335" s="6" t="n">
        <v>150.5983040665276</v>
      </c>
    </row>
    <row r="336">
      <c r="A336" s="6" t="inlineStr">
        <is>
          <t>1 wt% Re | 200 C</t>
        </is>
      </c>
      <c r="B336" s="8" t="n">
        <v>0.336</v>
      </c>
      <c r="C336" s="6" t="n">
        <v>2419.417581130818</v>
      </c>
      <c r="D336" s="6" t="n">
        <v>75049.08311709478</v>
      </c>
      <c r="E336" s="8" t="n">
        <v>0.005861040321959817</v>
      </c>
      <c r="F336" s="8" t="n">
        <v>0</v>
      </c>
      <c r="G336" s="6" t="n">
        <v>1781.857605063911</v>
      </c>
      <c r="H336" s="6" t="n">
        <v>54.57810195550353</v>
      </c>
      <c r="I336" s="6" t="n">
        <v>150.79051610221</v>
      </c>
    </row>
    <row r="337">
      <c r="A337" s="6" t="inlineStr">
        <is>
          <t>1 wt% Re | 200 C</t>
        </is>
      </c>
      <c r="B337" s="8" t="n">
        <v>0.337</v>
      </c>
      <c r="C337" s="6" t="n">
        <v>2423.960000771601</v>
      </c>
      <c r="D337" s="6" t="n">
        <v>74935.32283441289</v>
      </c>
      <c r="E337" s="8" t="n">
        <v>0.005852756790288284</v>
      </c>
      <c r="F337" s="8" t="n">
        <v>0</v>
      </c>
      <c r="G337" s="6" t="n">
        <v>1785.414986647139</v>
      </c>
      <c r="H337" s="6" t="n">
        <v>54.67826625091254</v>
      </c>
      <c r="I337" s="6" t="n">
        <v>150.9825544753615</v>
      </c>
    </row>
    <row r="338">
      <c r="A338" s="6" t="inlineStr">
        <is>
          <t>1 wt% Re | 200 C</t>
        </is>
      </c>
      <c r="B338" s="8" t="n">
        <v>0.338</v>
      </c>
      <c r="C338" s="6" t="n">
        <v>2428.502251652895</v>
      </c>
      <c r="D338" s="6" t="n">
        <v>74821.56910750752</v>
      </c>
      <c r="E338" s="8" t="n">
        <v>0.005844522136775871</v>
      </c>
      <c r="F338" s="8" t="n">
        <v>0</v>
      </c>
      <c r="G338" s="6" t="n">
        <v>1788.972368230367</v>
      </c>
      <c r="H338" s="6" t="n">
        <v>54.77843059925672</v>
      </c>
      <c r="I338" s="6" t="n">
        <v>151.1744198058722</v>
      </c>
    </row>
    <row r="339">
      <c r="A339" s="6" t="inlineStr">
        <is>
          <t>1 wt% Re | 200 C</t>
        </is>
      </c>
      <c r="B339" s="8" t="n">
        <v>0.339</v>
      </c>
      <c r="C339" s="6" t="n">
        <v>2433.044334375042</v>
      </c>
      <c r="D339" s="6" t="n">
        <v>74707.82187836301</v>
      </c>
      <c r="E339" s="8" t="n">
        <v>0.005836335930076369</v>
      </c>
      <c r="F339" s="8" t="n">
        <v>0</v>
      </c>
      <c r="G339" s="6" t="n">
        <v>1792.529749813595</v>
      </c>
      <c r="H339" s="6" t="n">
        <v>54.87859500006758</v>
      </c>
      <c r="I339" s="6" t="n">
        <v>151.3661127096437</v>
      </c>
    </row>
    <row r="340">
      <c r="A340" s="6" t="inlineStr">
        <is>
          <t>1 wt% Re | 200 C</t>
        </is>
      </c>
      <c r="B340" s="8" t="n">
        <v>0.34</v>
      </c>
      <c r="C340" s="6" t="n">
        <v>2437.586249534542</v>
      </c>
      <c r="D340" s="6" t="n">
        <v>74594.08108964615</v>
      </c>
      <c r="E340" s="8" t="n">
        <v>0.005828197743904158</v>
      </c>
      <c r="F340" s="8" t="n">
        <v>0</v>
      </c>
      <c r="G340" s="6" t="n">
        <v>1796.087131396825</v>
      </c>
      <c r="H340" s="6" t="n">
        <v>54.97875945288224</v>
      </c>
      <c r="I340" s="6" t="n">
        <v>151.5576337986271</v>
      </c>
    </row>
    <row r="341">
      <c r="A341" s="6" t="inlineStr">
        <is>
          <t>1 wt% Re | 200 C</t>
        </is>
      </c>
      <c r="B341" s="8" t="n">
        <v>0.341</v>
      </c>
      <c r="C341" s="6" t="n">
        <v>2442.127997724077</v>
      </c>
      <c r="D341" s="6" t="n">
        <v>74480.3466846963</v>
      </c>
      <c r="E341" s="8" t="n">
        <v>0.005820107156960186</v>
      </c>
      <c r="F341" s="8" t="n">
        <v>0</v>
      </c>
      <c r="G341" s="6" t="n">
        <v>1799.644512980052</v>
      </c>
      <c r="H341" s="6" t="n">
        <v>55.07892395724309</v>
      </c>
      <c r="I341" s="6" t="n">
        <v>151.7489836808593</v>
      </c>
    </row>
    <row r="342">
      <c r="A342" s="6" t="inlineStr">
        <is>
          <t>1 wt% Re | 200 C</t>
        </is>
      </c>
      <c r="B342" s="8" t="n">
        <v>0.342</v>
      </c>
      <c r="C342" s="6" t="n">
        <v>2446.669579532562</v>
      </c>
      <c r="D342" s="6" t="n">
        <v>74366.61860751544</v>
      </c>
      <c r="E342" s="8" t="n">
        <v>0.005812063752859294</v>
      </c>
      <c r="F342" s="8" t="n">
        <v>0</v>
      </c>
      <c r="G342" s="6" t="n">
        <v>1803.201894563281</v>
      </c>
      <c r="H342" s="6" t="n">
        <v>55.1790885126981</v>
      </c>
      <c r="I342" s="6" t="n">
        <v>151.9401629604998</v>
      </c>
    </row>
    <row r="343">
      <c r="A343" s="6" t="inlineStr">
        <is>
          <t>1 wt% Re | 200 C</t>
        </is>
      </c>
      <c r="B343" s="8" t="n">
        <v>0.343</v>
      </c>
      <c r="C343" s="6" t="n">
        <v>2451.210995545156</v>
      </c>
      <c r="D343" s="6" t="n">
        <v>74252.89680275877</v>
      </c>
      <c r="E343" s="8" t="n">
        <v>0.005804067120058759</v>
      </c>
      <c r="F343" s="8" t="n">
        <v>0</v>
      </c>
      <c r="G343" s="6" t="n">
        <v>1806.759276146509</v>
      </c>
      <c r="H343" s="6" t="n">
        <v>55.27925311880025</v>
      </c>
      <c r="I343" s="6" t="n">
        <v>152.1311722378668</v>
      </c>
    </row>
    <row r="344">
      <c r="A344" s="6" t="inlineStr">
        <is>
          <t>1 wt% Re | 200 C</t>
        </is>
      </c>
      <c r="B344" s="8" t="n">
        <v>0.344</v>
      </c>
      <c r="C344" s="6" t="n">
        <v>2455.752246343322</v>
      </c>
      <c r="D344" s="6" t="n">
        <v>74139.18121572481</v>
      </c>
      <c r="E344" s="8" t="n">
        <v>0.005796116851788124</v>
      </c>
      <c r="F344" s="8" t="n">
        <v>0</v>
      </c>
      <c r="G344" s="6" t="n">
        <v>1810.316657729737</v>
      </c>
      <c r="H344" s="6" t="n">
        <v>55.37941777510791</v>
      </c>
      <c r="I344" s="6" t="n">
        <v>152.3220121094724</v>
      </c>
    </row>
    <row r="345">
      <c r="A345" s="6" t="inlineStr">
        <is>
          <t>1 wt% Re | 200 C</t>
        </is>
      </c>
      <c r="B345" s="8" t="n">
        <v>0.345</v>
      </c>
      <c r="C345" s="6" t="n">
        <v>2460.293332504847</v>
      </c>
      <c r="D345" s="6" t="n">
        <v>74025.47179234645</v>
      </c>
      <c r="E345" s="8" t="n">
        <v>0.005788212545980199</v>
      </c>
      <c r="F345" s="8" t="n">
        <v>0</v>
      </c>
      <c r="G345" s="6" t="n">
        <v>1813.874039312966</v>
      </c>
      <c r="H345" s="6" t="n">
        <v>55.47958248118454</v>
      </c>
      <c r="I345" s="6" t="n">
        <v>152.5126831680583</v>
      </c>
    </row>
    <row r="346">
      <c r="A346" s="6" t="inlineStr">
        <is>
          <t>1 wt% Re | 200 C</t>
        </is>
      </c>
      <c r="B346" s="8" t="n">
        <v>0.346</v>
      </c>
      <c r="C346" s="6" t="n">
        <v>2464.834254603876</v>
      </c>
      <c r="D346" s="6" t="n">
        <v>73911.76847918161</v>
      </c>
      <c r="E346" s="8" t="n">
        <v>0.005780353805203307</v>
      </c>
      <c r="F346" s="8" t="n">
        <v>0</v>
      </c>
      <c r="G346" s="6" t="n">
        <v>1817.431420896194</v>
      </c>
      <c r="H346" s="6" t="n">
        <v>55.57974723659857</v>
      </c>
      <c r="I346" s="6" t="n">
        <v>152.7031860026301</v>
      </c>
    </row>
    <row r="347">
      <c r="A347" s="6" t="inlineStr">
        <is>
          <t>1 wt% Re | 200 C</t>
        </is>
      </c>
      <c r="B347" s="8" t="n">
        <v>0.347</v>
      </c>
      <c r="C347" s="6" t="n">
        <v>2469.375013210951</v>
      </c>
      <c r="D347" s="6" t="n">
        <v>73798.07122340416</v>
      </c>
      <c r="E347" s="8" t="n">
        <v>0.005772540236594649</v>
      </c>
      <c r="F347" s="8" t="n">
        <v>0</v>
      </c>
      <c r="G347" s="6" t="n">
        <v>1820.988802479422</v>
      </c>
      <c r="H347" s="6" t="n">
        <v>55.67991204092348</v>
      </c>
      <c r="I347" s="6" t="n">
        <v>152.8935211984915</v>
      </c>
    </row>
    <row r="348">
      <c r="A348" s="6" t="inlineStr">
        <is>
          <t>1 wt% Re | 200 C</t>
        </is>
      </c>
      <c r="B348" s="8" t="n">
        <v>0.348</v>
      </c>
      <c r="C348" s="6" t="n">
        <v>2473.915608893043</v>
      </c>
      <c r="D348" s="6" t="n">
        <v>73684.37997279536</v>
      </c>
      <c r="E348" s="8" t="n">
        <v>0.005764771451794849</v>
      </c>
      <c r="F348" s="8" t="n">
        <v>0</v>
      </c>
      <c r="G348" s="6" t="n">
        <v>1824.546184062651</v>
      </c>
      <c r="H348" s="6" t="n">
        <v>55.78007689373763</v>
      </c>
      <c r="I348" s="6" t="n">
        <v>153.0836893372786</v>
      </c>
    </row>
    <row r="349">
      <c r="A349" s="6" t="inlineStr">
        <is>
          <t>1 wt% Re | 200 C</t>
        </is>
      </c>
      <c r="B349" s="8" t="n">
        <v>0.349</v>
      </c>
      <c r="C349" s="6" t="n">
        <v>2478.456042213578</v>
      </c>
      <c r="D349" s="6" t="n">
        <v>73570.69467573473</v>
      </c>
      <c r="E349" s="8" t="n">
        <v>0.005757047066883612</v>
      </c>
      <c r="F349" s="8" t="n">
        <v>0</v>
      </c>
      <c r="G349" s="6" t="n">
        <v>1828.103565645879</v>
      </c>
      <c r="H349" s="6" t="n">
        <v>55.88024179462416</v>
      </c>
      <c r="I349" s="6" t="n">
        <v>153.2736909969934</v>
      </c>
    </row>
    <row r="350">
      <c r="A350" s="6" t="inlineStr">
        <is>
          <t>1 wt% Re | 200 C</t>
        </is>
      </c>
      <c r="B350" s="8" t="n">
        <v>0.35</v>
      </c>
      <c r="C350" s="6" t="n">
        <v>2482.996313732478</v>
      </c>
      <c r="D350" s="6" t="n">
        <v>73457.01528119193</v>
      </c>
      <c r="E350" s="8" t="n">
        <v>0.005749366702316468</v>
      </c>
      <c r="F350" s="8" t="n">
        <v>0</v>
      </c>
      <c r="G350" s="6" t="n">
        <v>1831.660947229108</v>
      </c>
      <c r="H350" s="6" t="n">
        <v>55.98040674317107</v>
      </c>
      <c r="I350" s="6" t="n">
        <v>153.4635267520362</v>
      </c>
    </row>
    <row r="351">
      <c r="A351" s="6" t="inlineStr">
        <is>
          <t>1 wt% Re | 200 C</t>
        </is>
      </c>
      <c r="B351" s="8" t="n">
        <v>0.351</v>
      </c>
      <c r="C351" s="6" t="n">
        <v>2487.536424006184</v>
      </c>
      <c r="D351" s="6" t="n">
        <v>73343.34173871808</v>
      </c>
      <c r="E351" s="8" t="n">
        <v>0.005741729982862614</v>
      </c>
      <c r="F351" s="8" t="n">
        <v>0</v>
      </c>
      <c r="G351" s="6" t="n">
        <v>1835.218328812336</v>
      </c>
      <c r="H351" s="6" t="n">
        <v>56.08057173897099</v>
      </c>
      <c r="I351" s="6" t="n">
        <v>153.653197173239</v>
      </c>
    </row>
    <row r="352">
      <c r="A352" s="6" t="inlineStr">
        <is>
          <t>1 wt% Re | 200 C</t>
        </is>
      </c>
      <c r="B352" s="8" t="n">
        <v>0.352</v>
      </c>
      <c r="C352" s="6" t="n">
        <v>2492.0763735877</v>
      </c>
      <c r="D352" s="6" t="n">
        <v>73229.67399843756</v>
      </c>
      <c r="E352" s="8" t="n">
        <v>0.005734136537543807</v>
      </c>
      <c r="F352" s="8" t="n">
        <v>0</v>
      </c>
      <c r="G352" s="6" t="n">
        <v>1838.775710395565</v>
      </c>
      <c r="H352" s="6" t="n">
        <v>56.18073678162117</v>
      </c>
      <c r="I352" s="6" t="n">
        <v>153.8427028278975</v>
      </c>
    </row>
    <row r="353">
      <c r="A353" s="6" t="inlineStr">
        <is>
          <t>1 wt% Re | 200 C</t>
        </is>
      </c>
      <c r="B353" s="8" t="n">
        <v>0.353</v>
      </c>
      <c r="C353" s="6" t="n">
        <v>2496.616163026608</v>
      </c>
      <c r="D353" s="6" t="n">
        <v>73116.01201103999</v>
      </c>
      <c r="E353" s="8" t="n">
        <v>0.00572658599957428</v>
      </c>
      <c r="F353" s="8" t="n">
        <v>0</v>
      </c>
      <c r="G353" s="6" t="n">
        <v>1842.333091978793</v>
      </c>
      <c r="H353" s="6" t="n">
        <v>56.28090187072349</v>
      </c>
      <c r="I353" s="6" t="n">
        <v>154.0320442798029</v>
      </c>
    </row>
    <row r="354">
      <c r="A354" s="6" t="inlineStr">
        <is>
          <t>1 wt% Re | 200 C</t>
        </is>
      </c>
      <c r="B354" s="8" t="n">
        <v>0.354</v>
      </c>
      <c r="C354" s="6" t="n">
        <v>2501.155792869111</v>
      </c>
      <c r="D354" s="6" t="n">
        <v>73002.3557277721</v>
      </c>
      <c r="E354" s="8" t="n">
        <v>0.005719078006301695</v>
      </c>
      <c r="F354" s="8" t="n">
        <v>0</v>
      </c>
      <c r="G354" s="6" t="n">
        <v>1845.890473562021</v>
      </c>
      <c r="H354" s="6" t="n">
        <v>56.38106700588427</v>
      </c>
      <c r="I354" s="6" t="n">
        <v>154.2212220892735</v>
      </c>
    </row>
    <row r="355">
      <c r="A355" s="6" t="inlineStr">
        <is>
          <t>1 wt% Re | 200 C</t>
        </is>
      </c>
      <c r="B355" s="8" t="n">
        <v>0.355</v>
      </c>
      <c r="C355" s="6" t="n">
        <v>2505.69526365806</v>
      </c>
      <c r="D355" s="6" t="n">
        <v>72888.70510042997</v>
      </c>
      <c r="E355" s="8" t="n">
        <v>0.005711612199149073</v>
      </c>
      <c r="F355" s="8" t="n">
        <v>0</v>
      </c>
      <c r="G355" s="6" t="n">
        <v>1849.44785514525</v>
      </c>
      <c r="H355" s="6" t="n">
        <v>56.48123218671427</v>
      </c>
      <c r="I355" s="6" t="n">
        <v>154.4102368131861</v>
      </c>
    </row>
    <row r="356">
      <c r="A356" s="6" t="inlineStr">
        <is>
          <t>1 wt% Re | 200 C</t>
        </is>
      </c>
      <c r="B356" s="8" t="n">
        <v>0.356</v>
      </c>
      <c r="C356" s="6" t="n">
        <v>2510.23457593298</v>
      </c>
      <c r="D356" s="6" t="n">
        <v>72775.06008135134</v>
      </c>
      <c r="E356" s="8" t="n">
        <v>0.005704188223557715</v>
      </c>
      <c r="F356" s="8" t="n">
        <v>0</v>
      </c>
      <c r="G356" s="6" t="n">
        <v>1853.005236728478</v>
      </c>
      <c r="H356" s="6" t="n">
        <v>56.58139741282866</v>
      </c>
      <c r="I356" s="6" t="n">
        <v>154.5990890050064</v>
      </c>
    </row>
    <row r="357">
      <c r="A357" s="6" t="inlineStr">
        <is>
          <t>1 wt% Re | 200 C</t>
        </is>
      </c>
      <c r="B357" s="8" t="n">
        <v>0.357</v>
      </c>
      <c r="C357" s="6" t="n">
        <v>2514.773730230106</v>
      </c>
      <c r="D357" s="6" t="n">
        <v>72661.42062340789</v>
      </c>
      <c r="E357" s="8" t="n">
        <v>0.005696805728931062</v>
      </c>
      <c r="F357" s="8" t="n">
        <v>0</v>
      </c>
      <c r="G357" s="6" t="n">
        <v>1856.562618311707</v>
      </c>
      <c r="H357" s="6" t="n">
        <v>56.6815626838469</v>
      </c>
      <c r="I357" s="6" t="n">
        <v>154.7877792148195</v>
      </c>
    </row>
    <row r="358">
      <c r="A358" s="6" t="inlineStr">
        <is>
          <t>1 wt% Re | 200 C</t>
        </is>
      </c>
      <c r="B358" s="8" t="n">
        <v>0.358</v>
      </c>
      <c r="C358" s="6" t="n">
        <v>2519.312727082407</v>
      </c>
      <c r="D358" s="6" t="n">
        <v>72547.78667999797</v>
      </c>
      <c r="E358" s="8" t="n">
        <v>0.005689464368579515</v>
      </c>
      <c r="F358" s="8" t="n">
        <v>0</v>
      </c>
      <c r="G358" s="6" t="n">
        <v>1860.119999894935</v>
      </c>
      <c r="H358" s="6" t="n">
        <v>56.78172799939268</v>
      </c>
      <c r="I358" s="6" t="n">
        <v>154.97630798936</v>
      </c>
    </row>
    <row r="359">
      <c r="A359" s="6" t="inlineStr">
        <is>
          <t>1 wt% Re | 200 C</t>
        </is>
      </c>
      <c r="B359" s="8" t="n">
        <v>0.359</v>
      </c>
      <c r="C359" s="6" t="n">
        <v>2523.851567019619</v>
      </c>
      <c r="D359" s="6" t="n">
        <v>72434.15820503912</v>
      </c>
      <c r="E359" s="8" t="n">
        <v>0.005682163799666156</v>
      </c>
      <c r="F359" s="8" t="n">
        <v>0</v>
      </c>
      <c r="G359" s="6" t="n">
        <v>1863.677381478163</v>
      </c>
      <c r="H359" s="6" t="n">
        <v>56.88189335909394</v>
      </c>
      <c r="I359" s="6" t="n">
        <v>155.1646758720421</v>
      </c>
    </row>
    <row r="360">
      <c r="A360" s="6" t="inlineStr">
        <is>
          <t>1 wt% Re | 200 C</t>
        </is>
      </c>
      <c r="B360" s="8" t="n">
        <v>0.36</v>
      </c>
      <c r="C360" s="6" t="n">
        <v>2528.390250568268</v>
      </c>
      <c r="D360" s="6" t="n">
        <v>72320.53515296087</v>
      </c>
      <c r="E360" s="8" t="n">
        <v>0.005674903683153377</v>
      </c>
      <c r="F360" s="8" t="n">
        <v>0</v>
      </c>
      <c r="G360" s="6" t="n">
        <v>1867.234763061392</v>
      </c>
      <c r="H360" s="6" t="n">
        <v>56.98205876258267</v>
      </c>
      <c r="I360" s="6" t="n">
        <v>155.3528834029879</v>
      </c>
    </row>
    <row r="361">
      <c r="A361" s="6" t="inlineStr">
        <is>
          <t>1 wt% Re | 200 C</t>
        </is>
      </c>
      <c r="B361" s="8" t="n">
        <v>0.361</v>
      </c>
      <c r="C361" s="6" t="n">
        <v>2532.928778251704</v>
      </c>
      <c r="D361" s="6" t="n">
        <v>72206.91747869783</v>
      </c>
      <c r="E361" s="8" t="n">
        <v>0.005667683683750404</v>
      </c>
      <c r="F361" s="8" t="n">
        <v>0</v>
      </c>
      <c r="G361" s="6" t="n">
        <v>1870.79214464462</v>
      </c>
      <c r="H361" s="6" t="n">
        <v>57.082224209495</v>
      </c>
      <c r="I361" s="6" t="n">
        <v>155.5409311190578</v>
      </c>
    </row>
    <row r="362">
      <c r="A362" s="6" t="inlineStr">
        <is>
          <t>1 wt% Re | 200 C</t>
        </is>
      </c>
      <c r="B362" s="8" t="n">
        <v>0.362</v>
      </c>
      <c r="C362" s="6" t="n">
        <v>2537.467150590128</v>
      </c>
      <c r="D362" s="6" t="n">
        <v>72093.30513768239</v>
      </c>
      <c r="E362" s="8" t="n">
        <v>0.005660503469861676</v>
      </c>
      <c r="F362" s="8" t="n">
        <v>0</v>
      </c>
      <c r="G362" s="6" t="n">
        <v>1874.349526227849</v>
      </c>
      <c r="H362" s="6" t="n">
        <v>57.18238969947109</v>
      </c>
      <c r="I362" s="6" t="n">
        <v>155.728819553878</v>
      </c>
    </row>
    <row r="363">
      <c r="A363" s="6" t="inlineStr">
        <is>
          <t>1 wt% Re | 200 C</t>
        </is>
      </c>
      <c r="B363" s="8" t="n">
        <v>0.363</v>
      </c>
      <c r="C363" s="6" t="n">
        <v>2542.005368100617</v>
      </c>
      <c r="D363" s="6" t="n">
        <v>71979.69808583813</v>
      </c>
      <c r="E363" s="8" t="n">
        <v>0.005653362713536075</v>
      </c>
      <c r="F363" s="8" t="n">
        <v>0</v>
      </c>
      <c r="G363" s="6" t="n">
        <v>1877.906907811077</v>
      </c>
      <c r="H363" s="6" t="n">
        <v>57.282555232155</v>
      </c>
      <c r="I363" s="6" t="n">
        <v>155.9165492378696</v>
      </c>
    </row>
    <row r="364">
      <c r="A364" s="6" t="inlineStr">
        <is>
          <t>1 wt% Re | 200 C</t>
        </is>
      </c>
      <c r="B364" s="8" t="n">
        <v>0.364</v>
      </c>
      <c r="C364" s="6" t="n">
        <v>2546.543431297152</v>
      </c>
      <c r="D364" s="6" t="n">
        <v>71866.096279573</v>
      </c>
      <c r="E364" s="8" t="n">
        <v>0.005646261090417002</v>
      </c>
      <c r="F364" s="8" t="n">
        <v>0</v>
      </c>
      <c r="G364" s="6" t="n">
        <v>1881.464289394306</v>
      </c>
      <c r="H364" s="6" t="n">
        <v>57.38272080719481</v>
      </c>
      <c r="I364" s="6" t="n">
        <v>156.1041206982761</v>
      </c>
    </row>
    <row r="365">
      <c r="A365" s="6" t="inlineStr">
        <is>
          <t>1 wt% Re | 200 C</t>
        </is>
      </c>
      <c r="B365" s="8" t="n">
        <v>0.365</v>
      </c>
      <c r="C365" s="6" t="n">
        <v>2551.081340690644</v>
      </c>
      <c r="D365" s="6" t="n">
        <v>71752.49967577265</v>
      </c>
      <c r="E365" s="8" t="n">
        <v>0.005639198279693255</v>
      </c>
      <c r="F365" s="8" t="n">
        <v>0</v>
      </c>
      <c r="G365" s="6" t="n">
        <v>1885.021670977534</v>
      </c>
      <c r="H365" s="6" t="n">
        <v>57.48288642424232</v>
      </c>
      <c r="I365" s="6" t="n">
        <v>156.2915344591914</v>
      </c>
    </row>
    <row r="366">
      <c r="A366" s="6" t="inlineStr">
        <is>
          <t>1 wt% Re | 200 C</t>
        </is>
      </c>
      <c r="B366" s="8" t="n">
        <v>0.366</v>
      </c>
      <c r="C366" s="6" t="n">
        <v>2555.619096788966</v>
      </c>
      <c r="D366" s="6" t="n">
        <v>71638.90823179392</v>
      </c>
      <c r="E366" s="8" t="n">
        <v>0.005632173964050731</v>
      </c>
      <c r="F366" s="8" t="n">
        <v>0</v>
      </c>
      <c r="G366" s="6" t="n">
        <v>1888.579052560762</v>
      </c>
      <c r="H366" s="6" t="n">
        <v>57.58305208295322</v>
      </c>
      <c r="I366" s="6" t="n">
        <v>156.4787910415873</v>
      </c>
    </row>
    <row r="367">
      <c r="A367" s="6" t="inlineStr">
        <is>
          <t>1 wt% Re | 200 C</t>
        </is>
      </c>
      <c r="B367" s="8" t="n">
        <v>0.367</v>
      </c>
      <c r="C367" s="6" t="n">
        <v>2560.156700096974</v>
      </c>
      <c r="D367" s="6" t="n">
        <v>71525.32190545842</v>
      </c>
      <c r="E367" s="8" t="n">
        <v>0.005625187829624897</v>
      </c>
      <c r="F367" s="8" t="n">
        <v>0</v>
      </c>
      <c r="G367" s="6" t="n">
        <v>1892.136434143991</v>
      </c>
      <c r="H367" s="6" t="n">
        <v>57.68321778298695</v>
      </c>
      <c r="I367" s="6" t="n">
        <v>156.6658909633402</v>
      </c>
    </row>
    <row r="368">
      <c r="A368" s="6" t="inlineStr">
        <is>
          <t>1 wt% Re | 200 C</t>
        </is>
      </c>
      <c r="B368" s="8" t="n">
        <v>0.368</v>
      </c>
      <c r="C368" s="6" t="n">
        <v>2564.694151116532</v>
      </c>
      <c r="D368" s="6" t="n">
        <v>71411.74065504625</v>
      </c>
      <c r="E368" s="8" t="n">
        <v>0.005618239565954039</v>
      </c>
      <c r="F368" s="8" t="n">
        <v>0</v>
      </c>
      <c r="G368" s="6" t="n">
        <v>1895.693815727219</v>
      </c>
      <c r="H368" s="6" t="n">
        <v>57.78338352400665</v>
      </c>
      <c r="I368" s="6" t="n">
        <v>156.8528347392579</v>
      </c>
    </row>
    <row r="369">
      <c r="A369" s="6" t="inlineStr">
        <is>
          <t>1 wt% Re | 200 C</t>
        </is>
      </c>
      <c r="B369" s="8" t="n">
        <v>0.369</v>
      </c>
      <c r="C369" s="6" t="n">
        <v>2569.231450346545</v>
      </c>
      <c r="D369" s="6" t="n">
        <v>71298.16443928974</v>
      </c>
      <c r="E369" s="8" t="n">
        <v>0.005611328865933277</v>
      </c>
      <c r="F369" s="8" t="n">
        <v>0</v>
      </c>
      <c r="G369" s="6" t="n">
        <v>1899.251197310447</v>
      </c>
      <c r="H369" s="6" t="n">
        <v>57.88354930567908</v>
      </c>
      <c r="I369" s="6" t="n">
        <v>157.0396228811064</v>
      </c>
    </row>
    <row r="370">
      <c r="A370" s="6" t="inlineStr">
        <is>
          <t>1 wt% Re | 200 C</t>
        </is>
      </c>
      <c r="B370" s="8" t="n">
        <v>0.37</v>
      </c>
      <c r="C370" s="6" t="n">
        <v>2573.768598282975</v>
      </c>
      <c r="D370" s="6" t="n">
        <v>71184.59321736735</v>
      </c>
      <c r="E370" s="8" t="n">
        <v>0.005604455425769316</v>
      </c>
      <c r="F370" s="8" t="n">
        <v>0</v>
      </c>
      <c r="G370" s="6" t="n">
        <v>1902.808578893676</v>
      </c>
      <c r="H370" s="6" t="n">
        <v>57.98371512767464</v>
      </c>
      <c r="I370" s="6" t="n">
        <v>157.2262558976357</v>
      </c>
    </row>
    <row r="371">
      <c r="A371" s="6" t="inlineStr">
        <is>
          <t>1 wt% Re | 200 C</t>
        </is>
      </c>
      <c r="B371" s="8" t="n">
        <v>0.371</v>
      </c>
      <c r="C371" s="6" t="n">
        <v>2578.305595418874</v>
      </c>
      <c r="D371" s="6" t="n">
        <v>71071.02694889768</v>
      </c>
      <c r="E371" s="8" t="n">
        <v>0.005597618944935929</v>
      </c>
      <c r="F371" s="8" t="n">
        <v>0</v>
      </c>
      <c r="G371" s="6" t="n">
        <v>1906.365960476904</v>
      </c>
      <c r="H371" s="6" t="n">
        <v>58.08388098966726</v>
      </c>
      <c r="I371" s="6" t="n">
        <v>157.4127342946058</v>
      </c>
    </row>
    <row r="372">
      <c r="A372" s="6" t="inlineStr">
        <is>
          <t>1 wt% Re | 200 C</t>
        </is>
      </c>
      <c r="B372" s="8" t="n">
        <v>0.372</v>
      </c>
      <c r="C372" s="6" t="n">
        <v>2582.842442244404</v>
      </c>
      <c r="D372" s="6" t="n">
        <v>70957.46559393352</v>
      </c>
      <c r="E372" s="8" t="n">
        <v>0.005590819126130154</v>
      </c>
      <c r="F372" s="8" t="n">
        <v>0</v>
      </c>
      <c r="G372" s="6" t="n">
        <v>1909.923342060133</v>
      </c>
      <c r="H372" s="6" t="n">
        <v>58.18404689133437</v>
      </c>
      <c r="I372" s="6" t="n">
        <v>157.5990585748121</v>
      </c>
    </row>
    <row r="373">
      <c r="A373" s="6" t="inlineStr">
        <is>
          <t>1 wt% Re | 200 C</t>
        </is>
      </c>
      <c r="B373" s="8" t="n">
        <v>0.373</v>
      </c>
      <c r="C373" s="6" t="n">
        <v>2587.379139246865</v>
      </c>
      <c r="D373" s="6" t="n">
        <v>70843.90911295608</v>
      </c>
      <c r="E373" s="8" t="n">
        <v>0.005584055675229194</v>
      </c>
      <c r="F373" s="8" t="n">
        <v>0</v>
      </c>
      <c r="G373" s="6" t="n">
        <v>1913.480723643361</v>
      </c>
      <c r="H373" s="6" t="n">
        <v>58.28421283235689</v>
      </c>
      <c r="I373" s="6" t="n">
        <v>157.785229238111</v>
      </c>
    </row>
    <row r="374">
      <c r="A374" s="6" t="inlineStr">
        <is>
          <t>1 wt% Re | 200 C</t>
        </is>
      </c>
      <c r="B374" s="8" t="n">
        <v>0.374</v>
      </c>
      <c r="C374" s="6" t="n">
        <v>2591.915686910718</v>
      </c>
      <c r="D374" s="6" t="n">
        <v>70730.35746686917</v>
      </c>
      <c r="E374" s="8" t="n">
        <v>0.005577328301248025</v>
      </c>
      <c r="F374" s="8" t="n">
        <v>0</v>
      </c>
      <c r="G374" s="6" t="n">
        <v>1917.03810522659</v>
      </c>
      <c r="H374" s="6" t="n">
        <v>58.38437881241914</v>
      </c>
      <c r="I374" s="6" t="n">
        <v>157.9712467814446</v>
      </c>
    </row>
    <row r="375">
      <c r="A375" s="6" t="inlineStr">
        <is>
          <t>1 wt% Re | 200 C</t>
        </is>
      </c>
      <c r="B375" s="8" t="n">
        <v>0.375</v>
      </c>
      <c r="C375" s="6" t="n">
        <v>2596.452085717604</v>
      </c>
      <c r="D375" s="6" t="n">
        <v>70616.81061699372</v>
      </c>
      <c r="E375" s="8" t="n">
        <v>0.005570636716297634</v>
      </c>
      <c r="F375" s="8" t="n">
        <v>0</v>
      </c>
      <c r="G375" s="6" t="n">
        <v>1920.595486809818</v>
      </c>
      <c r="H375" s="6" t="n">
        <v>58.48454483120876</v>
      </c>
      <c r="I375" s="6" t="n">
        <v>158.1571116988654</v>
      </c>
    </row>
    <row r="376">
      <c r="A376" s="6" t="inlineStr">
        <is>
          <t>1 wt% Re | 200 C</t>
        </is>
      </c>
      <c r="B376" s="8" t="n">
        <v>0.376</v>
      </c>
      <c r="C376" s="6" t="n">
        <v>2600.988336146381</v>
      </c>
      <c r="D376" s="6" t="n">
        <v>70503.26852506203</v>
      </c>
      <c r="E376" s="8" t="n">
        <v>0.005563980635543989</v>
      </c>
      <c r="F376" s="8" t="n">
        <v>0</v>
      </c>
      <c r="G376" s="6" t="n">
        <v>1924.152868393046</v>
      </c>
      <c r="H376" s="6" t="n">
        <v>58.58471088841681</v>
      </c>
      <c r="I376" s="6" t="n">
        <v>158.3428244815609</v>
      </c>
    </row>
    <row r="377">
      <c r="A377" s="6" t="inlineStr">
        <is>
          <t>1 wt% Re | 200 C</t>
        </is>
      </c>
      <c r="B377" s="8" t="n">
        <v>0.377</v>
      </c>
      <c r="C377" s="6" t="n">
        <v>2605.524438673131</v>
      </c>
      <c r="D377" s="6" t="n">
        <v>70389.73115321252</v>
      </c>
      <c r="E377" s="8" t="n">
        <v>0.005557359777167591</v>
      </c>
      <c r="F377" s="8" t="n">
        <v>0</v>
      </c>
      <c r="G377" s="6" t="n">
        <v>1927.710249976275</v>
      </c>
      <c r="H377" s="6" t="n">
        <v>58.68487698373753</v>
      </c>
      <c r="I377" s="6" t="n">
        <v>158.5283856178776</v>
      </c>
    </row>
    <row r="378">
      <c r="A378" s="6" t="inlineStr">
        <is>
          <t>1 wt% Re | 200 C</t>
        </is>
      </c>
      <c r="B378" s="8" t="n">
        <v>0.378</v>
      </c>
      <c r="C378" s="6" t="n">
        <v>2610.060393771195</v>
      </c>
      <c r="D378" s="6" t="n">
        <v>70276.19846398418</v>
      </c>
      <c r="E378" s="8" t="n">
        <v>0.005550773862323715</v>
      </c>
      <c r="F378" s="8" t="n">
        <v>0</v>
      </c>
      <c r="G378" s="6" t="n">
        <v>1931.267631559503</v>
      </c>
      <c r="H378" s="6" t="n">
        <v>58.78504311686849</v>
      </c>
      <c r="I378" s="6" t="n">
        <v>158.713795593345</v>
      </c>
    </row>
    <row r="379">
      <c r="A379" s="6" t="inlineStr">
        <is>
          <t>1 wt% Re | 200 C</t>
        </is>
      </c>
      <c r="B379" s="8" t="n">
        <v>0.379</v>
      </c>
      <c r="C379" s="6" t="n">
        <v>2614.596201911194</v>
      </c>
      <c r="D379" s="6" t="n">
        <v>70162.67042031148</v>
      </c>
      <c r="E379" s="8" t="n">
        <v>0.005544222615103261</v>
      </c>
      <c r="F379" s="8" t="n">
        <v>0</v>
      </c>
      <c r="G379" s="6" t="n">
        <v>1934.825013142732</v>
      </c>
      <c r="H379" s="6" t="n">
        <v>58.88520928751034</v>
      </c>
      <c r="I379" s="6" t="n">
        <v>158.8990548906993</v>
      </c>
    </row>
    <row r="380">
      <c r="A380" s="6" t="inlineStr">
        <is>
          <t>1 wt% Re | 200 C</t>
        </is>
      </c>
      <c r="B380" s="8" t="n">
        <v>0.38</v>
      </c>
      <c r="C380" s="6" t="n">
        <v>2619.131863561046</v>
      </c>
      <c r="D380" s="6" t="n">
        <v>70049.14698551889</v>
      </c>
      <c r="E380" s="8" t="n">
        <v>0.005537705762494223</v>
      </c>
      <c r="F380" s="8" t="n">
        <v>0</v>
      </c>
      <c r="G380" s="6" t="n">
        <v>1938.38239472596</v>
      </c>
      <c r="H380" s="6" t="n">
        <v>58.98537549536696</v>
      </c>
      <c r="I380" s="6" t="n">
        <v>159.0841639899064</v>
      </c>
    </row>
    <row r="381">
      <c r="A381" s="6" t="inlineStr">
        <is>
          <t>1 wt% Re | 200 C</t>
        </is>
      </c>
      <c r="B381" s="8" t="n">
        <v>0.381</v>
      </c>
      <c r="C381" s="6" t="n">
        <v>2623.667379185995</v>
      </c>
      <c r="D381" s="6" t="n">
        <v>69935.62812331607</v>
      </c>
      <c r="E381" s="8" t="n">
        <v>0.005531223034343761</v>
      </c>
      <c r="F381" s="8" t="n">
        <v>0</v>
      </c>
      <c r="G381" s="6" t="n">
        <v>1941.939776309188</v>
      </c>
      <c r="H381" s="6" t="n">
        <v>59.08554174014535</v>
      </c>
      <c r="I381" s="6" t="n">
        <v>159.2691233681855</v>
      </c>
    </row>
    <row r="382">
      <c r="A382" s="6" t="inlineStr">
        <is>
          <t>1 wt% Re | 200 C</t>
        </is>
      </c>
      <c r="B382" s="8" t="n">
        <v>0.382</v>
      </c>
      <c r="C382" s="6" t="n">
        <v>2628.20274924863</v>
      </c>
      <c r="D382" s="6" t="n">
        <v>69822.11379779261</v>
      </c>
      <c r="E382" s="8" t="n">
        <v>0.00552477416332087</v>
      </c>
      <c r="F382" s="8" t="n">
        <v>0</v>
      </c>
      <c r="G382" s="6" t="n">
        <v>1945.497157892417</v>
      </c>
      <c r="H382" s="6" t="n">
        <v>59.18570802155552</v>
      </c>
      <c r="I382" s="6" t="n">
        <v>159.4539335000315</v>
      </c>
    </row>
    <row r="383">
      <c r="A383" s="6" t="inlineStr">
        <is>
          <t>1 wt% Re | 200 C</t>
        </is>
      </c>
      <c r="B383" s="8" t="n">
        <v>0.383</v>
      </c>
      <c r="C383" s="6" t="n">
        <v>2632.737974208908</v>
      </c>
      <c r="D383" s="6" t="n">
        <v>69708.60397341319</v>
      </c>
      <c r="E383" s="8" t="n">
        <v>0.005518358884879636</v>
      </c>
      <c r="F383" s="8" t="n">
        <v>0</v>
      </c>
      <c r="G383" s="6" t="n">
        <v>1949.054539475645</v>
      </c>
      <c r="H383" s="6" t="n">
        <v>59.28587433931055</v>
      </c>
      <c r="I383" s="6" t="n">
        <v>159.6385948572379</v>
      </c>
    </row>
    <row r="384">
      <c r="A384" s="6" t="inlineStr">
        <is>
          <t>1 wt% Re | 200 C</t>
        </is>
      </c>
      <c r="B384" s="8" t="n">
        <v>0.384</v>
      </c>
      <c r="C384" s="6" t="n">
        <v>2637.273054524178</v>
      </c>
      <c r="D384" s="6" t="n">
        <v>69595.09861501258</v>
      </c>
      <c r="E384" s="8" t="n">
        <v>0.005511976937223058</v>
      </c>
      <c r="F384" s="8" t="n">
        <v>0</v>
      </c>
      <c r="G384" s="6" t="n">
        <v>1952.611921058873</v>
      </c>
      <c r="H384" s="6" t="n">
        <v>59.38604069312649</v>
      </c>
      <c r="I384" s="6" t="n">
        <v>159.8231079089191</v>
      </c>
    </row>
    <row r="385">
      <c r="A385" s="6" t="inlineStr">
        <is>
          <t>1 wt% Re | 200 C</t>
        </is>
      </c>
      <c r="B385" s="8" t="n">
        <v>0.385</v>
      </c>
      <c r="C385" s="6" t="n">
        <v>2641.807990649196</v>
      </c>
      <c r="D385" s="6" t="n">
        <v>69481.59768779099</v>
      </c>
      <c r="E385" s="8" t="n">
        <v>0.005505628061267436</v>
      </c>
      <c r="F385" s="8" t="n">
        <v>0</v>
      </c>
      <c r="G385" s="6" t="n">
        <v>1956.169302642102</v>
      </c>
      <c r="H385" s="6" t="n">
        <v>59.48620708272234</v>
      </c>
      <c r="I385" s="6" t="n">
        <v>160.0074731215323</v>
      </c>
    </row>
    <row r="386">
      <c r="A386" s="6" t="inlineStr">
        <is>
          <t>1 wt% Re | 200 C</t>
        </is>
      </c>
      <c r="B386" s="8" t="n">
        <v>0.386</v>
      </c>
      <c r="C386" s="6" t="n">
        <v>2646.342783036152</v>
      </c>
      <c r="D386" s="6" t="n">
        <v>69368.10115730915</v>
      </c>
      <c r="E386" s="8" t="n">
        <v>0.005499312000607309</v>
      </c>
      <c r="F386" s="8" t="n">
        <v>0</v>
      </c>
      <c r="G386" s="6" t="n">
        <v>1959.72668422533</v>
      </c>
      <c r="H386" s="6" t="n">
        <v>59.58637350782004</v>
      </c>
      <c r="I386" s="6" t="n">
        <v>160.1916909588996</v>
      </c>
    </row>
    <row r="387">
      <c r="A387" s="6" t="inlineStr">
        <is>
          <t>1 wt% Re | 200 C</t>
        </is>
      </c>
      <c r="B387" s="8" t="n">
        <v>0.387</v>
      </c>
      <c r="C387" s="6" t="n">
        <v>2650.877432134691</v>
      </c>
      <c r="D387" s="6" t="n">
        <v>69254.60898948387</v>
      </c>
      <c r="E387" s="8" t="n">
        <v>0.005493028501480941</v>
      </c>
      <c r="F387" s="8" t="n">
        <v>0</v>
      </c>
      <c r="G387" s="6" t="n">
        <v>1963.284065808559</v>
      </c>
      <c r="H387" s="6" t="n">
        <v>59.68653996814434</v>
      </c>
      <c r="I387" s="6" t="n">
        <v>160.3757618822296</v>
      </c>
    </row>
    <row r="388">
      <c r="A388" s="6" t="inlineStr">
        <is>
          <t>1 wt% Re | 200 C</t>
        </is>
      </c>
      <c r="B388" s="8" t="n">
        <v>0.388</v>
      </c>
      <c r="C388" s="6" t="n">
        <v>2655.41193839193</v>
      </c>
      <c r="D388" s="6" t="n">
        <v>69141.12115058322</v>
      </c>
      <c r="E388" s="8" t="n">
        <v>0.00548677731273633</v>
      </c>
      <c r="F388" s="8" t="n">
        <v>0</v>
      </c>
      <c r="G388" s="6" t="n">
        <v>1966.841447391787</v>
      </c>
      <c r="H388" s="6" t="n">
        <v>59.78670646342291</v>
      </c>
      <c r="I388" s="6" t="n">
        <v>160.5596863501388</v>
      </c>
    </row>
    <row r="389">
      <c r="A389" s="6" t="inlineStr">
        <is>
          <t>1 wt% Re | 200 C</t>
        </is>
      </c>
      <c r="B389" s="8" t="n">
        <v>0.389</v>
      </c>
      <c r="C389" s="6" t="n">
        <v>2659.946302252482</v>
      </c>
      <c r="D389" s="6" t="n">
        <v>69027.63760722219</v>
      </c>
      <c r="E389" s="8" t="n">
        <v>0.00548055818579775</v>
      </c>
      <c r="F389" s="8" t="n">
        <v>0</v>
      </c>
      <c r="G389" s="6" t="n">
        <v>1970.398828975015</v>
      </c>
      <c r="H389" s="6" t="n">
        <v>59.88687299338618</v>
      </c>
      <c r="I389" s="6" t="n">
        <v>160.7434648186725</v>
      </c>
    </row>
    <row r="390">
      <c r="A390" s="6" t="inlineStr">
        <is>
          <t>1 wt% Re | 200 C</t>
        </is>
      </c>
      <c r="B390" s="8" t="n">
        <v>0.39</v>
      </c>
      <c r="C390" s="6" t="n">
        <v>2664.480524158476</v>
      </c>
      <c r="D390" s="6" t="n">
        <v>68914.15832635819</v>
      </c>
      <c r="E390" s="8" t="n">
        <v>0.005474370874632794</v>
      </c>
      <c r="F390" s="8" t="n">
        <v>0</v>
      </c>
      <c r="G390" s="6" t="n">
        <v>1973.956210558244</v>
      </c>
      <c r="H390" s="6" t="n">
        <v>59.9870395577673</v>
      </c>
      <c r="I390" s="6" t="n">
        <v>160.9270977413262</v>
      </c>
    </row>
    <row r="391">
      <c r="A391" s="6" t="inlineStr">
        <is>
          <t>1 wt% Re | 200 C</t>
        </is>
      </c>
      <c r="B391" s="8" t="n">
        <v>0.391</v>
      </c>
      <c r="C391" s="6" t="n">
        <v>2669.014604549576</v>
      </c>
      <c r="D391" s="6" t="n">
        <v>68800.6832752866</v>
      </c>
      <c r="E391" s="8" t="n">
        <v>0.005468215135719945</v>
      </c>
      <c r="F391" s="8" t="n">
        <v>0</v>
      </c>
      <c r="G391" s="6" t="n">
        <v>1977.513592141473</v>
      </c>
      <c r="H391" s="6" t="n">
        <v>60.08720615630223</v>
      </c>
      <c r="I391" s="6" t="n">
        <v>161.110585569066</v>
      </c>
    </row>
    <row r="392">
      <c r="A392" s="6" t="inlineStr">
        <is>
          <t>1 wt% Re | 200 C</t>
        </is>
      </c>
      <c r="B392" s="8" t="n">
        <v>0.392</v>
      </c>
      <c r="C392" s="6" t="n">
        <v>2673.548543862998</v>
      </c>
      <c r="D392" s="6" t="n">
        <v>68687.21242163659</v>
      </c>
      <c r="E392" s="8" t="n">
        <v>0.005462090728016603</v>
      </c>
      <c r="F392" s="8" t="n">
        <v>0</v>
      </c>
      <c r="G392" s="6" t="n">
        <v>1981.070973724701</v>
      </c>
      <c r="H392" s="6" t="n">
        <v>60.18737278872961</v>
      </c>
      <c r="I392" s="6" t="n">
        <v>161.293928750349</v>
      </c>
    </row>
    <row r="393">
      <c r="A393" s="6" t="inlineStr">
        <is>
          <t>1 wt% Re | 200 C</t>
        </is>
      </c>
      <c r="B393" s="8" t="n">
        <v>0.393</v>
      </c>
      <c r="C393" s="6" t="n">
        <v>2678.082342533539</v>
      </c>
      <c r="D393" s="6" t="n">
        <v>68573.74573336677</v>
      </c>
      <c r="E393" s="8" t="n">
        <v>0.00545599741292765</v>
      </c>
      <c r="F393" s="8" t="n">
        <v>0</v>
      </c>
      <c r="G393" s="6" t="n">
        <v>1984.628355307929</v>
      </c>
      <c r="H393" s="6" t="n">
        <v>60.28753945479067</v>
      </c>
      <c r="I393" s="6" t="n">
        <v>161.4771277311438</v>
      </c>
    </row>
    <row r="394">
      <c r="A394" s="6" t="inlineStr">
        <is>
          <t>1 wt% Re | 200 C</t>
        </is>
      </c>
      <c r="B394" s="8" t="n">
        <v>0.394</v>
      </c>
      <c r="C394" s="6" t="n">
        <v>2682.616000993587</v>
      </c>
      <c r="D394" s="6" t="n">
        <v>68460.28317876105</v>
      </c>
      <c r="E394" s="8" t="n">
        <v>0.005449934954274439</v>
      </c>
      <c r="F394" s="8" t="n">
        <v>0</v>
      </c>
      <c r="G394" s="6" t="n">
        <v>1988.185736891158</v>
      </c>
      <c r="H394" s="6" t="n">
        <v>60.38770615422935</v>
      </c>
      <c r="I394" s="6" t="n">
        <v>161.6601829549507</v>
      </c>
    </row>
    <row r="395">
      <c r="A395" s="6" t="inlineStr">
        <is>
          <t>1 wt% Re | 200 C</t>
        </is>
      </c>
      <c r="B395" s="8" t="n">
        <v>0.395</v>
      </c>
      <c r="C395" s="6" t="n">
        <v>2687.149519673144</v>
      </c>
      <c r="D395" s="6" t="n">
        <v>68346.82472642449</v>
      </c>
      <c r="E395" s="8" t="n">
        <v>0.005443903118264295</v>
      </c>
      <c r="F395" s="8" t="n">
        <v>0</v>
      </c>
      <c r="G395" s="6" t="n">
        <v>1991.743118474386</v>
      </c>
      <c r="H395" s="6" t="n">
        <v>60.48787288679212</v>
      </c>
      <c r="I395" s="6" t="n">
        <v>161.8430948628209</v>
      </c>
    </row>
    <row r="396">
      <c r="A396" s="6" t="inlineStr">
        <is>
          <t>1 wt% Re | 200 C</t>
        </is>
      </c>
      <c r="B396" s="8" t="n">
        <v>0.396</v>
      </c>
      <c r="C396" s="6" t="n">
        <v>2691.682898999847</v>
      </c>
      <c r="D396" s="6" t="n">
        <v>68233.3703452793</v>
      </c>
      <c r="E396" s="8" t="n">
        <v>0.00543790167346046</v>
      </c>
      <c r="F396" s="8" t="n">
        <v>0</v>
      </c>
      <c r="G396" s="6" t="n">
        <v>1995.300500057614</v>
      </c>
      <c r="H396" s="6" t="n">
        <v>60.58803965222806</v>
      </c>
      <c r="I396" s="6" t="n">
        <v>162.0258638933769</v>
      </c>
    </row>
    <row r="397">
      <c r="A397" s="6" t="inlineStr">
        <is>
          <t>1 wt% Re | 200 C</t>
        </is>
      </c>
      <c r="B397" s="8" t="n">
        <v>0.397</v>
      </c>
      <c r="C397" s="6" t="n">
        <v>2696.216139398985</v>
      </c>
      <c r="D397" s="6" t="n">
        <v>68119.92000456083</v>
      </c>
      <c r="E397" s="8" t="n">
        <v>0.005431930390752478</v>
      </c>
      <c r="F397" s="8" t="n">
        <v>0</v>
      </c>
      <c r="G397" s="6" t="n">
        <v>1998.857881640843</v>
      </c>
      <c r="H397" s="6" t="n">
        <v>60.68820645028877</v>
      </c>
      <c r="I397" s="6" t="n">
        <v>162.2084904828315</v>
      </c>
    </row>
    <row r="398">
      <c r="A398" s="6" t="inlineStr">
        <is>
          <t>1 wt% Re | 200 C</t>
        </is>
      </c>
      <c r="B398" s="8" t="n">
        <v>0.398</v>
      </c>
      <c r="C398" s="6" t="n">
        <v>2700.749241293514</v>
      </c>
      <c r="D398" s="6" t="n">
        <v>68006.47367381358</v>
      </c>
      <c r="E398" s="8" t="n">
        <v>0.00542598904332706</v>
      </c>
      <c r="F398" s="8" t="n">
        <v>0</v>
      </c>
      <c r="G398" s="6" t="n">
        <v>2002.415263224071</v>
      </c>
      <c r="H398" s="6" t="n">
        <v>60.78837328072832</v>
      </c>
      <c r="I398" s="6" t="n">
        <v>162.390975065007</v>
      </c>
    </row>
    <row r="399">
      <c r="A399" s="6" t="inlineStr">
        <is>
          <t>1 wt% Re | 200 C</t>
        </is>
      </c>
      <c r="B399" s="8" t="n">
        <v>0.399</v>
      </c>
      <c r="C399" s="6" t="n">
        <v>2705.282205104082</v>
      </c>
      <c r="D399" s="6" t="n">
        <v>67893.03132288741</v>
      </c>
      <c r="E399" s="8" t="n">
        <v>0.005420077406639352</v>
      </c>
      <c r="F399" s="8" t="n">
        <v>0</v>
      </c>
      <c r="G399" s="6" t="n">
        <v>2005.9726448073</v>
      </c>
      <c r="H399" s="6" t="n">
        <v>60.88854014330325</v>
      </c>
      <c r="I399" s="6" t="n">
        <v>162.5733180713544</v>
      </c>
    </row>
    <row r="400">
      <c r="A400" s="6" t="inlineStr">
        <is>
          <t>1 wt% Re | 200 C</t>
        </is>
      </c>
      <c r="B400" s="8" t="n">
        <v>0.4</v>
      </c>
      <c r="C400" s="6" t="n">
        <v>2709.815031249046</v>
      </c>
      <c r="D400" s="6" t="n">
        <v>67779.59292193367</v>
      </c>
      <c r="E400" s="8" t="n">
        <v>0.005414195258384649</v>
      </c>
      <c r="F400" s="8" t="n">
        <v>0</v>
      </c>
      <c r="G400" s="6" t="n">
        <v>2009.530026390528</v>
      </c>
      <c r="H400" s="6" t="n">
        <v>60.98870703777256</v>
      </c>
      <c r="I400" s="6" t="n">
        <v>162.7555199309719</v>
      </c>
    </row>
    <row r="401">
      <c r="A401" s="6" t="inlineStr">
        <is>
          <t>5 wt% Re | 200 C</t>
        </is>
      </c>
      <c r="B401" s="8" t="n">
        <v>0.005</v>
      </c>
      <c r="C401" s="6" t="n">
        <v>907.4289817507973</v>
      </c>
      <c r="D401" s="6" t="n">
        <v>103105.4667143187</v>
      </c>
      <c r="E401" s="8" t="n">
        <v>0.3742256435413169</v>
      </c>
      <c r="F401" s="8" t="n">
        <v>0.2465676119318503</v>
      </c>
      <c r="G401" s="6" t="n">
        <v>617.8485672992196</v>
      </c>
      <c r="H401" s="6" t="n">
        <v>21.65631763150214</v>
      </c>
      <c r="I401" s="6" t="n">
        <v>62.26796007998134</v>
      </c>
    </row>
    <row r="402">
      <c r="A402" s="6" t="inlineStr">
        <is>
          <t>5 wt% Re | 200 C</t>
        </is>
      </c>
      <c r="B402" s="8" t="n">
        <v>0.006</v>
      </c>
      <c r="C402" s="6" t="n">
        <v>909.618149496156</v>
      </c>
      <c r="D402" s="6" t="n">
        <v>95319.48168029827</v>
      </c>
      <c r="E402" s="8" t="n">
        <v>0.3326760695626513</v>
      </c>
      <c r="F402" s="8" t="n">
        <v>0.2188955956620591</v>
      </c>
      <c r="G402" s="6" t="n">
        <v>619.6749606124106</v>
      </c>
      <c r="H402" s="6" t="n">
        <v>21.64403484955435</v>
      </c>
      <c r="I402" s="6" t="n">
        <v>62.30074237096757</v>
      </c>
    </row>
    <row r="403">
      <c r="A403" s="6" t="inlineStr">
        <is>
          <t>5 wt% Re | 200 C</t>
        </is>
      </c>
      <c r="B403" s="8" t="n">
        <v>0.007</v>
      </c>
      <c r="C403" s="6" t="n">
        <v>911.8962569973023</v>
      </c>
      <c r="D403" s="6" t="n">
        <v>89741.70631842008</v>
      </c>
      <c r="E403" s="8" t="n">
        <v>0.2994515303941478</v>
      </c>
      <c r="F403" s="8" t="n">
        <v>0.1967680525758357</v>
      </c>
      <c r="G403" s="6" t="n">
        <v>621.5013539256021</v>
      </c>
      <c r="H403" s="6" t="n">
        <v>21.64958243682627</v>
      </c>
      <c r="I403" s="6" t="n">
        <v>62.40438268903148</v>
      </c>
    </row>
    <row r="404">
      <c r="A404" s="6" t="inlineStr">
        <is>
          <t>5 wt% Re | 200 C</t>
        </is>
      </c>
      <c r="B404" s="8" t="n">
        <v>0.008</v>
      </c>
      <c r="C404" s="6" t="n">
        <v>914.2287271418293</v>
      </c>
      <c r="D404" s="6" t="n">
        <v>85544.06200163082</v>
      </c>
      <c r="E404" s="8" t="n">
        <v>0.2722778070329414</v>
      </c>
      <c r="F404" s="8" t="n">
        <v>0.1786703528172723</v>
      </c>
      <c r="G404" s="6" t="n">
        <v>623.3277472387932</v>
      </c>
      <c r="H404" s="6" t="n">
        <v>21.66627400486048</v>
      </c>
      <c r="I404" s="6" t="n">
        <v>62.55105392432145</v>
      </c>
    </row>
    <row r="405">
      <c r="A405" s="6" t="inlineStr">
        <is>
          <t>5 wt% Re | 200 C</t>
        </is>
      </c>
      <c r="B405" s="8" t="n">
        <v>0.008999999999999999</v>
      </c>
      <c r="C405" s="6" t="n">
        <v>916.5961813122294</v>
      </c>
      <c r="D405" s="6" t="n">
        <v>82266.50504823418</v>
      </c>
      <c r="E405" s="8" t="n">
        <v>0.249639902566307</v>
      </c>
      <c r="F405" s="8" t="n">
        <v>0.1635935084424938</v>
      </c>
      <c r="G405" s="6" t="n">
        <v>625.1541405519843</v>
      </c>
      <c r="H405" s="6" t="n">
        <v>21.6903948934029</v>
      </c>
      <c r="I405" s="6" t="n">
        <v>62.72512322910153</v>
      </c>
    </row>
    <row r="406">
      <c r="A406" s="6" t="inlineStr">
        <is>
          <t>5 wt% Re | 200 C</t>
        </is>
      </c>
      <c r="B406" s="8" t="n">
        <v>0.01</v>
      </c>
      <c r="C406" s="6" t="n">
        <v>918.9869783339166</v>
      </c>
      <c r="D406" s="6" t="n">
        <v>79633.00924921234</v>
      </c>
      <c r="E406" s="8" t="n">
        <v>0.2304896251440415</v>
      </c>
      <c r="F406" s="8" t="n">
        <v>0.150839423679265</v>
      </c>
      <c r="G406" s="6" t="n">
        <v>626.9805338651754</v>
      </c>
      <c r="H406" s="6" t="n">
        <v>21.71971630630107</v>
      </c>
      <c r="I406" s="6" t="n">
        <v>62.9171965402245</v>
      </c>
    </row>
    <row r="407">
      <c r="A407" s="6" t="inlineStr">
        <is>
          <t>5 wt% Re | 200 C</t>
        </is>
      </c>
      <c r="B407" s="8" t="n">
        <v>0.011</v>
      </c>
      <c r="C407" s="6" t="n">
        <v>921.3937476056607</v>
      </c>
      <c r="D407" s="6" t="n">
        <v>77467.92156246312</v>
      </c>
      <c r="E407" s="8" t="n">
        <v>0.2140786553241235</v>
      </c>
      <c r="F407" s="8" t="n">
        <v>0.1399097177791995</v>
      </c>
      <c r="G407" s="6" t="n">
        <v>628.8069271783669</v>
      </c>
      <c r="H407" s="6" t="n">
        <v>21.75281991873069</v>
      </c>
      <c r="I407" s="6" t="n">
        <v>63.12133417280049</v>
      </c>
    </row>
    <row r="408">
      <c r="A408" s="6" t="inlineStr">
        <is>
          <t>5 wt% Re | 200 C</t>
        </is>
      </c>
      <c r="B408" s="8" t="n">
        <v>0.012</v>
      </c>
      <c r="C408" s="6" t="n">
        <v>923.8116268663691</v>
      </c>
      <c r="D408" s="6" t="n">
        <v>75654.13995991834</v>
      </c>
      <c r="E408" s="8" t="n">
        <v>0.1998584674274043</v>
      </c>
      <c r="F408" s="8" t="n">
        <v>0.1304390726399845</v>
      </c>
      <c r="G408" s="6" t="n">
        <v>630.633320491558</v>
      </c>
      <c r="H408" s="6" t="n">
        <v>21.78876018080889</v>
      </c>
      <c r="I408" s="6" t="n">
        <v>63.33362909797211</v>
      </c>
    </row>
    <row r="409">
      <c r="A409" s="6" t="inlineStr">
        <is>
          <t>5 wt% Re | 200 C</t>
        </is>
      </c>
      <c r="B409" s="8" t="n">
        <v>0.013</v>
      </c>
      <c r="C409" s="6" t="n">
        <v>926.237301718289</v>
      </c>
      <c r="D409" s="6" t="n">
        <v>74110.59380676159</v>
      </c>
      <c r="E409" s="8" t="n">
        <v>0.1874178230336108</v>
      </c>
      <c r="F409" s="8" t="n">
        <v>0.1221536034737181</v>
      </c>
      <c r="G409" s="6" t="n">
        <v>632.4597138047491</v>
      </c>
      <c r="H409" s="6" t="n">
        <v>21.82688248107831</v>
      </c>
      <c r="I409" s="6" t="n">
        <v>63.55142952837425</v>
      </c>
    </row>
    <row r="410">
      <c r="A410" s="6" t="inlineStr">
        <is>
          <t>5 wt% Re | 200 C</t>
        </is>
      </c>
      <c r="B410" s="8" t="n">
        <v>0.014</v>
      </c>
      <c r="C410" s="6" t="n">
        <v>928.6684520511812</v>
      </c>
      <c r="D410" s="6" t="n">
        <v>72779.37550669548</v>
      </c>
      <c r="E410" s="8" t="n">
        <v>0.1764423491908088</v>
      </c>
      <c r="F410" s="8" t="n">
        <v>0.114843937894412</v>
      </c>
      <c r="G410" s="6" t="n">
        <v>634.2861071179402</v>
      </c>
      <c r="H410" s="6" t="n">
        <v>21.86671923992657</v>
      </c>
      <c r="I410" s="6" t="n">
        <v>63.77288983090519</v>
      </c>
    </row>
    <row r="411">
      <c r="A411" s="6" t="inlineStr">
        <is>
          <t>5 wt% Re | 200 C</t>
        </is>
      </c>
      <c r="B411" s="8" t="n">
        <v>0.015</v>
      </c>
      <c r="C411" s="6" t="n">
        <v>931.1034180323102</v>
      </c>
      <c r="D411" s="6" t="n">
        <v>71618.01948910182</v>
      </c>
      <c r="E411" s="8" t="n">
        <v>0.1666876041640495</v>
      </c>
      <c r="F411" s="8" t="n">
        <v>0.1083472777065903</v>
      </c>
      <c r="G411" s="6" t="n">
        <v>636.1125004311317</v>
      </c>
      <c r="H411" s="6" t="n">
        <v>21.90792756563786</v>
      </c>
      <c r="I411" s="6" t="n">
        <v>63.99669916322193</v>
      </c>
    </row>
    <row r="412">
      <c r="A412" s="6" t="inlineStr">
        <is>
          <t>5 wt% Re | 200 C</t>
        </is>
      </c>
      <c r="B412" s="8" t="n">
        <v>0.016</v>
      </c>
      <c r="C412" s="6" t="n">
        <v>933.5409907192388</v>
      </c>
      <c r="D412" s="6" t="n">
        <v>70594.67657601705</v>
      </c>
      <c r="E412" s="8" t="n">
        <v>0.1579606568753147</v>
      </c>
      <c r="F412" s="8" t="n">
        <v>0.1025351308122929</v>
      </c>
      <c r="G412" s="6" t="n">
        <v>637.9388937443229</v>
      </c>
      <c r="H412" s="6" t="n">
        <v>21.95025028942539</v>
      </c>
      <c r="I412" s="6" t="n">
        <v>64.22191122480947</v>
      </c>
    </row>
    <row r="413">
      <c r="A413" s="6" t="inlineStr">
        <is>
          <t>5 wt% Re | 200 C</t>
        </is>
      </c>
      <c r="B413" s="8" t="n">
        <v>0.017</v>
      </c>
      <c r="C413" s="6" t="n">
        <v>935.9802764736066</v>
      </c>
      <c r="D413" s="6" t="n">
        <v>69684.99151370433</v>
      </c>
      <c r="E413" s="8" t="n">
        <v>0.1501071975343813</v>
      </c>
      <c r="F413" s="8" t="n">
        <v>0.09730472689123129</v>
      </c>
      <c r="G413" s="6" t="n">
        <v>639.7652870575139</v>
      </c>
      <c r="H413" s="6" t="n">
        <v>21.99349075280511</v>
      </c>
      <c r="I413" s="6" t="n">
        <v>64.44783399301339</v>
      </c>
    </row>
    <row r="414">
      <c r="A414" s="6" t="inlineStr">
        <is>
          <t>5 wt% Re | 200 C</t>
        </is>
      </c>
      <c r="B414" s="8" t="n">
        <v>0.018</v>
      </c>
      <c r="C414" s="6" t="n">
        <v>938.4206066884254</v>
      </c>
      <c r="D414" s="6" t="n">
        <v>68870.02132703495</v>
      </c>
      <c r="E414" s="8" t="n">
        <v>0.1430023341343462</v>
      </c>
      <c r="F414" s="8" t="n">
        <v>0.0925728878668079</v>
      </c>
      <c r="G414" s="6" t="n">
        <v>641.5916803707049</v>
      </c>
      <c r="H414" s="6" t="n">
        <v>22.03749599917832</v>
      </c>
      <c r="I414" s="6" t="n">
        <v>64.67395633479472</v>
      </c>
    </row>
    <row r="415">
      <c r="A415" s="6" t="inlineStr">
        <is>
          <t>5 wt% Re | 200 C</t>
        </is>
      </c>
      <c r="B415" s="8" t="n">
        <v>0.019</v>
      </c>
      <c r="C415" s="6" t="n">
        <v>940.8614762186758</v>
      </c>
      <c r="D415" s="6" t="n">
        <v>68134.81103564419</v>
      </c>
      <c r="E415" s="8" t="n">
        <v>0.1365439010677077</v>
      </c>
      <c r="F415" s="8" t="n">
        <v>0.08827157144442664</v>
      </c>
      <c r="G415" s="6" t="n">
        <v>643.4180736838962</v>
      </c>
      <c r="H415" s="6" t="n">
        <v>22.08214527333552</v>
      </c>
      <c r="I415" s="6" t="n">
        <v>64.89989799476018</v>
      </c>
    </row>
    <row r="416">
      <c r="A416" s="6" t="inlineStr">
        <is>
          <t>5 wt% Re | 200 C</t>
        </is>
      </c>
      <c r="B416" s="8" t="n">
        <v>0.02</v>
      </c>
      <c r="C416" s="6" t="n">
        <v>943.3025004942027</v>
      </c>
      <c r="D416" s="6" t="n">
        <v>67467.39665524026</v>
      </c>
      <c r="E416" s="8" t="n">
        <v>0.1306475147003574</v>
      </c>
      <c r="F416" s="8" t="n">
        <v>0.08434457812377132</v>
      </c>
      <c r="G416" s="6" t="n">
        <v>645.2444669970874</v>
      </c>
      <c r="H416" s="6" t="n">
        <v>22.12734197110911</v>
      </c>
      <c r="I416" s="6" t="n">
        <v>65.12537480354979</v>
      </c>
    </row>
    <row r="417">
      <c r="A417" s="6" t="inlineStr">
        <is>
          <t>5 wt% Re | 200 C</t>
        </is>
      </c>
      <c r="B417" s="8" t="n">
        <v>0.021</v>
      </c>
      <c r="C417" s="6" t="n">
        <v>945.7433850861854</v>
      </c>
      <c r="D417" s="6" t="n">
        <v>66858.09305568217</v>
      </c>
      <c r="E417" s="8" t="n">
        <v>0.1252428659882119</v>
      </c>
      <c r="F417" s="8" t="n">
        <v>0.0807450820814824</v>
      </c>
      <c r="G417" s="6" t="n">
        <v>647.0708603102785</v>
      </c>
      <c r="H417" s="6" t="n">
        <v>22.17300788912533</v>
      </c>
      <c r="I417" s="6" t="n">
        <v>65.35017403181207</v>
      </c>
    </row>
    <row r="418">
      <c r="A418" s="6" t="inlineStr">
        <is>
          <t>5 wt% Re | 200 C</t>
        </is>
      </c>
      <c r="B418" s="8" t="n">
        <v>0.022</v>
      </c>
      <c r="C418" s="6" t="n">
        <v>948.1839037524659</v>
      </c>
      <c r="D418" s="6" t="n">
        <v>66298.97603958187</v>
      </c>
      <c r="E418" s="8" t="n">
        <v>0.1202709035127274</v>
      </c>
      <c r="F418" s="8" t="n">
        <v>0.07743375507280974</v>
      </c>
      <c r="G418" s="6" t="n">
        <v>648.8972536234697</v>
      </c>
      <c r="H418" s="6" t="n">
        <v>22.21907904280564</v>
      </c>
      <c r="I418" s="6" t="n">
        <v>65.57413664909987</v>
      </c>
    </row>
    <row r="419">
      <c r="A419" s="6" t="inlineStr">
        <is>
          <t>5 wt% Re | 200 C</t>
        </is>
      </c>
      <c r="B419" s="8" t="n">
        <v>0.023</v>
      </c>
      <c r="C419" s="6" t="n">
        <v>950.6238823653928</v>
      </c>
      <c r="D419" s="6" t="n">
        <v>65783.49953083615</v>
      </c>
      <c r="E419" s="8" t="n">
        <v>0.1156816670395604</v>
      </c>
      <c r="F419" s="8" t="n">
        <v>0.07437732358168052</v>
      </c>
      <c r="G419" s="6" t="n">
        <v>650.7236469366611</v>
      </c>
      <c r="H419" s="6" t="n">
        <v>22.26550257532428</v>
      </c>
      <c r="I419" s="6" t="n">
        <v>65.7971443699722</v>
      </c>
    </row>
    <row r="420">
      <c r="A420" s="6" t="inlineStr">
        <is>
          <t>5 wt% Re | 200 C</t>
        </is>
      </c>
      <c r="B420" s="8" t="n">
        <v>0.024</v>
      </c>
      <c r="C420" s="6" t="n">
        <v>953.0631869903957</v>
      </c>
      <c r="D420" s="6" t="n">
        <v>65306.20846602571</v>
      </c>
      <c r="E420" s="8" t="n">
        <v>0.1114326028326993</v>
      </c>
      <c r="F420" s="8" t="n">
        <v>0.07154744681991104</v>
      </c>
      <c r="G420" s="6" t="n">
        <v>652.5500402498523</v>
      </c>
      <c r="H420" s="6" t="n">
        <v>22.31223443932646</v>
      </c>
      <c r="I420" s="6" t="n">
        <v>66.01911007458699</v>
      </c>
    </row>
    <row r="421">
      <c r="A421" s="6" t="inlineStr">
        <is>
          <t>5 wt% Re | 200 C</t>
        </is>
      </c>
      <c r="B421" s="8" t="n">
        <v>0.025</v>
      </c>
      <c r="C421" s="6" t="n">
        <v>955.5017149382732</v>
      </c>
      <c r="D421" s="6" t="n">
        <v>64862.5205918783</v>
      </c>
      <c r="E421" s="8" t="n">
        <v>0.1074872402070271</v>
      </c>
      <c r="F421" s="8" t="n">
        <v>0.06891983531121337</v>
      </c>
      <c r="G421" s="6" t="n">
        <v>654.3764335630433</v>
      </c>
      <c r="H421" s="6" t="n">
        <v>22.35923763503415</v>
      </c>
      <c r="I421" s="6" t="n">
        <v>66.23997064373583</v>
      </c>
    </row>
    <row r="422">
      <c r="A422" s="6" t="inlineStr">
        <is>
          <t>5 wt% Re | 200 C</t>
        </is>
      </c>
      <c r="B422" s="8" t="n">
        <v>0.026</v>
      </c>
      <c r="C422" s="6" t="n">
        <v>957.9393879774942</v>
      </c>
      <c r="D422" s="6" t="n">
        <v>64448.55861716357</v>
      </c>
      <c r="E422" s="8" t="n">
        <v>0.1038141420691882</v>
      </c>
      <c r="F422" s="8" t="n">
        <v>0.06647355195141266</v>
      </c>
      <c r="G422" s="6" t="n">
        <v>656.2028268762344</v>
      </c>
      <c r="H422" s="6" t="n">
        <v>22.40648085494288</v>
      </c>
      <c r="I422" s="6" t="n">
        <v>66.45968154487061</v>
      </c>
    </row>
    <row r="423">
      <c r="A423" s="6" t="inlineStr">
        <is>
          <t>5 wt% Re | 200 C</t>
        </is>
      </c>
      <c r="B423" s="8" t="n">
        <v>0.027</v>
      </c>
      <c r="C423" s="6" t="n">
        <v>960.3761471352415</v>
      </c>
      <c r="D423" s="6" t="n">
        <v>64061.01966416677</v>
      </c>
      <c r="E423" s="8" t="n">
        <v>0.1003860654774283</v>
      </c>
      <c r="F423" s="8" t="n">
        <v>0.06419045294130056</v>
      </c>
      <c r="G423" s="6" t="n">
        <v>658.0292201894258</v>
      </c>
      <c r="H423" s="6" t="n">
        <v>22.45393742969699</v>
      </c>
      <c r="I423" s="6" t="n">
        <v>66.67821270361273</v>
      </c>
    </row>
    <row r="424">
      <c r="A424" s="6" t="inlineStr">
        <is>
          <t>5 wt% Re | 200 C</t>
        </is>
      </c>
      <c r="B424" s="8" t="n">
        <v>0.028</v>
      </c>
      <c r="C424" s="6" t="n">
        <v>962.8119486804405</v>
      </c>
      <c r="D424" s="6" t="n">
        <v>63697.07269484671</v>
      </c>
      <c r="E424" s="8" t="n">
        <v>0.09717928476896735</v>
      </c>
      <c r="F424" s="8" t="n">
        <v>0.06205473698946557</v>
      </c>
      <c r="G424" s="6" t="n">
        <v>659.855613502617</v>
      </c>
      <c r="H424" s="6" t="n">
        <v>22.50158449984873</v>
      </c>
      <c r="I424" s="6" t="n">
        <v>66.89554532956154</v>
      </c>
    </row>
    <row r="425">
      <c r="A425" s="6" t="inlineStr">
        <is>
          <t>5 wt% Re | 200 C</t>
        </is>
      </c>
      <c r="B425" s="8" t="n">
        <v>0.029</v>
      </c>
      <c r="C425" s="6" t="n">
        <v>965.2467609953936</v>
      </c>
      <c r="D425" s="6" t="n">
        <v>63354.27715916787</v>
      </c>
      <c r="E425" s="8" t="n">
        <v>0.09417304167306288</v>
      </c>
      <c r="F425" s="8" t="n">
        <v>0.0600525790875932</v>
      </c>
      <c r="G425" s="6" t="n">
        <v>661.6820068158081</v>
      </c>
      <c r="H425" s="6" t="n">
        <v>22.54940235897767</v>
      </c>
      <c r="I425" s="6" t="n">
        <v>67.11166945777688</v>
      </c>
    </row>
    <row r="426">
      <c r="A426" s="6" t="inlineStr">
        <is>
          <t>5 wt% Re | 200 C</t>
        </is>
      </c>
      <c r="B426" s="8" t="n">
        <v>0.03</v>
      </c>
      <c r="C426" s="6" t="n">
        <v>967.6805621218889</v>
      </c>
      <c r="D426" s="6" t="n">
        <v>63030.51791376612</v>
      </c>
      <c r="E426" s="8" t="n">
        <v>0.09134909545857192</v>
      </c>
      <c r="F426" s="8" t="n">
        <v>0.05817183090874222</v>
      </c>
      <c r="G426" s="6" t="n">
        <v>663.5084001289991</v>
      </c>
      <c r="H426" s="6" t="n">
        <v>22.59737392818609</v>
      </c>
      <c r="I426" s="6" t="n">
        <v>67.32658203199006</v>
      </c>
    </row>
    <row r="427">
      <c r="A427" s="6" t="inlineStr">
        <is>
          <t>5 wt% Re | 200 C</t>
        </is>
      </c>
      <c r="B427" s="8" t="n">
        <v>0.031</v>
      </c>
      <c r="C427" s="6" t="n">
        <v>970.1133378237918</v>
      </c>
      <c r="D427" s="6" t="n">
        <v>62723.95273700172</v>
      </c>
      <c r="E427" s="8" t="n">
        <v>0.08869135250966635</v>
      </c>
      <c r="F427" s="8" t="n">
        <v>0.0564017741047711</v>
      </c>
      <c r="G427" s="6" t="n">
        <v>665.3347934421905</v>
      </c>
      <c r="H427" s="6" t="n">
        <v>22.64548433230502</v>
      </c>
      <c r="I427" s="6" t="n">
        <v>67.54028540137993</v>
      </c>
    </row>
    <row r="428">
      <c r="A428" s="6" t="inlineStr">
        <is>
          <t>5 wt% Re | 200 C</t>
        </is>
      </c>
      <c r="B428" s="8" t="n">
        <v>0.032</v>
      </c>
      <c r="C428" s="6" t="n">
        <v>972.5450800483545</v>
      </c>
      <c r="D428" s="6" t="n">
        <v>62432.96968493996</v>
      </c>
      <c r="E428" s="8" t="n">
        <v>0.08618555943582293</v>
      </c>
      <c r="F428" s="8" t="n">
        <v>0.05473291591759138</v>
      </c>
      <c r="G428" s="6" t="n">
        <v>667.1611867553818</v>
      </c>
      <c r="H428" s="6" t="n">
        <v>22.69372055556157</v>
      </c>
      <c r="I428" s="6" t="n">
        <v>67.75278613554666</v>
      </c>
    </row>
    <row r="429">
      <c r="A429" s="6" t="inlineStr">
        <is>
          <t>5 wt% Re | 200 C</t>
        </is>
      </c>
      <c r="B429" s="8" t="n">
        <v>0.033</v>
      </c>
      <c r="C429" s="6" t="n">
        <v>974.975785697653</v>
      </c>
      <c r="D429" s="6" t="n">
        <v>62156.15220078966</v>
      </c>
      <c r="E429" s="8" t="n">
        <v>0.08381904735596626</v>
      </c>
      <c r="F429" s="8" t="n">
        <v>0.05315681887240684</v>
      </c>
      <c r="G429" s="6" t="n">
        <v>668.9875800685728</v>
      </c>
      <c r="H429" s="6" t="n">
        <v>22.74207115985235</v>
      </c>
      <c r="I429" s="6" t="n">
        <v>67.96409408606786</v>
      </c>
    </row>
    <row r="430">
      <c r="A430" s="6" t="inlineStr">
        <is>
          <t>5 wt% Re | 200 C</t>
        </is>
      </c>
      <c r="B430" s="8" t="n">
        <v>0.034</v>
      </c>
      <c r="C430" s="6" t="n">
        <v>977.405455642916</v>
      </c>
      <c r="D430" s="6" t="n">
        <v>61892.25038149981</v>
      </c>
      <c r="E430" s="8" t="n">
        <v>0.08158051767041256</v>
      </c>
      <c r="F430" s="8" t="n">
        <v>0.05166595810182809</v>
      </c>
      <c r="G430" s="6" t="n">
        <v>670.813973381764</v>
      </c>
      <c r="H430" s="6" t="n">
        <v>22.79052605273315</v>
      </c>
      <c r="I430" s="6" t="n">
        <v>68.17422164040261</v>
      </c>
    </row>
    <row r="431">
      <c r="A431" s="6" t="inlineStr">
        <is>
          <t>5 wt% Re | 200 C</t>
        </is>
      </c>
      <c r="B431" s="8" t="n">
        <v>0.035</v>
      </c>
      <c r="C431" s="6" t="n">
        <v>979.8340939303106</v>
      </c>
      <c r="D431" s="6" t="n">
        <v>61640.15717008239</v>
      </c>
      <c r="E431" s="8" t="n">
        <v>0.0794598616744711</v>
      </c>
      <c r="F431" s="8" t="n">
        <v>0.05025360120853108</v>
      </c>
      <c r="G431" s="6" t="n">
        <v>672.640366694955</v>
      </c>
      <c r="H431" s="6" t="n">
        <v>22.83907629518196</v>
      </c>
      <c r="I431" s="6" t="n">
        <v>68.38318312674596</v>
      </c>
    </row>
    <row r="432">
      <c r="A432" s="6" t="inlineStr">
        <is>
          <t>5 wt% Re | 200 C</t>
        </is>
      </c>
      <c r="B432" s="8" t="n">
        <v>0.036</v>
      </c>
      <c r="C432" s="6" t="n">
        <v>982.2617071385437</v>
      </c>
      <c r="D432" s="6" t="n">
        <v>61398.88851588136</v>
      </c>
      <c r="E432" s="8" t="n">
        <v>0.07744800793672872</v>
      </c>
      <c r="F432" s="8" t="n">
        <v>0.04891370661919464</v>
      </c>
      <c r="G432" s="6" t="n">
        <v>674.4667600081465</v>
      </c>
      <c r="H432" s="6" t="n">
        <v>22.88771394140147</v>
      </c>
      <c r="I432" s="6" t="n">
        <v>68.59099433800569</v>
      </c>
    </row>
    <row r="433">
      <c r="A433" s="6" t="inlineStr">
        <is>
          <t>5 wt% Re | 200 C</t>
        </is>
      </c>
      <c r="B433" s="8" t="n">
        <v>0.037</v>
      </c>
      <c r="C433" s="6" t="n">
        <v>984.6883038574998</v>
      </c>
      <c r="D433" s="6" t="n">
        <v>61167.56675209536</v>
      </c>
      <c r="E433" s="8" t="n">
        <v>0.0755367925809913</v>
      </c>
      <c r="F433" s="8" t="n">
        <v>0.04764083719227353</v>
      </c>
      <c r="G433" s="6" t="n">
        <v>676.2931533213375</v>
      </c>
      <c r="H433" s="6" t="n">
        <v>22.93643190459943</v>
      </c>
      <c r="I433" s="6" t="n">
        <v>68.79767215026175</v>
      </c>
    </row>
    <row r="434">
      <c r="A434" s="6" t="inlineStr">
        <is>
          <t>5 wt% Re | 200 C</t>
        </is>
      </c>
      <c r="B434" s="8" t="n">
        <v>0.038</v>
      </c>
      <c r="C434" s="6" t="n">
        <v>987.1138942638852</v>
      </c>
      <c r="D434" s="6" t="n">
        <v>60945.40659790218</v>
      </c>
      <c r="E434" s="8" t="n">
        <v>0.0737188485597688</v>
      </c>
      <c r="F434" s="8" t="n">
        <v>0.04643008647413934</v>
      </c>
      <c r="G434" s="6" t="n">
        <v>678.1195466345287</v>
      </c>
      <c r="H434" s="6" t="n">
        <v>22.98522384396178</v>
      </c>
      <c r="I434" s="6" t="n">
        <v>69.00323421651484</v>
      </c>
    </row>
    <row r="435">
      <c r="A435" s="6" t="inlineStr">
        <is>
          <t>5 wt% Re | 200 C</t>
        </is>
      </c>
      <c r="B435" s="8" t="n">
        <v>0.039</v>
      </c>
      <c r="C435" s="6" t="n">
        <v>989.5384897749602</v>
      </c>
      <c r="D435" s="6" t="n">
        <v>60731.70331410239</v>
      </c>
      <c r="E435" s="8" t="n">
        <v>0.07198751075267661</v>
      </c>
      <c r="F435" s="8" t="n">
        <v>0.04527701549461594</v>
      </c>
      <c r="G435" s="6" t="n">
        <v>679.9459399477198</v>
      </c>
      <c r="H435" s="6" t="n">
        <v>23.03408406901432</v>
      </c>
      <c r="I435" s="6" t="n">
        <v>69.20769872068269</v>
      </c>
    </row>
    <row r="436">
      <c r="A436" s="6" t="inlineStr">
        <is>
          <t>5 wt% Re | 200 C</t>
        </is>
      </c>
      <c r="B436" s="8" t="n">
        <v>0.04</v>
      </c>
      <c r="C436" s="6" t="n">
        <v>991.9621027654348</v>
      </c>
      <c r="D436" s="6" t="n">
        <v>60525.82263541645</v>
      </c>
      <c r="E436" s="8" t="n">
        <v>0.07033673431251639</v>
      </c>
      <c r="F436" s="8" t="n">
        <v>0.04417759838546922</v>
      </c>
      <c r="G436" s="6" t="n">
        <v>681.7723332609112</v>
      </c>
      <c r="H436" s="6" t="n">
        <v>23.0830074583303</v>
      </c>
      <c r="I436" s="6" t="n">
        <v>69.4110841799929</v>
      </c>
    </row>
    <row r="437">
      <c r="A437" s="6" t="inlineStr">
        <is>
          <t>5 wt% Re | 200 C</t>
        </is>
      </c>
      <c r="B437" s="8" t="n">
        <v>0.041</v>
      </c>
      <c r="C437" s="6" t="n">
        <v>994.3847463356343</v>
      </c>
      <c r="D437" s="6" t="n">
        <v>60327.19217610433</v>
      </c>
      <c r="E437" s="8" t="n">
        <v>0.06876102415057971</v>
      </c>
      <c r="F437" s="8" t="n">
        <v>0.0431281754176194</v>
      </c>
      <c r="G437" s="6" t="n">
        <v>683.5987265741024</v>
      </c>
      <c r="H437" s="6" t="n">
        <v>23.13198939013433</v>
      </c>
      <c r="I437" s="6" t="n">
        <v>69.6134092863866</v>
      </c>
    </row>
    <row r="438">
      <c r="A438" s="6" t="inlineStr">
        <is>
          <t>5 wt% Re | 200 C</t>
        </is>
      </c>
      <c r="B438" s="8" t="n">
        <v>0.042</v>
      </c>
      <c r="C438" s="6" t="n">
        <v>996.8064341214558</v>
      </c>
      <c r="D438" s="6" t="n">
        <v>60135.29406335362</v>
      </c>
      <c r="E438" s="8" t="n">
        <v>0.06725537382770808</v>
      </c>
      <c r="F438" s="8" t="n">
        <v>0.0421254123025869</v>
      </c>
      <c r="G438" s="6" t="n">
        <v>685.4251198872935</v>
      </c>
      <c r="H438" s="6" t="n">
        <v>23.18102568282013</v>
      </c>
      <c r="I438" s="6" t="n">
        <v>69.81469277946309</v>
      </c>
    </row>
    <row r="439">
      <c r="A439" s="6" t="inlineStr">
        <is>
          <t>5 wt% Re | 200 C</t>
        </is>
      </c>
      <c r="B439" s="8" t="n">
        <v>0.043</v>
      </c>
      <c r="C439" s="6" t="n">
        <v>999.2271801384926</v>
      </c>
      <c r="D439" s="6" t="n">
        <v>59949.65859856702</v>
      </c>
      <c r="E439" s="8" t="n">
        <v>0.06581521241923186</v>
      </c>
      <c r="F439" s="8" t="n">
        <v>0.04116626480454174</v>
      </c>
      <c r="G439" s="6" t="n">
        <v>687.2515132004845</v>
      </c>
      <c r="H439" s="6" t="n">
        <v>23.23011254376803</v>
      </c>
      <c r="I439" s="6" t="n">
        <v>70.01495334499607</v>
      </c>
    </row>
    <row r="440">
      <c r="A440" s="6" t="inlineStr">
        <is>
          <t>5 wt% Re | 200 C</t>
        </is>
      </c>
      <c r="B440" s="8" t="n">
        <v>0.044</v>
      </c>
      <c r="C440" s="6" t="n">
        <v>1001.646998654184</v>
      </c>
      <c r="D440" s="6" t="n">
        <v>59769.85878301969</v>
      </c>
      <c r="E440" s="8" t="n">
        <v>0.06443635816573112</v>
      </c>
      <c r="F440" s="8" t="n">
        <v>0.04024794787171024</v>
      </c>
      <c r="G440" s="6" t="n">
        <v>689.0779065136759</v>
      </c>
      <c r="H440" s="6" t="n">
        <v>23.279246525142</v>
      </c>
      <c r="I440" s="6" t="n">
        <v>70.21420953422884</v>
      </c>
    </row>
    <row r="441">
      <c r="A441" s="6" t="inlineStr">
        <is>
          <t>5 wt% Re | 200 C</t>
        </is>
      </c>
      <c r="B441" s="8" t="n">
        <v>0.045</v>
      </c>
      <c r="C441" s="6" t="n">
        <v>1004.065904083022</v>
      </c>
      <c r="D441" s="6" t="n">
        <v>59595.50557342903</v>
      </c>
      <c r="E441" s="8" t="n">
        <v>0.06311497791964446</v>
      </c>
      <c r="F441" s="8" t="n">
        <v>0.03936790862781653</v>
      </c>
      <c r="G441" s="6" t="n">
        <v>690.904299826867</v>
      </c>
      <c r="H441" s="6" t="n">
        <v>23.32842448558028</v>
      </c>
      <c r="I441" s="6" t="n">
        <v>70.41247970008786</v>
      </c>
    </row>
    <row r="442">
      <c r="A442" s="6" t="inlineStr">
        <is>
          <t>5 wt% Re | 200 C</t>
        </is>
      </c>
      <c r="B442" s="8" t="n">
        <v>0.046</v>
      </c>
      <c r="C442" s="6" t="n">
        <v>1006.483910900765</v>
      </c>
      <c r="D442" s="6" t="n">
        <v>59426.24375636306</v>
      </c>
      <c r="E442" s="8" t="n">
        <v>0.06184755155944019</v>
      </c>
      <c r="F442" s="8" t="n">
        <v>0.03852380267192049</v>
      </c>
      <c r="G442" s="6" t="n">
        <v>692.7306931400581</v>
      </c>
      <c r="H442" s="6" t="n">
        <v>23.37764355688302</v>
      </c>
      <c r="I442" s="6" t="n">
        <v>70.60978194719254</v>
      </c>
    </row>
    <row r="443">
      <c r="A443" s="6" t="inlineStr">
        <is>
          <t>5 wt% Re | 200 C</t>
        </is>
      </c>
      <c r="B443" s="8" t="n">
        <v>0.047</v>
      </c>
      <c r="C443" s="6" t="n">
        <v>1008.90103357437</v>
      </c>
      <c r="D443" s="6" t="n">
        <v>59261.74834932022</v>
      </c>
      <c r="E443" s="8" t="n">
        <v>0.06063084067563875</v>
      </c>
      <c r="F443" s="8" t="n">
        <v>0.03771347322330874</v>
      </c>
      <c r="G443" s="6" t="n">
        <v>694.5570864532493</v>
      </c>
      <c r="H443" s="6" t="n">
        <v>23.42690111495252</v>
      </c>
      <c r="I443" s="6" t="n">
        <v>70.80613409312829</v>
      </c>
    </row>
    <row r="444">
      <c r="A444" s="6" t="inlineStr">
        <is>
          <t>5 wt% Re | 200 C</t>
        </is>
      </c>
      <c r="B444" s="8" t="n">
        <v>0.048</v>
      </c>
      <c r="C444" s="6" t="n">
        <v>1011.317286504936</v>
      </c>
      <c r="D444" s="6" t="n">
        <v>59101.72145167406</v>
      </c>
      <c r="E444" s="8" t="n">
        <v>0.05946186094214511</v>
      </c>
      <c r="F444" s="8" t="n">
        <v>0.03693493272080196</v>
      </c>
      <c r="G444" s="6" t="n">
        <v>696.3834797664407</v>
      </c>
      <c r="H444" s="6" t="n">
        <v>23.47619475436584</v>
      </c>
      <c r="I444" s="6" t="n">
        <v>71.00155363892206</v>
      </c>
    </row>
    <row r="445">
      <c r="A445" s="6" t="inlineStr">
        <is>
          <t>5 wt% Re | 200 C</t>
        </is>
      </c>
      <c r="B445" s="8" t="n">
        <v>0.049</v>
      </c>
      <c r="C445" s="6" t="n">
        <v>1013.73268398144</v>
      </c>
      <c r="D445" s="6" t="n">
        <v>58945.88948121661</v>
      </c>
      <c r="E445" s="8" t="n">
        <v>0.05833785767661792</v>
      </c>
      <c r="F445" s="8" t="n">
        <v>0.03618634654596086</v>
      </c>
      <c r="G445" s="6" t="n">
        <v>698.209873079632</v>
      </c>
      <c r="H445" s="6" t="n">
        <v>23.5255222660611</v>
      </c>
      <c r="I445" s="6" t="n">
        <v>71.19605774703781</v>
      </c>
    </row>
    <row r="446">
      <c r="A446" s="6" t="inlineStr">
        <is>
          <t>5 wt% Re | 200 C</t>
        </is>
      </c>
      <c r="B446" s="8" t="n">
        <v>0.05</v>
      </c>
      <c r="C446" s="6" t="n">
        <v>1016.147240143453</v>
      </c>
      <c r="D446" s="6" t="n">
        <v>58794.00074231657</v>
      </c>
      <c r="E446" s="8" t="n">
        <v>0.05725628416853795</v>
      </c>
      <c r="F446" s="8" t="n">
        <v>0.0354660185895796</v>
      </c>
      <c r="G446" s="6" t="n">
        <v>700.0362663928229</v>
      </c>
      <c r="H446" s="6" t="n">
        <v>23.57488161770139</v>
      </c>
      <c r="I446" s="6" t="n">
        <v>71.38966322551678</v>
      </c>
    </row>
    <row r="447">
      <c r="A447" s="6" t="inlineStr">
        <is>
          <t>5 wt% Re | 200 C</t>
        </is>
      </c>
      <c r="B447" s="8" t="n">
        <v>0.051</v>
      </c>
      <c r="C447" s="6" t="n">
        <v>1018.560968951306</v>
      </c>
      <c r="D447" s="6" t="n">
        <v>58645.82328017643</v>
      </c>
      <c r="E447" s="8" t="n">
        <v>0.05621478241607901</v>
      </c>
      <c r="F447" s="8" t="n">
        <v>0.03477237842244194</v>
      </c>
      <c r="G447" s="6" t="n">
        <v>701.8626597060141</v>
      </c>
      <c r="H447" s="6" t="n">
        <v>23.62427093634879</v>
      </c>
      <c r="I447" s="6" t="n">
        <v>71.58238651713364</v>
      </c>
    </row>
    <row r="448">
      <c r="A448" s="6" t="inlineStr">
        <is>
          <t>5 wt% Re | 200 C</t>
        </is>
      </c>
      <c r="B448" s="8" t="n">
        <v>0.052</v>
      </c>
      <c r="C448" s="6" t="n">
        <v>1020.973884162468</v>
      </c>
      <c r="D448" s="6" t="n">
        <v>58501.14298267542</v>
      </c>
      <c r="E448" s="8" t="n">
        <v>0.05521116596510528</v>
      </c>
      <c r="F448" s="8" t="n">
        <v>0.03410396986609343</v>
      </c>
      <c r="G448" s="6" t="n">
        <v>703.6890530192054</v>
      </c>
      <c r="H448" s="6" t="n">
        <v>23.67368849313749</v>
      </c>
      <c r="I448" s="6" t="n">
        <v>71.7742436926418</v>
      </c>
    </row>
    <row r="449">
      <c r="A449" s="6" t="inlineStr">
        <is>
          <t>5 wt% Re | 200 C</t>
        </is>
      </c>
      <c r="B449" s="8" t="n">
        <v>0.053</v>
      </c>
      <c r="C449" s="6" t="n">
        <v>1023.385999313104</v>
      </c>
      <c r="D449" s="6" t="n">
        <v>58359.76189709814</v>
      </c>
      <c r="E449" s="8" t="n">
        <v>0.05424340458744407</v>
      </c>
      <c r="F449" s="8" t="n">
        <v>0.03345944078857108</v>
      </c>
      <c r="G449" s="6" t="n">
        <v>705.5154463323967</v>
      </c>
      <c r="H449" s="6" t="n">
        <v>23.72313268968211</v>
      </c>
      <c r="I449" s="6" t="n">
        <v>71.96525044734476</v>
      </c>
    </row>
    <row r="450">
      <c r="A450" s="6" t="inlineStr">
        <is>
          <t>5 wt% Re | 200 C</t>
        </is>
      </c>
      <c r="B450" s="8" t="n">
        <v>0.054</v>
      </c>
      <c r="C450" s="6" t="n">
        <v>1025.797327703935</v>
      </c>
      <c r="D450" s="6" t="n">
        <v>58221.49673389325</v>
      </c>
      <c r="E450" s="8" t="n">
        <v>0.05330961057248605</v>
      </c>
      <c r="F450" s="8" t="n">
        <v>0.03283753397460903</v>
      </c>
      <c r="G450" s="6" t="n">
        <v>707.3418396455877</v>
      </c>
      <c r="H450" s="6" t="n">
        <v>23.77260204599625</v>
      </c>
      <c r="I450" s="6" t="n">
        <v>72.15542210036449</v>
      </c>
    </row>
    <row r="451">
      <c r="A451" s="6" t="inlineStr">
        <is>
          <t>5 wt% Re | 200 C</t>
        </is>
      </c>
      <c r="B451" s="8" t="n">
        <v>0.055</v>
      </c>
      <c r="C451" s="6" t="n">
        <v>1028.207882389689</v>
      </c>
      <c r="D451" s="6" t="n">
        <v>58086.17753365863</v>
      </c>
      <c r="E451" s="8" t="n">
        <v>0.0524080264373399</v>
      </c>
      <c r="F451" s="8" t="n">
        <v>0.03223707894060169</v>
      </c>
      <c r="G451" s="6" t="n">
        <v>709.1682329587788</v>
      </c>
      <c r="H451" s="6" t="n">
        <v>23.82209518972881</v>
      </c>
      <c r="I451" s="6" t="n">
        <v>72.34477359608734</v>
      </c>
    </row>
    <row r="452">
      <c r="A452" s="6" t="inlineStr">
        <is>
          <t>5 wt% Re | 200 C</t>
        </is>
      </c>
      <c r="B452" s="8" t="n">
        <v>0.056</v>
      </c>
      <c r="C452" s="6" t="n">
        <v>1030.617676171541</v>
      </c>
      <c r="D452" s="6" t="n">
        <v>57953.64647694945</v>
      </c>
      <c r="E452" s="8" t="n">
        <v>0.0515370138871867</v>
      </c>
      <c r="F452" s="8" t="n">
        <v>0.03165698458219967</v>
      </c>
      <c r="G452" s="6" t="n">
        <v>710.9946262719701</v>
      </c>
      <c r="H452" s="6" t="n">
        <v>23.87161084655384</v>
      </c>
      <c r="I452" s="6" t="n">
        <v>72.5333195073589</v>
      </c>
    </row>
    <row r="453">
      <c r="A453" s="6" t="inlineStr">
        <is>
          <t>5 wt% Re | 200 C</t>
        </is>
      </c>
      <c r="B453" s="8" t="n">
        <v>0.057</v>
      </c>
      <c r="C453" s="6" t="n">
        <v>1033.026721592032</v>
      </c>
      <c r="D453" s="6" t="n">
        <v>57823.75681936962</v>
      </c>
      <c r="E453" s="8" t="n">
        <v>0.05069504387993314</v>
      </c>
      <c r="F453" s="8" t="n">
        <v>0.03109623255736879</v>
      </c>
      <c r="G453" s="6" t="n">
        <v>712.8210195851614</v>
      </c>
      <c r="H453" s="6" t="n">
        <v>23.92114783157169</v>
      </c>
      <c r="I453" s="6" t="n">
        <v>72.72107404007234</v>
      </c>
    </row>
    <row r="454">
      <c r="A454" s="6" t="inlineStr">
        <is>
          <t>5 wt% Re | 200 C</t>
        </is>
      </c>
      <c r="B454" s="8" t="n">
        <v>0.058</v>
      </c>
      <c r="C454" s="6" t="n">
        <v>1035.435030932058</v>
      </c>
      <c r="D454" s="6" t="n">
        <v>57696.37193682625</v>
      </c>
      <c r="E454" s="8" t="n">
        <v>0.04988068766840294</v>
      </c>
      <c r="F454" s="8" t="n">
        <v>0.03055387132048968</v>
      </c>
      <c r="G454" s="6" t="n">
        <v>714.6474128983524</v>
      </c>
      <c r="H454" s="6" t="n">
        <v>23.97070504160002</v>
      </c>
      <c r="I454" s="6" t="n">
        <v>72.90805103885735</v>
      </c>
    </row>
    <row r="455">
      <c r="A455" s="6" t="inlineStr">
        <is>
          <t>5 wt% Re | 200 C</t>
        </is>
      </c>
      <c r="B455" s="8" t="n">
        <v>0.059</v>
      </c>
      <c r="C455" s="6" t="n">
        <v>1037.842616209558</v>
      </c>
      <c r="D455" s="6" t="n">
        <v>57571.36446787681</v>
      </c>
      <c r="E455" s="8" t="n">
        <v>0.04909260870966702</v>
      </c>
      <c r="F455" s="8" t="n">
        <v>0.03002901073397157</v>
      </c>
      <c r="G455" s="6" t="n">
        <v>716.4738062115437</v>
      </c>
      <c r="H455" s="6" t="n">
        <v>24.02028144824844</v>
      </c>
      <c r="I455" s="6" t="n">
        <v>73.09426399362634</v>
      </c>
    </row>
    <row r="456">
      <c r="A456" s="6" t="inlineStr">
        <is>
          <t>5 wt% Re | 200 C</t>
        </is>
      </c>
      <c r="B456" s="8" t="n">
        <v>0.06</v>
      </c>
      <c r="C456" s="6" t="n">
        <v>1040.24948917962</v>
      </c>
      <c r="D456" s="6" t="n">
        <v>57448.61554184159</v>
      </c>
      <c r="E456" s="8" t="n">
        <v>0.04832955534513599</v>
      </c>
      <c r="F456" s="8" t="n">
        <v>0.02952081719319389</v>
      </c>
      <c r="G456" s="6" t="n">
        <v>718.300199524735</v>
      </c>
      <c r="H456" s="6" t="n">
        <v>24.06987609168595</v>
      </c>
      <c r="I456" s="6" t="n">
        <v>73.2797260467777</v>
      </c>
    </row>
    <row r="457">
      <c r="A457" s="6" t="inlineStr">
        <is>
          <t>5 wt% Re | 200 C</t>
        </is>
      </c>
      <c r="B457" s="8" t="n">
        <v>0.061</v>
      </c>
      <c r="C457" s="6" t="n">
        <v>1042.655661335735</v>
      </c>
      <c r="D457" s="6" t="n">
        <v>57328.01408283959</v>
      </c>
      <c r="E457" s="8" t="n">
        <v>0.04759035416708839</v>
      </c>
      <c r="F457" s="8" t="n">
        <v>0.02902850920861419</v>
      </c>
      <c r="G457" s="6" t="n">
        <v>720.1265928379257</v>
      </c>
      <c r="H457" s="6" t="n">
        <v>24.11948807502128</v>
      </c>
      <c r="I457" s="6" t="n">
        <v>73.46445000088903</v>
      </c>
    </row>
    <row r="458">
      <c r="A458" s="6" t="inlineStr">
        <is>
          <t>5 wt% Re | 200 C</t>
        </is>
      </c>
      <c r="B458" s="8" t="n">
        <v>0.062</v>
      </c>
      <c r="C458" s="6" t="n">
        <v>1045.061143912018</v>
      </c>
      <c r="D458" s="6" t="n">
        <v>57209.45618117562</v>
      </c>
      <c r="E458" s="8" t="n">
        <v>0.04687390399769113</v>
      </c>
      <c r="F458" s="8" t="n">
        <v>0.02855135339579562</v>
      </c>
      <c r="G458" s="6" t="n">
        <v>721.9529861511171</v>
      </c>
      <c r="H458" s="6" t="n">
        <v>24.16911655922712</v>
      </c>
      <c r="I458" s="6" t="n">
        <v>73.64844832676485</v>
      </c>
    </row>
    <row r="459">
      <c r="A459" s="6" t="inlineStr">
        <is>
          <t>5 wt% Re | 200 C</t>
        </is>
      </c>
      <c r="B459" s="8" t="n">
        <v>0.063</v>
      </c>
      <c r="C459" s="6" t="n">
        <v>1047.465947886184</v>
      </c>
      <c r="D459" s="6" t="n">
        <v>57092.84452459551</v>
      </c>
      <c r="E459" s="8" t="n">
        <v>0.04617917041553175</v>
      </c>
      <c r="F459" s="8" t="n">
        <v>0.02808866083007747</v>
      </c>
      <c r="G459" s="6" t="n">
        <v>723.7793794643082</v>
      </c>
      <c r="H459" s="6" t="n">
        <v>24.21876075854773</v>
      </c>
      <c r="I459" s="6" t="n">
        <v>73.83173317172414</v>
      </c>
    </row>
    <row r="460">
      <c r="A460" s="6" t="inlineStr">
        <is>
          <t>5 wt% Re | 200 C</t>
        </is>
      </c>
      <c r="B460" s="8" t="n">
        <v>0.064</v>
      </c>
      <c r="C460" s="6" t="n">
        <v>1049.870083983159</v>
      </c>
      <c r="D460" s="6" t="n">
        <v>56978.08788286095</v>
      </c>
      <c r="E460" s="8" t="n">
        <v>0.04550518077244533</v>
      </c>
      <c r="F460" s="8" t="n">
        <v>0.02763978372778191</v>
      </c>
      <c r="G460" s="6" t="n">
        <v>725.6057727774997</v>
      </c>
      <c r="H460" s="6" t="n">
        <v>24.26841993633712</v>
      </c>
      <c r="I460" s="6" t="n">
        <v>74.01431636803619</v>
      </c>
    </row>
    <row r="461">
      <c r="A461" s="6" t="inlineStr">
        <is>
          <t>5 wt% Re | 200 C</t>
        </is>
      </c>
      <c r="B461" s="8" t="n">
        <v>0.065</v>
      </c>
      <c r="C461" s="6" t="n">
        <v>1052.273562679172</v>
      </c>
      <c r="D461" s="6" t="n">
        <v>56865.10063990216</v>
      </c>
      <c r="E461" s="8" t="n">
        <v>0.0448510196501504</v>
      </c>
      <c r="F461" s="8" t="n">
        <v>0.02720411242033349</v>
      </c>
      <c r="G461" s="6" t="n">
        <v>727.4321660906905</v>
      </c>
      <c r="H461" s="6" t="n">
        <v>24.31809340128132</v>
      </c>
      <c r="I461" s="6" t="n">
        <v>74.19620944142768</v>
      </c>
    </row>
    <row r="462">
      <c r="A462" s="6" t="inlineStr">
        <is>
          <t>5 wt% Re | 200 C</t>
        </is>
      </c>
      <c r="B462" s="8" t="n">
        <v>0.066</v>
      </c>
      <c r="C462" s="6" t="n">
        <v>1054.676394206261</v>
      </c>
      <c r="D462" s="6" t="n">
        <v>56753.80236850203</v>
      </c>
      <c r="E462" s="8" t="n">
        <v>0.04421582471206404</v>
      </c>
      <c r="F462" s="8" t="n">
        <v>0.02678107259156797</v>
      </c>
      <c r="G462" s="6" t="n">
        <v>729.258559403882</v>
      </c>
      <c r="H462" s="6" t="n">
        <v>24.36778050396423</v>
      </c>
      <c r="I462" s="6" t="n">
        <v>74.37742361959933</v>
      </c>
    </row>
    <row r="463">
      <c r="A463" s="6" t="inlineStr">
        <is>
          <t>5 wt% Re | 200 C</t>
        </is>
      </c>
      <c r="B463" s="8" t="n">
        <v>0.067</v>
      </c>
      <c r="C463" s="6" t="n">
        <v>1057.078588557058</v>
      </c>
      <c r="D463" s="6" t="n">
        <v>56644.1174430684</v>
      </c>
      <c r="E463" s="8" t="n">
        <v>0.04359878291076799</v>
      </c>
      <c r="F463" s="8" t="n">
        <v>0.02637012275190481</v>
      </c>
      <c r="G463" s="6" t="n">
        <v>731.0849527170731</v>
      </c>
      <c r="H463" s="6" t="n">
        <v>24.4174806337408</v>
      </c>
      <c r="I463" s="6" t="n">
        <v>74.5579698407012</v>
      </c>
    </row>
    <row r="464">
      <c r="A464" s="6" t="inlineStr">
        <is>
          <t>5 wt% Re | 200 C</t>
        </is>
      </c>
      <c r="B464" s="8" t="n">
        <v>0.068</v>
      </c>
      <c r="C464" s="6" t="n">
        <v>1059.480155489814</v>
      </c>
      <c r="D464" s="6" t="n">
        <v>56535.97468657333</v>
      </c>
      <c r="E464" s="8" t="n">
        <v>0.04299912701605263</v>
      </c>
      <c r="F464" s="8" t="n">
        <v>0.02597075192602437</v>
      </c>
      <c r="G464" s="6" t="n">
        <v>732.9113460302646</v>
      </c>
      <c r="H464" s="6" t="n">
        <v>24.46719321588635</v>
      </c>
      <c r="I464" s="6" t="n">
        <v>74.73785876172619</v>
      </c>
    </row>
    <row r="465">
      <c r="A465" s="6" t="inlineStr">
        <is>
          <t>5 wt% Re | 200 C</t>
        </is>
      </c>
      <c r="B465" s="8" t="n">
        <v>0.06900000000000001</v>
      </c>
      <c r="C465" s="6" t="n">
        <v>1061.881104533579</v>
      </c>
      <c r="D465" s="6" t="n">
        <v>56429.30704819341</v>
      </c>
      <c r="E465" s="8" t="n">
        <v>0.04241613243236345</v>
      </c>
      <c r="F465" s="8" t="n">
        <v>0.02558247753328739</v>
      </c>
      <c r="G465" s="6" t="n">
        <v>734.7377393434551</v>
      </c>
      <c r="H465" s="6" t="n">
        <v>24.51691770899348</v>
      </c>
      <c r="I465" s="6" t="n">
        <v>74.91710076678847</v>
      </c>
    </row>
    <row r="466">
      <c r="A466" s="6" t="inlineStr">
        <is>
          <t>5 wt% Re | 200 C</t>
        </is>
      </c>
      <c r="B466" s="8" t="n">
        <v>0.07000000000000001</v>
      </c>
      <c r="C466" s="6" t="n">
        <v>1064.281444993506</v>
      </c>
      <c r="D466" s="6" t="n">
        <v>56324.05130858083</v>
      </c>
      <c r="E466" s="8" t="n">
        <v>0.04184911427789265</v>
      </c>
      <c r="F466" s="8" t="n">
        <v>0.02520484344240983</v>
      </c>
      <c r="G466" s="6" t="n">
        <v>736.5641326566466</v>
      </c>
      <c r="H466" s="6" t="n">
        <v>24.56665360259247</v>
      </c>
      <c r="I466" s="6" t="n">
        <v>75.09570597526171</v>
      </c>
    </row>
    <row r="467">
      <c r="A467" s="6" t="inlineStr">
        <is>
          <t>5 wt% Re | 200 C</t>
        </is>
      </c>
      <c r="B467" s="8" t="n">
        <v>0.07099999999999999</v>
      </c>
      <c r="C467" s="6" t="n">
        <v>1066.681185956203</v>
      </c>
      <c r="D467" s="6" t="n">
        <v>56220.14781004124</v>
      </c>
      <c r="E467" s="8" t="n">
        <v>0.04129742470055898</v>
      </c>
      <c r="F467" s="8" t="n">
        <v>0.02483741818390561</v>
      </c>
      <c r="G467" s="6" t="n">
        <v>738.3905259698378</v>
      </c>
      <c r="H467" s="6" t="n">
        <v>24.61640041497234</v>
      </c>
      <c r="I467" s="6" t="n">
        <v>75.27368424975612</v>
      </c>
    </row>
    <row r="468">
      <c r="A468" s="6" t="inlineStr">
        <is>
          <t>5 wt% Re | 200 C</t>
        </is>
      </c>
      <c r="B468" s="8" t="n">
        <v>0.07199999999999999</v>
      </c>
      <c r="C468" s="6" t="n">
        <v>1069.080336295128</v>
      </c>
      <c r="D468" s="6" t="n">
        <v>56117.54020919655</v>
      </c>
      <c r="E468" s="8" t="n">
        <v>0.0407604504087614</v>
      </c>
      <c r="F468" s="8" t="n">
        <v>0.02447979330556842</v>
      </c>
      <c r="G468" s="6" t="n">
        <v>740.2169192830289</v>
      </c>
      <c r="H468" s="6" t="n">
        <v>24.66615769118392</v>
      </c>
      <c r="I468" s="6" t="n">
        <v>75.45104520391924</v>
      </c>
    </row>
    <row r="469">
      <c r="A469" s="6" t="inlineStr">
        <is>
          <t>5 wt% Re | 200 C</t>
        </is>
      </c>
      <c r="B469" s="8" t="n">
        <v>0.073</v>
      </c>
      <c r="C469" s="6" t="n">
        <v>1071.478904675981</v>
      </c>
      <c r="D469" s="6" t="n">
        <v>56016.17524997712</v>
      </c>
      <c r="E469" s="8" t="n">
        <v>0.04023761039711979</v>
      </c>
      <c r="F469" s="8" t="n">
        <v>0.0241315818578151</v>
      </c>
      <c r="G469" s="6" t="n">
        <v>742.0433125962201</v>
      </c>
      <c r="H469" s="6" t="n">
        <v>24.71592500120673</v>
      </c>
      <c r="I469" s="6" t="n">
        <v>75.62779821004855</v>
      </c>
    </row>
    <row r="470">
      <c r="A470" s="6" t="inlineStr">
        <is>
          <t>5 wt% Re | 200 C</t>
        </is>
      </c>
      <c r="B470" s="8" t="n">
        <v>0.074</v>
      </c>
      <c r="C470" s="6" t="n">
        <v>1073.876899562067</v>
      </c>
      <c r="D470" s="6" t="n">
        <v>55916.00255501978</v>
      </c>
      <c r="E470" s="8" t="n">
        <v>0.03972835384947251</v>
      </c>
      <c r="F470" s="8" t="n">
        <v>0.02379241699708202</v>
      </c>
      <c r="G470" s="6" t="n">
        <v>743.8697059094112</v>
      </c>
      <c r="H470" s="6" t="n">
        <v>24.76570193826463</v>
      </c>
      <c r="I470" s="6" t="n">
        <v>75.80395240650793</v>
      </c>
    </row>
    <row r="471">
      <c r="A471" s="6" t="inlineStr">
        <is>
          <t>5 wt% Re | 200 C</t>
        </is>
      </c>
      <c r="B471" s="8" t="n">
        <v>0.075</v>
      </c>
      <c r="C471" s="6" t="n">
        <v>1076.27432921961</v>
      </c>
      <c r="D471" s="6" t="n">
        <v>55816.97443375403</v>
      </c>
      <c r="E471" s="8" t="n">
        <v>0.03923215820321932</v>
      </c>
      <c r="F471" s="8" t="n">
        <v>0.02346195069667739</v>
      </c>
      <c r="G471" s="6" t="n">
        <v>745.6960992226026</v>
      </c>
      <c r="H471" s="6" t="n">
        <v>24.81548811727621</v>
      </c>
      <c r="I471" s="6" t="n">
        <v>75.97951670494196</v>
      </c>
    </row>
    <row r="472">
      <c r="A472" s="6" t="inlineStr">
        <is>
          <t>5 wt% Re | 200 C</t>
        </is>
      </c>
      <c r="B472" s="8" t="n">
        <v>0.076</v>
      </c>
      <c r="C472" s="6" t="n">
        <v>1078.671201723007</v>
      </c>
      <c r="D472" s="6" t="n">
        <v>55719.04570563942</v>
      </c>
      <c r="E472" s="8" t="n">
        <v>0.03874852736071007</v>
      </c>
      <c r="F472" s="8" t="n">
        <v>0.02313985255556623</v>
      </c>
      <c r="G472" s="6" t="n">
        <v>747.5224925357937</v>
      </c>
      <c r="H472" s="6" t="n">
        <v>24.86528317342752</v>
      </c>
      <c r="I472" s="6" t="n">
        <v>76.15449979728491</v>
      </c>
    </row>
    <row r="473">
      <c r="A473" s="6" t="inlineStr">
        <is>
          <t>5 wt% Re | 200 C</t>
        </is>
      </c>
      <c r="B473" s="8" t="n">
        <v>0.077</v>
      </c>
      <c r="C473" s="6" t="n">
        <v>1081.06752496</v>
      </c>
      <c r="D473" s="6" t="n">
        <v>55622.17353717654</v>
      </c>
      <c r="E473" s="8" t="n">
        <v>0.03827699003480983</v>
      </c>
      <c r="F473" s="8" t="n">
        <v>0.02282580869651667</v>
      </c>
      <c r="G473" s="6" t="n">
        <v>749.3488858489847</v>
      </c>
      <c r="H473" s="6" t="n">
        <v>24.91508676085597</v>
      </c>
      <c r="I473" s="6" t="n">
        <v>76.32891016256285</v>
      </c>
    </row>
    <row r="474">
      <c r="A474" s="6" t="inlineStr">
        <is>
          <t>5 wt% Re | 200 C</t>
        </is>
      </c>
      <c r="B474" s="8" t="n">
        <v>0.078</v>
      </c>
      <c r="C474" s="6" t="n">
        <v>1083.463306636765</v>
      </c>
      <c r="D474" s="6" t="n">
        <v>55526.31729145574</v>
      </c>
      <c r="E474" s="8" t="n">
        <v>0.03781709821704198</v>
      </c>
      <c r="F474" s="8" t="n">
        <v>0.02251952074588329</v>
      </c>
      <c r="G474" s="6" t="n">
        <v>751.1752791621759</v>
      </c>
      <c r="H474" s="6" t="n">
        <v>24.96489855143551</v>
      </c>
      <c r="I474" s="6" t="n">
        <v>76.50275607348867</v>
      </c>
    </row>
    <row r="475">
      <c r="A475" s="6" t="inlineStr">
        <is>
          <t>5 wt% Re | 200 C</t>
        </is>
      </c>
      <c r="B475" s="8" t="n">
        <v>0.079</v>
      </c>
      <c r="C475" s="6" t="n">
        <v>1085.858554282893</v>
      </c>
      <c r="D475" s="6" t="n">
        <v>55431.43838913235</v>
      </c>
      <c r="E475" s="8" t="n">
        <v>0.03736842575784352</v>
      </c>
      <c r="F475" s="8" t="n">
        <v>0.02222070488805711</v>
      </c>
      <c r="G475" s="6" t="n">
        <v>753.0016724753673</v>
      </c>
      <c r="H475" s="6" t="n">
        <v>25.01471823365408</v>
      </c>
      <c r="I475" s="6" t="n">
        <v>76.67604560285156</v>
      </c>
    </row>
    <row r="476">
      <c r="A476" s="6" t="inlineStr">
        <is>
          <t>5 wt% Re | 200 C</t>
        </is>
      </c>
      <c r="B476" s="8" t="n">
        <v>0.08</v>
      </c>
      <c r="C476" s="6" t="n">
        <v>1088.253275256273</v>
      </c>
      <c r="D476" s="6" t="n">
        <v>55337.50017982899</v>
      </c>
      <c r="E476" s="8" t="n">
        <v>0.03693056704947467</v>
      </c>
      <c r="F476" s="8" t="n">
        <v>0.02192909098828346</v>
      </c>
      <c r="G476" s="6" t="n">
        <v>754.8280657885584</v>
      </c>
      <c r="H476" s="6" t="n">
        <v>25.06454551157521</v>
      </c>
      <c r="I476" s="6" t="n">
        <v>76.84878662970274</v>
      </c>
    </row>
    <row r="477">
      <c r="A477" s="6" t="inlineStr">
        <is>
          <t>5 wt% Re | 200 C</t>
        </is>
      </c>
      <c r="B477" s="8" t="n">
        <v>0.081</v>
      </c>
      <c r="C477" s="6" t="n">
        <v>1090.647476747861</v>
      </c>
      <c r="D477" s="6" t="n">
        <v>55244.46782306342</v>
      </c>
      <c r="E477" s="8" t="n">
        <v>0.03650313580302704</v>
      </c>
      <c r="F477" s="8" t="n">
        <v>0.02164442177814933</v>
      </c>
      <c r="G477" s="6" t="n">
        <v>756.6544591017495</v>
      </c>
      <c r="H477" s="6" t="n">
        <v>25.11438010387659</v>
      </c>
      <c r="I477" s="6" t="n">
        <v>77.02098684534079</v>
      </c>
    </row>
    <row r="478">
      <c r="A478" s="6" t="inlineStr">
        <is>
          <t>5 wt% Re | 200 C</t>
        </is>
      </c>
      <c r="B478" s="8" t="n">
        <v>0.082</v>
      </c>
      <c r="C478" s="6" t="n">
        <v>1093.041165786341</v>
      </c>
      <c r="D478" s="6" t="n">
        <v>55152.30817788915</v>
      </c>
      <c r="E478" s="8" t="n">
        <v>0.03608576391177875</v>
      </c>
      <c r="F478" s="8" t="n">
        <v>0.02136645209857798</v>
      </c>
      <c r="G478" s="6" t="n">
        <v>758.4808524149405</v>
      </c>
      <c r="H478" s="6" t="n">
        <v>25.16422174295894</v>
      </c>
      <c r="I478" s="6" t="n">
        <v>77.1926537591001</v>
      </c>
    </row>
    <row r="479">
      <c r="A479" s="6" t="inlineStr">
        <is>
          <t>5 wt% Re | 200 C</t>
        </is>
      </c>
      <c r="B479" s="8" t="n">
        <v>0.083</v>
      </c>
      <c r="C479" s="6" t="n">
        <v>1095.434349242664</v>
      </c>
      <c r="D479" s="6" t="n">
        <v>55060.98970051372</v>
      </c>
      <c r="E479" s="8" t="n">
        <v>0.03567810039386745</v>
      </c>
      <c r="F479" s="8" t="n">
        <v>0.02109494819564905</v>
      </c>
      <c r="G479" s="6" t="n">
        <v>760.3072457281321</v>
      </c>
      <c r="H479" s="6" t="n">
        <v>25.21407017411934</v>
      </c>
      <c r="I479" s="6" t="n">
        <v>77.36379470394662</v>
      </c>
    </row>
    <row r="480">
      <c r="A480" s="6" t="inlineStr">
        <is>
          <t>5 wt% Re | 200 C</t>
        </is>
      </c>
      <c r="B480" s="8" t="n">
        <v>0.08400000000000001</v>
      </c>
      <c r="C480" s="6" t="n">
        <v>1097.827033834466</v>
      </c>
      <c r="D480" s="6" t="n">
        <v>54970.48234923003</v>
      </c>
      <c r="E480" s="8" t="n">
        <v>0.03527981040789728</v>
      </c>
      <c r="F480" s="8" t="n">
        <v>0.02082968706499292</v>
      </c>
      <c r="G480" s="6" t="n">
        <v>762.1336390413231</v>
      </c>
      <c r="H480" s="6" t="n">
        <v>25.26392515478355</v>
      </c>
      <c r="I480" s="6" t="n">
        <v>77.53441684188527</v>
      </c>
    </row>
    <row r="481">
      <c r="A481" s="6" t="inlineStr">
        <is>
          <t>5 wt% Re | 200 C</t>
        </is>
      </c>
      <c r="B481" s="8" t="n">
        <v>0.08500000000000001</v>
      </c>
      <c r="C481" s="6" t="n">
        <v>1100.21922613038</v>
      </c>
      <c r="D481" s="6" t="n">
        <v>54880.75749605835</v>
      </c>
      <c r="E481" s="8" t="n">
        <v>0.03489057433567778</v>
      </c>
      <c r="F481" s="8" t="n">
        <v>0.02057045584089473</v>
      </c>
      <c r="G481" s="6" t="n">
        <v>763.9600323545143</v>
      </c>
      <c r="H481" s="6" t="n">
        <v>25.31378645379265</v>
      </c>
      <c r="I481" s="6" t="n">
        <v>77.70452716918423</v>
      </c>
    </row>
    <row r="482">
      <c r="A482" s="6" t="inlineStr">
        <is>
          <t>5 wt% Re | 200 C</t>
        </is>
      </c>
      <c r="B482" s="8" t="n">
        <v>0.08599999999999999</v>
      </c>
      <c r="C482" s="6" t="n">
        <v>1102.610932554215</v>
      </c>
      <c r="D482" s="6" t="n">
        <v>54791.78784455293</v>
      </c>
      <c r="E482" s="8" t="n">
        <v>0.03451008692681301</v>
      </c>
      <c r="F482" s="8" t="n">
        <v>0.02031705122659079</v>
      </c>
      <c r="G482" s="6" t="n">
        <v>765.7864256677053</v>
      </c>
      <c r="H482" s="6" t="n">
        <v>25.36365385073923</v>
      </c>
      <c r="I482" s="6" t="n">
        <v>77.87413252142071</v>
      </c>
    </row>
    <row r="483">
      <c r="A483" s="6" t="inlineStr">
        <is>
          <t>5 wt% Re | 200 C</t>
        </is>
      </c>
      <c r="B483" s="8" t="n">
        <v>0.08699999999999999</v>
      </c>
      <c r="C483" s="6" t="n">
        <v>1105.002159389026</v>
      </c>
      <c r="D483" s="6" t="n">
        <v>54703.54735327702</v>
      </c>
      <c r="E483" s="8" t="n">
        <v>0.03413805650032956</v>
      </c>
      <c r="F483" s="8" t="n">
        <v>0.02006927896255281</v>
      </c>
      <c r="G483" s="6" t="n">
        <v>767.6128189808967</v>
      </c>
      <c r="H483" s="6" t="n">
        <v>25.41352713534959</v>
      </c>
      <c r="I483" s="6" t="n">
        <v>78.04323957835358</v>
      </c>
    </row>
    <row r="484">
      <c r="A484" s="6" t="inlineStr">
        <is>
          <t>5 wt% Re | 200 C</t>
        </is>
      </c>
      <c r="B484" s="8" t="n">
        <v>0.08799999999999999</v>
      </c>
      <c r="C484" s="6" t="n">
        <v>1107.392912781063</v>
      </c>
      <c r="D484" s="6" t="n">
        <v>54616.0111644955</v>
      </c>
      <c r="E484" s="8" t="n">
        <v>0.03377420419895513</v>
      </c>
      <c r="F484" s="8" t="n">
        <v>0.01982695332983744</v>
      </c>
      <c r="G484" s="6" t="n">
        <v>769.4392122940878</v>
      </c>
      <c r="H484" s="6" t="n">
        <v>25.46340610690792</v>
      </c>
      <c r="I484" s="6" t="n">
        <v>78.21185486862814</v>
      </c>
    </row>
    <row r="485">
      <c r="A485" s="6" t="inlineStr">
        <is>
          <t>5 wt% Re | 200 C</t>
        </is>
      </c>
      <c r="B485" s="8" t="n">
        <v>0.089</v>
      </c>
      <c r="C485" s="6" t="n">
        <v>1109.783198743604</v>
      </c>
      <c r="D485" s="6" t="n">
        <v>54529.15553767485</v>
      </c>
      <c r="E485" s="8" t="n">
        <v>0.03341826329204065</v>
      </c>
      <c r="F485" s="8" t="n">
        <v>0.0195898966858324</v>
      </c>
      <c r="G485" s="6" t="n">
        <v>771.265605607279</v>
      </c>
      <c r="H485" s="6" t="n">
        <v>25.51329057371935</v>
      </c>
      <c r="I485" s="6" t="n">
        <v>78.37998477431812</v>
      </c>
    </row>
    <row r="486">
      <c r="A486" s="6" t="inlineStr">
        <is>
          <t>5 wt% Re | 200 C</t>
        </is>
      </c>
      <c r="B486" s="8" t="n">
        <v>0.09</v>
      </c>
      <c r="C486" s="6" t="n">
        <v>1112.173023160681</v>
      </c>
      <c r="D486" s="6" t="n">
        <v>54442.9577874164</v>
      </c>
      <c r="E486" s="8" t="n">
        <v>0.03306997852346386</v>
      </c>
      <c r="F486" s="8" t="n">
        <v>0.01935793902996025</v>
      </c>
      <c r="G486" s="6" t="n">
        <v>773.0919989204701</v>
      </c>
      <c r="H486" s="6" t="n">
        <v>25.56318035260878</v>
      </c>
      <c r="I486" s="6" t="n">
        <v>78.54763553531033</v>
      </c>
    </row>
    <row r="487">
      <c r="A487" s="6" t="inlineStr">
        <is>
          <t>5 wt% Re | 200 C</t>
        </is>
      </c>
      <c r="B487" s="8" t="n">
        <v>0.091</v>
      </c>
      <c r="C487" s="6" t="n">
        <v>1114.562391790683</v>
      </c>
      <c r="D487" s="6" t="n">
        <v>54357.39622548179</v>
      </c>
      <c r="E487" s="8" t="n">
        <v>0.03272910550116426</v>
      </c>
      <c r="F487" s="8" t="n">
        <v>0.01913091759710873</v>
      </c>
      <c r="G487" s="6" t="n">
        <v>774.9183922336612</v>
      </c>
      <c r="H487" s="6" t="n">
        <v>25.61307526845275</v>
      </c>
      <c r="I487" s="6" t="n">
        <v>78.71481325353727</v>
      </c>
    </row>
    <row r="488">
      <c r="A488" s="6" t="inlineStr">
        <is>
          <t>5 wt% Re | 200 C</t>
        </is>
      </c>
      <c r="B488" s="8" t="n">
        <v>0.092</v>
      </c>
      <c r="C488" s="6" t="n">
        <v>1116.95131026986</v>
      </c>
      <c r="D488" s="6" t="n">
        <v>54272.45010659962</v>
      </c>
      <c r="E488" s="8" t="n">
        <v>0.03239541012524107</v>
      </c>
      <c r="F488" s="8" t="n">
        <v>0.01890867647674388</v>
      </c>
      <c r="G488" s="6" t="n">
        <v>776.7447855468527</v>
      </c>
      <c r="H488" s="6" t="n">
        <v>25.66297515374187</v>
      </c>
      <c r="I488" s="6" t="n">
        <v>78.88152389706255</v>
      </c>
    </row>
    <row r="489">
      <c r="A489" s="6" t="inlineStr">
        <is>
          <t>5 wt% Re | 200 C</t>
        </is>
      </c>
      <c r="B489" s="8" t="n">
        <v>0.093</v>
      </c>
      <c r="C489" s="6" t="n">
        <v>1119.339784115713</v>
      </c>
      <c r="D489" s="6" t="n">
        <v>54188.0995777682</v>
      </c>
      <c r="E489" s="8" t="n">
        <v>0.03206866805180168</v>
      </c>
      <c r="F489" s="8" t="n">
        <v>0.01869106625583324</v>
      </c>
      <c r="G489" s="6" t="n">
        <v>778.5711788600437</v>
      </c>
      <c r="H489" s="6" t="n">
        <v>25.71287984817147</v>
      </c>
      <c r="I489" s="6" t="n">
        <v>79.0477733040246</v>
      </c>
    </row>
    <row r="490">
      <c r="A490" s="6" t="inlineStr">
        <is>
          <t>5 wt% Re | 200 C</t>
        </is>
      </c>
      <c r="B490" s="8" t="n">
        <v>0.094</v>
      </c>
      <c r="C490" s="6" t="n">
        <v>1121.72781873028</v>
      </c>
      <c r="D490" s="6" t="n">
        <v>54104.32563079442</v>
      </c>
      <c r="E490" s="8" t="n">
        <v>0.03174866418998059</v>
      </c>
      <c r="F490" s="8" t="n">
        <v>0.0184779436838604</v>
      </c>
      <c r="G490" s="6" t="n">
        <v>780.3975721732348</v>
      </c>
      <c r="H490" s="6" t="n">
        <v>25.76278919825833</v>
      </c>
      <c r="I490" s="6" t="n">
        <v>79.2135671864434</v>
      </c>
    </row>
    <row r="491">
      <c r="A491" s="6" t="inlineStr">
        <is>
          <t>5 wt% Re | 200 C</t>
        </is>
      </c>
      <c r="B491" s="8" t="n">
        <v>0.095</v>
      </c>
      <c r="C491" s="6" t="n">
        <v>1124.115419403331</v>
      </c>
      <c r="D491" s="6" t="n">
        <v>54021.11005783013</v>
      </c>
      <c r="E491" s="8" t="n">
        <v>0.03143519222975864</v>
      </c>
      <c r="F491" s="8" t="n">
        <v>0.01826917135835259</v>
      </c>
      <c r="G491" s="6" t="n">
        <v>782.2239654864259</v>
      </c>
      <c r="H491" s="6" t="n">
        <v>25.8127030569817</v>
      </c>
      <c r="I491" s="6" t="n">
        <v>79.37891113389524</v>
      </c>
    </row>
    <row r="492">
      <c r="A492" s="6" t="inlineStr">
        <is>
          <t>5 wt% Re | 200 C</t>
        </is>
      </c>
      <c r="B492" s="8" t="n">
        <v>0.096</v>
      </c>
      <c r="C492" s="6" t="n">
        <v>1126.502591315445</v>
      </c>
      <c r="D492" s="6" t="n">
        <v>53938.43540968756</v>
      </c>
      <c r="E492" s="8" t="n">
        <v>0.03112805419840454</v>
      </c>
      <c r="F492" s="8" t="n">
        <v>0.01806461742947075</v>
      </c>
      <c r="G492" s="6" t="n">
        <v>784.0503587996172</v>
      </c>
      <c r="H492" s="6" t="n">
        <v>25.86262128344671</v>
      </c>
      <c r="I492" s="6" t="n">
        <v>79.54381061706019</v>
      </c>
    </row>
    <row r="493">
      <c r="A493" s="6" t="inlineStr">
        <is>
          <t>5 wt% Re | 200 C</t>
        </is>
      </c>
      <c r="B493" s="8" t="n">
        <v>0.097</v>
      </c>
      <c r="C493" s="6" t="n">
        <v>1128.889339541003</v>
      </c>
      <c r="D493" s="6" t="n">
        <v>53856.28495673303</v>
      </c>
      <c r="E493" s="8" t="n">
        <v>0.03082706004353472</v>
      </c>
      <c r="F493" s="8" t="n">
        <v>0.01786415532232745</v>
      </c>
      <c r="G493" s="6" t="n">
        <v>785.8767521128085</v>
      </c>
      <c r="H493" s="6" t="n">
        <v>25.91254374256853</v>
      </c>
      <c r="I493" s="6" t="n">
        <v>79.70827099114697</v>
      </c>
    </row>
    <row r="494">
      <c r="A494" s="6" t="inlineStr">
        <is>
          <t>5 wt% Re | 200 C</t>
        </is>
      </c>
      <c r="B494" s="8" t="n">
        <v>0.098</v>
      </c>
      <c r="C494" s="6" t="n">
        <v>1131.275669051088</v>
      </c>
      <c r="D494" s="6" t="n">
        <v>53774.64265217505</v>
      </c>
      <c r="E494" s="8" t="n">
        <v>0.03053202724094645</v>
      </c>
      <c r="F494" s="8" t="n">
        <v>0.01766766347580367</v>
      </c>
      <c r="G494" s="6" t="n">
        <v>787.7031454259995</v>
      </c>
      <c r="H494" s="6" t="n">
        <v>25.96247030477605</v>
      </c>
      <c r="I494" s="6" t="n">
        <v>79.8722974991998</v>
      </c>
    </row>
    <row r="495">
      <c r="A495" s="6" t="inlineStr">
        <is>
          <t>5 wt% Re | 200 C</t>
        </is>
      </c>
      <c r="B495" s="8" t="n">
        <v>0.099</v>
      </c>
      <c r="C495" s="6" t="n">
        <v>1133.66158471629</v>
      </c>
      <c r="D495" s="6" t="n">
        <v>53693.49309757742</v>
      </c>
      <c r="E495" s="8" t="n">
        <v>0.03024278042552363</v>
      </c>
      <c r="F495" s="8" t="n">
        <v>0.01747502509673206</v>
      </c>
      <c r="G495" s="6" t="n">
        <v>789.5295387391908</v>
      </c>
      <c r="H495" s="6" t="n">
        <v>26.01240084573335</v>
      </c>
      <c r="I495" s="6" t="n">
        <v>80.03589527529131</v>
      </c>
    </row>
    <row r="496">
      <c r="A496" s="6" t="inlineStr">
        <is>
          <t>5 wt% Re | 200 C</t>
        </is>
      </c>
      <c r="B496" s="8" t="n">
        <v>0.1</v>
      </c>
      <c r="C496" s="6" t="n">
        <v>1136.047091309418</v>
      </c>
      <c r="D496" s="6" t="n">
        <v>53612.82151044127</v>
      </c>
      <c r="E496" s="8" t="n">
        <v>0.02995915104364697</v>
      </c>
      <c r="F496" s="8" t="n">
        <v>0.01728612792840221</v>
      </c>
      <c r="G496" s="6" t="n">
        <v>791.3559320523822</v>
      </c>
      <c r="H496" s="6" t="n">
        <v>26.06233524607793</v>
      </c>
      <c r="I496" s="6" t="n">
        <v>80.19906934760607</v>
      </c>
    </row>
    <row r="497">
      <c r="A497" s="6" t="inlineStr">
        <is>
          <t>5 wt% Re | 200 C</t>
        </is>
      </c>
      <c r="B497" s="8" t="n">
        <v>0.101</v>
      </c>
      <c r="C497" s="6" t="n">
        <v>1138.432193508138</v>
      </c>
      <c r="D497" s="6" t="n">
        <v>53532.6136937133</v>
      </c>
      <c r="E497" s="8" t="n">
        <v>0.02968097702566106</v>
      </c>
      <c r="F497" s="8" t="n">
        <v>0.01710086403242359</v>
      </c>
      <c r="G497" s="6" t="n">
        <v>793.1823253655734</v>
      </c>
      <c r="H497" s="6" t="n">
        <v>26.11227339117451</v>
      </c>
      <c r="I497" s="6" t="n">
        <v>80.36182464141872</v>
      </c>
    </row>
    <row r="498">
      <c r="A498" s="6" t="inlineStr">
        <is>
          <t>5 wt% Re | 200 C</t>
        </is>
      </c>
      <c r="B498" s="8" t="n">
        <v>0.102</v>
      </c>
      <c r="C498" s="6" t="n">
        <v>1140.816895897521</v>
      </c>
      <c r="D498" s="6" t="n">
        <v>53452.85600708742</v>
      </c>
      <c r="E498" s="8" t="n">
        <v>0.0294081024770607</v>
      </c>
      <c r="F498" s="8" t="n">
        <v>0.01691912958305575</v>
      </c>
      <c r="G498" s="6" t="n">
        <v>795.0087186787645</v>
      </c>
      <c r="H498" s="6" t="n">
        <v>26.16221517088334</v>
      </c>
      <c r="I498" s="6" t="n">
        <v>80.52416598197044</v>
      </c>
    </row>
    <row r="499">
      <c r="A499" s="6" t="inlineStr">
        <is>
          <t>5 wt% Re | 200 C</t>
        </is>
      </c>
      <c r="B499" s="8" t="n">
        <v>0.103</v>
      </c>
      <c r="C499" s="6" t="n">
        <v>1143.201202972507</v>
      </c>
      <c r="D499" s="6" t="n">
        <v>53373.53533997809</v>
      </c>
      <c r="E499" s="8" t="n">
        <v>0.02914037738716038</v>
      </c>
      <c r="F499" s="8" t="n">
        <v>0.01674082467318214</v>
      </c>
      <c r="G499" s="6" t="n">
        <v>796.8351119919553</v>
      </c>
      <c r="H499" s="6" t="n">
        <v>26.21216047934191</v>
      </c>
      <c r="I499" s="6" t="n">
        <v>80.68609809724792</v>
      </c>
    </row>
    <row r="500">
      <c r="A500" s="6" t="inlineStr">
        <is>
          <t>5 wt% Re | 200 C</t>
        </is>
      </c>
      <c r="B500" s="8" t="n">
        <v>0.104</v>
      </c>
      <c r="C500" s="6" t="n">
        <v>1145.585119140302</v>
      </c>
      <c r="D500" s="6" t="n">
        <v>53294.63908605313</v>
      </c>
      <c r="E500" s="8" t="n">
        <v>0.02887765735410268</v>
      </c>
      <c r="F500" s="8" t="n">
        <v>0.01656585313116571</v>
      </c>
      <c r="G500" s="6" t="n">
        <v>798.6615053051469</v>
      </c>
      <c r="H500" s="6" t="n">
        <v>26.26210921475939</v>
      </c>
      <c r="I500" s="6" t="n">
        <v>80.84762562066835</v>
      </c>
    </row>
    <row r="501">
      <c r="A501" s="6" t="inlineStr">
        <is>
          <t>5 wt% Re | 200 C</t>
        </is>
      </c>
      <c r="B501" s="8" t="n">
        <v>0.105</v>
      </c>
      <c r="C501" s="6" t="n">
        <v>1147.968648722689</v>
      </c>
      <c r="D501" s="6" t="n">
        <v>53216.15511922156</v>
      </c>
      <c r="E501" s="8" t="n">
        <v>0.02861980332514669</v>
      </c>
      <c r="F501" s="8" t="n">
        <v>0.01639412234788102</v>
      </c>
      <c r="G501" s="6" t="n">
        <v>800.487898618338</v>
      </c>
      <c r="H501" s="6" t="n">
        <v>26.31206127922266</v>
      </c>
      <c r="I501" s="6" t="n">
        <v>81.00875309367359</v>
      </c>
    </row>
    <row r="502">
      <c r="A502" s="6" t="inlineStr">
        <is>
          <t>5 wt% Re | 200 C</t>
        </is>
      </c>
      <c r="B502" s="8" t="n">
        <v>0.106</v>
      </c>
      <c r="C502" s="6" t="n">
        <v>1150.351795958273</v>
      </c>
      <c r="D502" s="6" t="n">
        <v>53138.07177098071</v>
      </c>
      <c r="E502" s="8" t="n">
        <v>0.0283666813512548</v>
      </c>
      <c r="F502" s="8" t="n">
        <v>0.01622554311326903</v>
      </c>
      <c r="G502" s="6" t="n">
        <v>802.3142919315292</v>
      </c>
      <c r="H502" s="6" t="n">
        <v>26.36201657851343</v>
      </c>
      <c r="I502" s="6" t="n">
        <v>81.16948496823788</v>
      </c>
    </row>
    <row r="503">
      <c r="A503" s="6" t="inlineStr">
        <is>
          <t>5 wt% Re | 200 C</t>
        </is>
      </c>
      <c r="B503" s="8" t="n">
        <v>0.107</v>
      </c>
      <c r="C503" s="6" t="n">
        <v>1152.734565004654</v>
      </c>
      <c r="D503" s="6" t="n">
        <v>53060.37780903366</v>
      </c>
      <c r="E503" s="8" t="n">
        <v>0.02811816235506784</v>
      </c>
      <c r="F503" s="8" t="n">
        <v>0.01606002946180851</v>
      </c>
      <c r="G503" s="6" t="n">
        <v>804.1406852447202</v>
      </c>
      <c r="H503" s="6" t="n">
        <v>26.4119750219356</v>
      </c>
      <c r="I503" s="6" t="n">
        <v>81.32982560929125</v>
      </c>
    </row>
    <row r="504">
      <c r="A504" s="6" t="inlineStr">
        <is>
          <t>5 wt% Re | 200 C</t>
        </is>
      </c>
      <c r="B504" s="8" t="n">
        <v>0.108</v>
      </c>
      <c r="C504" s="6" t="n">
        <v>1155.11695994053</v>
      </c>
      <c r="D504" s="6" t="n">
        <v>52983.0624170945</v>
      </c>
      <c r="E504" s="8" t="n">
        <v>0.0278741219114242</v>
      </c>
      <c r="F504" s="8" t="n">
        <v>0.01589749852634184</v>
      </c>
      <c r="G504" s="6" t="n">
        <v>805.9670785579117</v>
      </c>
      <c r="H504" s="6" t="n">
        <v>26.46193652215222</v>
      </c>
      <c r="I504" s="6" t="n">
        <v>81.4897792970627</v>
      </c>
    </row>
    <row r="505">
      <c r="A505" s="6" t="inlineStr">
        <is>
          <t>5 wt% Re | 200 C</t>
        </is>
      </c>
      <c r="B505" s="8" t="n">
        <v>0.109</v>
      </c>
      <c r="C505" s="6" t="n">
        <v>1157.498984767738</v>
      </c>
      <c r="D505" s="6" t="n">
        <v>52906.11517580516</v>
      </c>
      <c r="E505" s="8" t="n">
        <v>0.02763444003963877</v>
      </c>
      <c r="F505" s="8" t="n">
        <v>0.01573787039973275</v>
      </c>
      <c r="G505" s="6" t="n">
        <v>807.793471871103</v>
      </c>
      <c r="H505" s="6" t="n">
        <v>26.51190099503129</v>
      </c>
      <c r="I505" s="6" t="n">
        <v>81.64935022934546</v>
      </c>
    </row>
    <row r="506">
      <c r="A506" s="6" t="inlineStr">
        <is>
          <t>5 wt% Re | 200 C</t>
        </is>
      </c>
      <c r="B506" s="8" t="n">
        <v>0.11</v>
      </c>
      <c r="C506" s="6" t="n">
        <v>1159.880643413226</v>
      </c>
      <c r="D506" s="6" t="n">
        <v>52829.5260446934</v>
      </c>
      <c r="E506" s="8" t="n">
        <v>0.0273990010068131</v>
      </c>
      <c r="F506" s="8" t="n">
        <v>0.01558106800387086</v>
      </c>
      <c r="G506" s="6" t="n">
        <v>809.619865184294</v>
      </c>
      <c r="H506" s="6" t="n">
        <v>26.56186835950021</v>
      </c>
      <c r="I506" s="6" t="n">
        <v>81.8085425236879</v>
      </c>
    </row>
    <row r="507">
      <c r="A507" s="6" t="inlineStr">
        <is>
          <t>5 wt% Re | 200 C</t>
        </is>
      </c>
      <c r="B507" s="8" t="n">
        <v>0.111</v>
      </c>
      <c r="C507" s="6" t="n">
        <v>1162.261939730974</v>
      </c>
      <c r="D507" s="6" t="n">
        <v>52753.28534510578</v>
      </c>
      <c r="E507" s="8" t="n">
        <v>0.02716769314149921</v>
      </c>
      <c r="F507" s="8" t="n">
        <v>0.0154270169655718</v>
      </c>
      <c r="G507" s="6" t="n">
        <v>811.4462584974851</v>
      </c>
      <c r="H507" s="6" t="n">
        <v>26.61183853740792</v>
      </c>
      <c r="I507" s="6" t="n">
        <v>81.96736021951253</v>
      </c>
    </row>
    <row r="508">
      <c r="A508" s="6" t="inlineStr">
        <is>
          <t>5 wt% Re | 200 C</t>
        </is>
      </c>
      <c r="B508" s="8" t="n">
        <v>0.112</v>
      </c>
      <c r="C508" s="6" t="n">
        <v>1164.64287750384</v>
      </c>
      <c r="D508" s="6" t="n">
        <v>52677.38374405503</v>
      </c>
      <c r="E508" s="8" t="n">
        <v>0.02694040865708697</v>
      </c>
      <c r="F508" s="8" t="n">
        <v>0.01527564549895325</v>
      </c>
      <c r="G508" s="6" t="n">
        <v>813.2726518106764</v>
      </c>
      <c r="H508" s="6" t="n">
        <v>26.66181145339444</v>
      </c>
      <c r="I508" s="6" t="n">
        <v>82.12580728016557</v>
      </c>
    </row>
    <row r="509">
      <c r="A509" s="6" t="inlineStr">
        <is>
          <t>5 wt% Re | 200 C</t>
        </is>
      </c>
      <c r="B509" s="8" t="n">
        <v>0.113</v>
      </c>
      <c r="C509" s="6" t="n">
        <v>1167.023460445362</v>
      </c>
      <c r="D509" s="6" t="n">
        <v>52601.81223892514</v>
      </c>
      <c r="E509" s="8" t="n">
        <v>0.02671704348432789</v>
      </c>
      <c r="F509" s="8" t="n">
        <v>0.0151268842938957</v>
      </c>
      <c r="G509" s="6" t="n">
        <v>815.0990451238677</v>
      </c>
      <c r="H509" s="6" t="n">
        <v>26.7117870347674</v>
      </c>
      <c r="I509" s="6" t="n">
        <v>82.28388759490031</v>
      </c>
    </row>
    <row r="510">
      <c r="A510" s="6" t="inlineStr">
        <is>
          <t>5 wt% Re | 200 C</t>
        </is>
      </c>
      <c r="B510" s="8" t="n">
        <v>0.114</v>
      </c>
      <c r="C510" s="6" t="n">
        <v>1169.403692201503</v>
      </c>
      <c r="D510" s="6" t="n">
        <v>52526.56214298135</v>
      </c>
      <c r="E510" s="8" t="n">
        <v>0.02649749711244894</v>
      </c>
      <c r="F510" s="8" t="n">
        <v>0.01498066641022433</v>
      </c>
      <c r="G510" s="6" t="n">
        <v>816.9254384370587</v>
      </c>
      <c r="H510" s="6" t="n">
        <v>26.76176521138508</v>
      </c>
      <c r="I510" s="6" t="n">
        <v>82.44160498079623</v>
      </c>
    </row>
    <row r="511">
      <c r="A511" s="6" t="inlineStr">
        <is>
          <t>5 wt% Re | 200 C</t>
        </is>
      </c>
      <c r="B511" s="8" t="n">
        <v>0.115</v>
      </c>
      <c r="C511" s="6" t="n">
        <v>1171.783576352335</v>
      </c>
      <c r="D511" s="6" t="n">
        <v>52451.62507163617</v>
      </c>
      <c r="E511" s="8" t="n">
        <v>0.02628167243834643</v>
      </c>
      <c r="F511" s="8" t="n">
        <v>0.01483692717727205</v>
      </c>
      <c r="G511" s="6" t="n">
        <v>818.7518317502496</v>
      </c>
      <c r="H511" s="6" t="n">
        <v>26.81174591554543</v>
      </c>
      <c r="I511" s="6" t="n">
        <v>82.59896318461638</v>
      </c>
    </row>
    <row r="512">
      <c r="A512" s="6" t="inlineStr">
        <is>
          <t>5 wt% Re | 200 C</t>
        </is>
      </c>
      <c r="B512" s="8" t="n">
        <v>0.116</v>
      </c>
      <c r="C512" s="6" t="n">
        <v>1174.163116413678</v>
      </c>
      <c r="D512" s="6" t="n">
        <v>52376.99292942587</v>
      </c>
      <c r="E512" s="8" t="n">
        <v>0.02606947562338474</v>
      </c>
      <c r="F512" s="8" t="n">
        <v>0.01469560409850756</v>
      </c>
      <c r="G512" s="6" t="n">
        <v>820.5782250634411</v>
      </c>
      <c r="H512" s="6" t="n">
        <v>26.86172908188097</v>
      </c>
      <c r="I512" s="6" t="n">
        <v>82.75596588460539</v>
      </c>
    </row>
    <row r="513">
      <c r="A513" s="6" t="inlineStr">
        <is>
          <t>5 wt% Re | 200 C</t>
        </is>
      </c>
      <c r="B513" s="8" t="n">
        <v>0.117</v>
      </c>
      <c r="C513" s="6" t="n">
        <v>1176.542315838689</v>
      </c>
      <c r="D513" s="6" t="n">
        <v>52302.6578976547</v>
      </c>
      <c r="E513" s="8" t="n">
        <v>0.02586081595735629</v>
      </c>
      <c r="F513" s="8" t="n">
        <v>0.01455663676093261</v>
      </c>
      <c r="G513" s="6" t="n">
        <v>822.4046183766322</v>
      </c>
      <c r="H513" s="6" t="n">
        <v>26.91171464725899</v>
      </c>
      <c r="I513" s="6" t="n">
        <v>82.91261669223036</v>
      </c>
    </row>
    <row r="514">
      <c r="A514" s="6" t="inlineStr">
        <is>
          <t>5 wt% Re | 200 C</t>
        </is>
      </c>
      <c r="B514" s="8" t="n">
        <v>0.118</v>
      </c>
      <c r="C514" s="6" t="n">
        <v>1178.921178019398</v>
      </c>
      <c r="D514" s="6" t="n">
        <v>52228.61242266738</v>
      </c>
      <c r="E514" s="8" t="n">
        <v>0.0256556057291882</v>
      </c>
      <c r="F514" s="8" t="n">
        <v>0.01441996674897267</v>
      </c>
      <c r="G514" s="6" t="n">
        <v>824.2310116898234</v>
      </c>
      <c r="H514" s="6" t="n">
        <v>26.96170255068689</v>
      </c>
      <c r="I514" s="6" t="n">
        <v>83.06891915386649</v>
      </c>
    </row>
    <row r="515">
      <c r="A515" s="6" t="inlineStr">
        <is>
          <t>5 wt% Re | 200 C</t>
        </is>
      </c>
      <c r="B515" s="8" t="n">
        <v>0.119</v>
      </c>
      <c r="C515" s="6" t="n">
        <v>1181.299706288204</v>
      </c>
      <c r="D515" s="6" t="n">
        <v>52154.84920471309</v>
      </c>
      <c r="E515" s="8" t="n">
        <v>0.02545376010400867</v>
      </c>
      <c r="F515" s="8" t="n">
        <v>0.01428553756260311</v>
      </c>
      <c r="G515" s="6" t="n">
        <v>826.0574050030144</v>
      </c>
      <c r="H515" s="6" t="n">
        <v>27.01169273322224</v>
      </c>
      <c r="I515" s="6" t="n">
        <v>83.22487675242976</v>
      </c>
    </row>
    <row r="516">
      <c r="A516" s="6" t="inlineStr">
        <is>
          <t>5 wt% Re | 200 C</t>
        </is>
      </c>
      <c r="B516" s="8" t="n">
        <v>0.12</v>
      </c>
      <c r="C516" s="6" t="n">
        <v>1183.677903919323</v>
      </c>
      <c r="D516" s="6" t="n">
        <v>52081.361187366</v>
      </c>
      <c r="E516" s="8" t="n">
        <v>0.02525519700621095</v>
      </c>
      <c r="F516" s="8" t="n">
        <v>0.01415329453946982</v>
      </c>
      <c r="G516" s="6" t="n">
        <v>827.8837983162059</v>
      </c>
      <c r="H516" s="6" t="n">
        <v>27.06168513788736</v>
      </c>
      <c r="I516" s="6" t="n">
        <v>83.38049290895849</v>
      </c>
    </row>
    <row r="517">
      <c r="A517" s="6" t="inlineStr">
        <is>
          <t>5 wt% Re | 200 C</t>
        </is>
      </c>
      <c r="B517" s="8" t="n">
        <v>0.121</v>
      </c>
      <c r="C517" s="6" t="n">
        <v>1186.055774130191</v>
      </c>
      <c r="D517" s="6" t="n">
        <v>52008.14154747054</v>
      </c>
      <c r="E517" s="8" t="n">
        <v>0.02505983700817632</v>
      </c>
      <c r="F517" s="8" t="n">
        <v>0.01402318478077876</v>
      </c>
      <c r="G517" s="6" t="n">
        <v>829.7101916293968</v>
      </c>
      <c r="H517" s="6" t="n">
        <v>27.11167970958812</v>
      </c>
      <c r="I517" s="6" t="n">
        <v>83.53577098414553</v>
      </c>
    </row>
    <row r="518">
      <c r="A518" s="6" t="inlineStr">
        <is>
          <t>5 wt% Re | 200 C</t>
        </is>
      </c>
      <c r="B518" s="8" t="n">
        <v>0.122</v>
      </c>
      <c r="C518" s="6" t="n">
        <v>1188.433320082826</v>
      </c>
      <c r="D518" s="6" t="n">
        <v>51935.18368558121</v>
      </c>
      <c r="E518" s="8" t="n">
        <v>0.02486760322433926</v>
      </c>
      <c r="F518" s="8" t="n">
        <v>0.01389515708074327</v>
      </c>
      <c r="G518" s="6" t="n">
        <v>831.5365849425881</v>
      </c>
      <c r="H518" s="6" t="n">
        <v>27.16167639503674</v>
      </c>
      <c r="I518" s="6" t="n">
        <v>83.69071427982311</v>
      </c>
    </row>
    <row r="519">
      <c r="A519" s="6" t="inlineStr">
        <is>
          <t>5 wt% Re | 200 C</t>
        </is>
      </c>
      <c r="B519" s="8" t="n">
        <v>0.123</v>
      </c>
      <c r="C519" s="6" t="n">
        <v>1190.810544885153</v>
      </c>
      <c r="D519" s="6" t="n">
        <v>51862.48121686858</v>
      </c>
      <c r="E519" s="8" t="n">
        <v>0.0246784212102977</v>
      </c>
      <c r="F519" s="8" t="n">
        <v>0.0137691618593916</v>
      </c>
      <c r="G519" s="6" t="n">
        <v>833.3629782557792</v>
      </c>
      <c r="H519" s="6" t="n">
        <v>27.21167514267842</v>
      </c>
      <c r="I519" s="6" t="n">
        <v>83.84532604040189</v>
      </c>
    </row>
    <row r="520">
      <c r="A520" s="6" t="inlineStr">
        <is>
          <t>5 wt% Re | 200 C</t>
        </is>
      </c>
      <c r="B520" s="8" t="n">
        <v>0.124</v>
      </c>
      <c r="C520" s="6" t="n">
        <v>1193.187451592286</v>
      </c>
      <c r="D520" s="6" t="n">
        <v>51790.02796246545</v>
      </c>
      <c r="E520" s="8" t="n">
        <v>0.02449221886669052</v>
      </c>
      <c r="F520" s="8" t="n">
        <v>0.01364515109854922</v>
      </c>
      <c r="G520" s="6" t="n">
        <v>835.1893715689706</v>
      </c>
      <c r="H520" s="6" t="n">
        <v>27.26167590262138</v>
      </c>
      <c r="I520" s="6" t="n">
        <v>83.99960945426589</v>
      </c>
    </row>
    <row r="521">
      <c r="A521" s="6" t="inlineStr">
        <is>
          <t>5 wt% Re | 200 C</t>
        </is>
      </c>
      <c r="B521" s="8" t="n">
        <v>0.125</v>
      </c>
      <c r="C521" s="6" t="n">
        <v>1195.564043207772</v>
      </c>
      <c r="D521" s="6" t="n">
        <v>51717.81794122842</v>
      </c>
      <c r="E521" s="8" t="n">
        <v>0.02430892634758137</v>
      </c>
      <c r="F521" s="8" t="n">
        <v>0.01352307828082252</v>
      </c>
      <c r="G521" s="6" t="n">
        <v>837.0157648821618</v>
      </c>
      <c r="H521" s="6" t="n">
        <v>27.31167862657039</v>
      </c>
      <c r="I521" s="6" t="n">
        <v>84.15356765512502</v>
      </c>
    </row>
    <row r="522">
      <c r="A522" s="6" t="inlineStr">
        <is>
          <t>5 wt% Re | 200 C</t>
        </is>
      </c>
      <c r="B522" s="8" t="n">
        <v>0.126</v>
      </c>
      <c r="C522" s="6" t="n">
        <v>1197.940322684804</v>
      </c>
      <c r="D522" s="6" t="n">
        <v>51645.84536189162</v>
      </c>
      <c r="E522" s="8" t="n">
        <v>0.02412847597310434</v>
      </c>
      <c r="F522" s="8" t="n">
        <v>0.01340289833142082</v>
      </c>
      <c r="G522" s="6" t="n">
        <v>838.8421581953529</v>
      </c>
      <c r="H522" s="6" t="n">
        <v>27.3616832677634</v>
      </c>
      <c r="I522" s="6" t="n">
        <v>84.3072037233264</v>
      </c>
    </row>
    <row r="523">
      <c r="A523" s="6" t="inlineStr">
        <is>
          <t>5 wt% Re | 200 C</t>
        </is>
      </c>
      <c r="B523" s="8" t="n">
        <v>0.127</v>
      </c>
      <c r="C523" s="6" t="n">
        <v>1200.31629292739</v>
      </c>
      <c r="D523" s="6" t="n">
        <v>51574.10461559126</v>
      </c>
      <c r="E523" s="8" t="n">
        <v>0.02395080214614191</v>
      </c>
      <c r="F523" s="8" t="n">
        <v>0.01328456756266384</v>
      </c>
      <c r="G523" s="6" t="n">
        <v>840.6685515085439</v>
      </c>
      <c r="H523" s="6" t="n">
        <v>27.41168978091119</v>
      </c>
      <c r="I523" s="6" t="n">
        <v>84.4605206871265</v>
      </c>
    </row>
    <row r="524">
      <c r="A524" s="6" t="inlineStr">
        <is>
          <t>5 wt% Re | 200 C</t>
        </is>
      </c>
      <c r="B524" s="8" t="n">
        <v>0.128</v>
      </c>
      <c r="C524" s="6" t="n">
        <v>1202.691956791496</v>
      </c>
      <c r="D524" s="6" t="n">
        <v>51502.59026874057</v>
      </c>
      <c r="E524" s="8" t="n">
        <v>0.0237758412728197</v>
      </c>
      <c r="F524" s="8" t="n">
        <v>0.01316804362103125</v>
      </c>
      <c r="G524" s="6" t="n">
        <v>842.494944821735</v>
      </c>
      <c r="H524" s="6" t="n">
        <v>27.46169812213981</v>
      </c>
      <c r="I524" s="6" t="n">
        <v>84.61352152392479</v>
      </c>
    </row>
    <row r="525">
      <c r="A525" s="6" t="inlineStr">
        <is>
          <t>5 wt% Re | 200 C</t>
        </is>
      </c>
      <c r="B525" s="8" t="n">
        <v>0.129</v>
      </c>
      <c r="C525" s="6" t="n">
        <v>1205.067317086153</v>
      </c>
      <c r="D525" s="6" t="n">
        <v>51431.29705623603</v>
      </c>
      <c r="E525" s="8" t="n">
        <v>0.02360353168661565</v>
      </c>
      <c r="F525" s="8" t="n">
        <v>0.01305328543661935</v>
      </c>
      <c r="G525" s="6" t="n">
        <v>844.3213381349263</v>
      </c>
      <c r="H525" s="6" t="n">
        <v>27.51170824893575</v>
      </c>
      <c r="I525" s="6" t="n">
        <v>84.76620916146081</v>
      </c>
    </row>
    <row r="526">
      <c r="A526" s="6" t="inlineStr">
        <is>
          <t>5 wt% Re | 200 C</t>
        </is>
      </c>
      <c r="B526" s="8" t="n">
        <v>0.13</v>
      </c>
      <c r="C526" s="6" t="n">
        <v>1207.44237657453</v>
      </c>
      <c r="D526" s="6" t="n">
        <v>51360.21987497738</v>
      </c>
      <c r="E526" s="8" t="n">
        <v>0.02343381357589321</v>
      </c>
      <c r="F526" s="8" t="n">
        <v>0.0129402531748782</v>
      </c>
      <c r="G526" s="6" t="n">
        <v>846.1477314481177</v>
      </c>
      <c r="H526" s="6" t="n">
        <v>27.56172012009363</v>
      </c>
      <c r="I526" s="6" t="n">
        <v>84.91858647897583</v>
      </c>
    </row>
    <row r="527">
      <c r="A527" s="6" t="inlineStr">
        <is>
          <t>5 wt% Re | 200 C</t>
        </is>
      </c>
      <c r="B527" s="8" t="n">
        <v>0.131</v>
      </c>
      <c r="C527" s="6" t="n">
        <v>1209.817137974979</v>
      </c>
      <c r="D527" s="6" t="n">
        <v>51289.35377768417</v>
      </c>
      <c r="E527" s="8" t="n">
        <v>0.02326662891467984</v>
      </c>
      <c r="F527" s="8" t="n">
        <v>0.0128289081905101</v>
      </c>
      <c r="G527" s="6" t="n">
        <v>847.9741247613088</v>
      </c>
      <c r="H527" s="6" t="n">
        <v>27.61173369566621</v>
      </c>
      <c r="I527" s="6" t="n">
        <v>85.07065630834011</v>
      </c>
    </row>
    <row r="528">
      <c r="A528" s="6" t="inlineStr">
        <is>
          <t>5 wt% Re | 200 C</t>
        </is>
      </c>
      <c r="B528" s="8" t="n">
        <v>0.132</v>
      </c>
      <c r="C528" s="6" t="n">
        <v>1212.19160396205</v>
      </c>
      <c r="D528" s="6" t="n">
        <v>51218.69396699355</v>
      </c>
      <c r="E528" s="8" t="n">
        <v>0.02310192139652244</v>
      </c>
      <c r="F528" s="8" t="n">
        <v>0.01271921298341728</v>
      </c>
      <c r="G528" s="6" t="n">
        <v>849.8005180744999</v>
      </c>
      <c r="H528" s="6" t="n">
        <v>27.6617489369168</v>
      </c>
      <c r="I528" s="6" t="n">
        <v>85.22242143514717</v>
      </c>
    </row>
    <row r="529">
      <c r="A529" s="6" t="inlineStr">
        <is>
          <t>5 wt% Re | 200 C</t>
        </is>
      </c>
      <c r="B529" s="8" t="n">
        <v>0.133</v>
      </c>
      <c r="C529" s="6" t="n">
        <v>1214.565777167479</v>
      </c>
      <c r="D529" s="6" t="n">
        <v>51148.23578982424</v>
      </c>
      <c r="E529" s="8" t="n">
        <v>0.02293963637126124</v>
      </c>
      <c r="F529" s="8" t="n">
        <v>0.01261113115659331</v>
      </c>
      <c r="G529" s="6" t="n">
        <v>851.6269113876913</v>
      </c>
      <c r="H529" s="6" t="n">
        <v>27.7117658062737</v>
      </c>
      <c r="I529" s="6" t="n">
        <v>85.37388459977616</v>
      </c>
    </row>
    <row r="530">
      <c r="A530" s="6" t="inlineStr">
        <is>
          <t>5 wt% Re | 200 C</t>
        </is>
      </c>
      <c r="B530" s="8" t="n">
        <v>0.134</v>
      </c>
      <c r="C530" s="6" t="n">
        <v>1216.939660181142</v>
      </c>
      <c r="D530" s="6" t="n">
        <v>51077.97473199294</v>
      </c>
      <c r="E530" s="8" t="n">
        <v>0.02277972078457311</v>
      </c>
      <c r="F530" s="8" t="n">
        <v>0.01250462737585902</v>
      </c>
      <c r="G530" s="6" t="n">
        <v>853.4533047008824</v>
      </c>
      <c r="H530" s="6" t="n">
        <v>27.7617842672868</v>
      </c>
      <c r="I530" s="6" t="n">
        <v>85.52504849842347</v>
      </c>
    </row>
    <row r="531">
      <c r="A531" s="6" t="inlineStr">
        <is>
          <t>5 wt% Re | 200 C</t>
        </is>
      </c>
      <c r="B531" s="8" t="n">
        <v>0.135</v>
      </c>
      <c r="C531" s="6" t="n">
        <v>1219.313255551988</v>
      </c>
      <c r="D531" s="6" t="n">
        <v>51007.90641306993</v>
      </c>
      <c r="E531" s="8" t="n">
        <v>0.02262212312014381</v>
      </c>
      <c r="F531" s="8" t="n">
        <v>0.01239966733134911</v>
      </c>
      <c r="G531" s="6" t="n">
        <v>855.2796980140737</v>
      </c>
      <c r="H531" s="6" t="n">
        <v>27.81180428458594</v>
      </c>
      <c r="I531" s="6" t="n">
        <v>85.67591578410467</v>
      </c>
    </row>
    <row r="532">
      <c r="A532" s="6" t="inlineStr">
        <is>
          <t>5 wt% Re | 200 C</t>
        </is>
      </c>
      <c r="B532" s="8" t="n">
        <v>0.136</v>
      </c>
      <c r="C532" s="6" t="n">
        <v>1221.686565788946</v>
      </c>
      <c r="D532" s="6" t="n">
        <v>50938.02658146164</v>
      </c>
      <c r="E532" s="8" t="n">
        <v>0.02246679334433673</v>
      </c>
      <c r="F532" s="8" t="n">
        <v>0.01229621770066159</v>
      </c>
      <c r="G532" s="6" t="n">
        <v>857.1060913272646</v>
      </c>
      <c r="H532" s="6" t="n">
        <v>27.86182582384129</v>
      </c>
      <c r="I532" s="6" t="n">
        <v>85.82648906762746</v>
      </c>
    </row>
    <row r="533">
      <c r="A533" s="6" t="inlineStr">
        <is>
          <t>5 wt% Re | 200 C</t>
        </is>
      </c>
      <c r="B533" s="8" t="n">
        <v>0.137</v>
      </c>
      <c r="C533" s="6" t="n">
        <v>1224.059593361803</v>
      </c>
      <c r="D533" s="6" t="n">
        <v>50868.33110970859</v>
      </c>
      <c r="E533" s="8" t="n">
        <v>0.02231368285323316</v>
      </c>
      <c r="F533" s="8" t="n">
        <v>0.01219424611358661</v>
      </c>
      <c r="G533" s="6" t="n">
        <v>858.9324846404562</v>
      </c>
      <c r="H533" s="6" t="n">
        <v>27.91184885172533</v>
      </c>
      <c r="I533" s="6" t="n">
        <v>85.97677091853717</v>
      </c>
    </row>
    <row r="534">
      <c r="A534" s="6" t="inlineStr">
        <is>
          <t>5 wt% Re | 200 C</t>
        </is>
      </c>
      <c r="B534" s="8" t="n">
        <v>0.138</v>
      </c>
      <c r="C534" s="6" t="n">
        <v>1226.432340702059</v>
      </c>
      <c r="D534" s="6" t="n">
        <v>50798.8159899879</v>
      </c>
      <c r="E534" s="8" t="n">
        <v>0.02216274442192663</v>
      </c>
      <c r="F534" s="8" t="n">
        <v>0.01209372111833647</v>
      </c>
      <c r="G534" s="6" t="n">
        <v>860.7588779536472</v>
      </c>
      <c r="H534" s="6" t="n">
        <v>27.96187333587658</v>
      </c>
      <c r="I534" s="6" t="n">
        <v>86.12676386603536</v>
      </c>
    </row>
    <row r="535">
      <c r="A535" s="6" t="inlineStr">
        <is>
          <t>5 wt% Re | 200 C</t>
        </is>
      </c>
      <c r="B535" s="8" t="n">
        <v>0.139</v>
      </c>
      <c r="C535" s="6" t="n">
        <v>1228.804810203762</v>
      </c>
      <c r="D535" s="6" t="n">
        <v>50729.47732980961</v>
      </c>
      <c r="E535" s="8" t="n">
        <v>0.02201393215595988</v>
      </c>
      <c r="F535" s="8" t="n">
        <v>0.01199461214920261</v>
      </c>
      <c r="G535" s="6" t="n">
        <v>862.5852712668383</v>
      </c>
      <c r="H535" s="6" t="n">
        <v>28.0118992448648</v>
      </c>
      <c r="I535" s="6" t="n">
        <v>86.27647039987252</v>
      </c>
    </row>
    <row r="536">
      <c r="A536" s="6" t="inlineStr">
        <is>
          <t>5 wt% Re | 200 C</t>
        </is>
      </c>
      <c r="B536" s="8" t="n">
        <v>0.14</v>
      </c>
      <c r="C536" s="6" t="n">
        <v>1231.177004224318</v>
      </c>
      <c r="D536" s="6" t="n">
        <v>50660.31134789783</v>
      </c>
      <c r="E536" s="8" t="n">
        <v>0.02186720144479975</v>
      </c>
      <c r="F536" s="8" t="n">
        <v>0.01189688949556996</v>
      </c>
      <c r="G536" s="6" t="n">
        <v>864.4116645800294</v>
      </c>
      <c r="H536" s="6" t="n">
        <v>28.06192654815778</v>
      </c>
      <c r="I536" s="6" t="n">
        <v>86.42589297121562</v>
      </c>
    </row>
    <row r="537">
      <c r="A537" s="6" t="inlineStr">
        <is>
          <t>5 wt% Re | 200 C</t>
        </is>
      </c>
      <c r="B537" s="8" t="n">
        <v>0.141</v>
      </c>
      <c r="C537" s="6" t="n">
        <v>1233.548925085274</v>
      </c>
      <c r="D537" s="6" t="n">
        <v>50591.3143702469</v>
      </c>
      <c r="E537" s="8" t="n">
        <v>0.02172250891725089</v>
      </c>
      <c r="F537" s="8" t="n">
        <v>0.01180052427222242</v>
      </c>
      <c r="G537" s="6" t="n">
        <v>866.2380578932208</v>
      </c>
      <c r="H537" s="6" t="n">
        <v>28.11195521608946</v>
      </c>
      <c r="I537" s="6" t="n">
        <v>86.57503399349174</v>
      </c>
    </row>
    <row r="538">
      <c r="A538" s="6" t="inlineStr">
        <is>
          <t>5 wt% Re | 200 C</t>
        </is>
      </c>
      <c r="B538" s="8" t="n">
        <v>0.142</v>
      </c>
      <c r="C538" s="6" t="n">
        <v>1235.920575073087</v>
      </c>
      <c r="D538" s="6" t="n">
        <v>50522.48282634425</v>
      </c>
      <c r="E538" s="8" t="n">
        <v>0.02157981239871458</v>
      </c>
      <c r="F538" s="8" t="n">
        <v>0.01170548839087724</v>
      </c>
      <c r="G538" s="6" t="n">
        <v>868.0644512064118</v>
      </c>
      <c r="H538" s="6" t="n">
        <v>28.16198521982944</v>
      </c>
      <c r="I538" s="6" t="n">
        <v>86.72389584320807</v>
      </c>
    </row>
    <row r="539">
      <c r="A539" s="6" t="inlineStr">
        <is>
          <t>5 wt% Re | 200 C</t>
        </is>
      </c>
      <c r="B539" s="8" t="n">
        <v>0.143</v>
      </c>
      <c r="C539" s="6" t="n">
        <v>1238.291956439871</v>
      </c>
      <c r="D539" s="6" t="n">
        <v>50453.81324555181</v>
      </c>
      <c r="E539" s="8" t="n">
        <v>0.02143907087020432</v>
      </c>
      <c r="F539" s="8" t="n">
        <v>0.01161175453288941</v>
      </c>
      <c r="G539" s="6" t="n">
        <v>869.890844519603</v>
      </c>
      <c r="H539" s="6" t="n">
        <v>28.21201653135377</v>
      </c>
      <c r="I539" s="6" t="n">
        <v>86.87248086074939</v>
      </c>
    </row>
    <row r="540">
      <c r="A540" s="6" t="inlineStr">
        <is>
          <t>5 wt% Re | 200 C</t>
        </is>
      </c>
      <c r="B540" s="8" t="n">
        <v>0.144</v>
      </c>
      <c r="C540" s="6" t="n">
        <v>1240.663071404121</v>
      </c>
      <c r="D540" s="6" t="n">
        <v>50385.30225363812</v>
      </c>
      <c r="E540" s="8" t="n">
        <v>0.02130024442903444</v>
      </c>
      <c r="F540" s="8" t="n">
        <v>0.01151929612307027</v>
      </c>
      <c r="G540" s="6" t="n">
        <v>871.7172378327941</v>
      </c>
      <c r="H540" s="6" t="n">
        <v>28.26204912341695</v>
      </c>
      <c r="I540" s="6" t="n">
        <v>87.02079135115365</v>
      </c>
    </row>
    <row r="541">
      <c r="A541" s="6" t="inlineStr">
        <is>
          <t>5 wt% Re | 200 C</t>
        </is>
      </c>
      <c r="B541" s="8" t="n">
        <v>0.145</v>
      </c>
      <c r="C541" s="6" t="n">
        <v>1243.033922151418</v>
      </c>
      <c r="D541" s="6" t="n">
        <v>50316.94656945397</v>
      </c>
      <c r="E541" s="8" t="n">
        <v>0.02116329425110258</v>
      </c>
      <c r="F541" s="8" t="n">
        <v>0.01142808730456765</v>
      </c>
      <c r="G541" s="6" t="n">
        <v>873.5436311459855</v>
      </c>
      <c r="H541" s="6" t="n">
        <v>28.31208296952506</v>
      </c>
      <c r="I541" s="6" t="n">
        <v>87.1688295848666</v>
      </c>
    </row>
    <row r="542">
      <c r="A542" s="6" t="inlineStr">
        <is>
          <t>5 wt% Re | 200 C</t>
        </is>
      </c>
      <c r="B542" s="8" t="n">
        <v>0.146</v>
      </c>
      <c r="C542" s="6" t="n">
        <v>1245.404510835118</v>
      </c>
      <c r="D542" s="6" t="n">
        <v>50248.74300174463</v>
      </c>
      <c r="E542" s="8" t="n">
        <v>0.02102818255469122</v>
      </c>
      <c r="F542" s="8" t="n">
        <v>0.01133810291475768</v>
      </c>
      <c r="G542" s="6" t="n">
        <v>875.3700244591764</v>
      </c>
      <c r="H542" s="6" t="n">
        <v>28.36211804391007</v>
      </c>
      <c r="I542" s="6" t="n">
        <v>87.31659779847551</v>
      </c>
    </row>
    <row r="543">
      <c r="A543" s="6" t="inlineStr">
        <is>
          <t>5 wt% Re | 200 C</t>
        </is>
      </c>
      <c r="B543" s="8" t="n">
        <v>0.147</v>
      </c>
      <c r="C543" s="6" t="n">
        <v>1247.774839577023</v>
      </c>
      <c r="D543" s="6" t="n">
        <v>50180.68844609227</v>
      </c>
      <c r="E543" s="8" t="n">
        <v>0.02089487256571733</v>
      </c>
      <c r="F543" s="8" t="n">
        <v>0.01124931846210107</v>
      </c>
      <c r="G543" s="6" t="n">
        <v>877.1964177723678</v>
      </c>
      <c r="H543" s="6" t="n">
        <v>28.41215432150509</v>
      </c>
      <c r="I543" s="6" t="n">
        <v>87.46409819542359</v>
      </c>
    </row>
    <row r="544">
      <c r="A544" s="6" t="inlineStr">
        <is>
          <t>5 wt% Re | 200 C</t>
        </is>
      </c>
      <c r="B544" s="8" t="n">
        <v>0.148</v>
      </c>
      <c r="C544" s="6" t="n">
        <v>1250.144910468028</v>
      </c>
      <c r="D544" s="6" t="n">
        <v>50112.77988198218</v>
      </c>
      <c r="E544" s="8" t="n">
        <v>0.02076332848436295</v>
      </c>
      <c r="F544" s="8" t="n">
        <v>0.01116171010391905</v>
      </c>
      <c r="G544" s="6" t="n">
        <v>879.0228110855589</v>
      </c>
      <c r="H544" s="6" t="n">
        <v>28.46219177792073</v>
      </c>
      <c r="I544" s="6" t="n">
        <v>87.61133294670485</v>
      </c>
    </row>
    <row r="545">
      <c r="A545" s="6" t="inlineStr">
        <is>
          <t>5 wt% Re | 200 C</t>
        </is>
      </c>
      <c r="B545" s="8" t="n">
        <v>0.149</v>
      </c>
      <c r="C545" s="6" t="n">
        <v>1252.51472556876</v>
      </c>
      <c r="D545" s="6" t="n">
        <v>50045.01436998737</v>
      </c>
      <c r="E545" s="8" t="n">
        <v>0.02063351545302315</v>
      </c>
      <c r="F545" s="8" t="n">
        <v>0.01107525462504674</v>
      </c>
      <c r="G545" s="6" t="n">
        <v>880.8492043987501</v>
      </c>
      <c r="H545" s="6" t="n">
        <v>28.51223038942236</v>
      </c>
      <c r="I545" s="6" t="n">
        <v>87.75830419154076</v>
      </c>
    </row>
    <row r="546">
      <c r="A546" s="6" t="inlineStr">
        <is>
          <t>5 wt% Re | 200 C</t>
        </is>
      </c>
      <c r="B546" s="8" t="n">
        <v>0.15</v>
      </c>
      <c r="C546" s="6" t="n">
        <v>1254.884286910194</v>
      </c>
      <c r="D546" s="6" t="n">
        <v>49977.38904906553</v>
      </c>
      <c r="E546" s="8" t="n">
        <v>0.02050539952551117</v>
      </c>
      <c r="F546" s="8" t="n">
        <v>0.01098992941732376</v>
      </c>
      <c r="G546" s="6" t="n">
        <v>882.6755977119412</v>
      </c>
      <c r="H546" s="6" t="n">
        <v>28.56227013290824</v>
      </c>
      <c r="I546" s="6" t="n">
        <v>87.90501403803866</v>
      </c>
    </row>
    <row r="547">
      <c r="A547" s="6" t="inlineStr">
        <is>
          <t>5 wt% Re | 200 C</t>
        </is>
      </c>
      <c r="B547" s="8" t="n">
        <v>0.151</v>
      </c>
      <c r="C547" s="6" t="n">
        <v>1257.253596494257</v>
      </c>
      <c r="D547" s="6" t="n">
        <v>49909.90113396355</v>
      </c>
      <c r="E547" s="8" t="n">
        <v>0.02037894763746335</v>
      </c>
      <c r="F547" s="8" t="n">
        <v>0.01090571245988392</v>
      </c>
      <c r="G547" s="6" t="n">
        <v>884.5019910251326</v>
      </c>
      <c r="H547" s="6" t="n">
        <v>28.61231098588862</v>
      </c>
      <c r="I547" s="6" t="n">
        <v>88.05146456383295</v>
      </c>
    </row>
    <row r="548">
      <c r="A548" s="6" t="inlineStr">
        <is>
          <t>5 wt% Re | 200 C</t>
        </is>
      </c>
      <c r="B548" s="8" t="n">
        <v>0.152</v>
      </c>
      <c r="C548" s="6" t="n">
        <v>1259.622656294413</v>
      </c>
      <c r="D548" s="6" t="n">
        <v>49842.54791272445</v>
      </c>
      <c r="E548" s="8" t="n">
        <v>0.02025412757788993</v>
      </c>
      <c r="F548" s="8" t="n">
        <v>0.01082258230020802</v>
      </c>
      <c r="G548" s="6" t="n">
        <v>886.3283843383239</v>
      </c>
      <c r="H548" s="6" t="n">
        <v>28.6623529264656</v>
      </c>
      <c r="I548" s="6" t="n">
        <v>88.19765781670951</v>
      </c>
    </row>
    <row r="549">
      <c r="A549" s="6" t="inlineStr">
        <is>
          <t>5 wt% Re | 200 C</t>
        </is>
      </c>
      <c r="B549" s="8" t="n">
        <v>0.153</v>
      </c>
      <c r="C549" s="6" t="n">
        <v>1261.991468256236</v>
      </c>
      <c r="D549" s="6" t="n">
        <v>49775.3267442921</v>
      </c>
      <c r="E549" s="8" t="n">
        <v>0.02013090796182016</v>
      </c>
      <c r="F549" s="8" t="n">
        <v>0.01074051803590556</v>
      </c>
      <c r="G549" s="6" t="n">
        <v>888.1547776515148</v>
      </c>
      <c r="H549" s="6" t="n">
        <v>28.71239593331374</v>
      </c>
      <c r="I549" s="6" t="n">
        <v>88.34359581521353</v>
      </c>
    </row>
    <row r="550">
      <c r="A550" s="6" t="inlineStr">
        <is>
          <t>5 wt% Re | 200 C</t>
        </is>
      </c>
      <c r="B550" s="8" t="n">
        <v>0.154</v>
      </c>
      <c r="C550" s="6" t="n">
        <v>1264.360034297964</v>
      </c>
      <c r="D550" s="6" t="n">
        <v>49708.23505620924</v>
      </c>
      <c r="E550" s="8" t="n">
        <v>0.02000925820399286</v>
      </c>
      <c r="F550" s="8" t="n">
        <v>0.01065949929719257</v>
      </c>
      <c r="G550" s="6" t="n">
        <v>889.9811709647061</v>
      </c>
      <c r="H550" s="6" t="n">
        <v>28.76243998566155</v>
      </c>
      <c r="I550" s="6" t="n">
        <v>88.48928054924195</v>
      </c>
    </row>
    <row r="551">
      <c r="A551" s="6" t="inlineStr">
        <is>
          <t>5 wt% Re | 200 C</t>
        </is>
      </c>
      <c r="B551" s="8" t="n">
        <v>0.155</v>
      </c>
      <c r="C551" s="6" t="n">
        <v>1266.728356311049</v>
      </c>
      <c r="D551" s="6" t="n">
        <v>49641.27034240457</v>
      </c>
      <c r="E551" s="8" t="n">
        <v>0.01988914849354627</v>
      </c>
      <c r="F551" s="8" t="n">
        <v>0.01057950623003515</v>
      </c>
      <c r="G551" s="6" t="n">
        <v>891.8075642778972</v>
      </c>
      <c r="H551" s="6" t="n">
        <v>28.81248506327351</v>
      </c>
      <c r="I551" s="6" t="n">
        <v>88.63471398062022</v>
      </c>
    </row>
    <row r="552">
      <c r="A552" s="6" t="inlineStr">
        <is>
          <t>5 wt% Re | 200 C</t>
        </is>
      </c>
      <c r="B552" s="8" t="n">
        <v>0.156</v>
      </c>
      <c r="C552" s="6" t="n">
        <v>1269.096436160677</v>
      </c>
      <c r="D552" s="6" t="n">
        <v>49574.43016106505</v>
      </c>
      <c r="E552" s="8" t="n">
        <v>0.01977054976966314</v>
      </c>
      <c r="F552" s="8" t="n">
        <v>0.01050051947992898</v>
      </c>
      <c r="G552" s="6" t="n">
        <v>893.6339575910886</v>
      </c>
      <c r="H552" s="6" t="n">
        <v>28.86253114643303</v>
      </c>
      <c r="I552" s="6" t="n">
        <v>88.77989804366467</v>
      </c>
    </row>
    <row r="553">
      <c r="A553" s="6" t="inlineStr">
        <is>
          <t>5 wt% Re | 200 C</t>
        </is>
      </c>
      <c r="B553" s="8" t="n">
        <v>0.157</v>
      </c>
      <c r="C553" s="6" t="n">
        <v>1271.464275686292</v>
      </c>
      <c r="D553" s="6" t="n">
        <v>49507.71213258945</v>
      </c>
      <c r="E553" s="8" t="n">
        <v>0.01965343369812908</v>
      </c>
      <c r="F553" s="8" t="n">
        <v>0.01042252017628729</v>
      </c>
      <c r="G553" s="6" t="n">
        <v>895.4603509042796</v>
      </c>
      <c r="H553" s="6" t="n">
        <v>28.91257821592583</v>
      </c>
      <c r="I553" s="6" t="n">
        <v>88.92483464572993</v>
      </c>
    </row>
    <row r="554">
      <c r="A554" s="6" t="inlineStr">
        <is>
          <t>5 wt% Re | 200 C</t>
        </is>
      </c>
      <c r="B554" s="8" t="n">
        <v>0.158</v>
      </c>
      <c r="C554" s="6" t="n">
        <v>1273.831876702094</v>
      </c>
      <c r="D554" s="6" t="n">
        <v>49441.11393761959</v>
      </c>
      <c r="E554" s="8" t="n">
        <v>0.01953777264876477</v>
      </c>
      <c r="F554" s="8" t="n">
        <v>0.01034548991741066</v>
      </c>
      <c r="G554" s="6" t="n">
        <v>897.2867442174708</v>
      </c>
      <c r="H554" s="6" t="n">
        <v>28.96262625302404</v>
      </c>
      <c r="I554" s="6" t="n">
        <v>89.06952566774305</v>
      </c>
    </row>
    <row r="555">
      <c r="A555" s="6" t="inlineStr">
        <is>
          <t>5 wt% Re | 200 C</t>
        </is>
      </c>
      <c r="B555" s="8" t="n">
        <v>0.159</v>
      </c>
      <c r="C555" s="6" t="n">
        <v>1276.199240997534</v>
      </c>
      <c r="D555" s="6" t="n">
        <v>49374.63331514591</v>
      </c>
      <c r="E555" s="8" t="n">
        <v>0.01942353967369406</v>
      </c>
      <c r="F555" s="8" t="n">
        <v>0.01026941075601357</v>
      </c>
      <c r="G555" s="6" t="n">
        <v>899.1131375306621</v>
      </c>
      <c r="H555" s="6" t="n">
        <v>29.01267523947096</v>
      </c>
      <c r="I555" s="6" t="n">
        <v>89.21397296472365</v>
      </c>
    </row>
    <row r="556">
      <c r="A556" s="6" t="inlineStr">
        <is>
          <t>5 wt% Re | 200 C</t>
        </is>
      </c>
      <c r="B556" s="8" t="n">
        <v>0.16</v>
      </c>
      <c r="C556" s="6" t="n">
        <v>1278.566370337787</v>
      </c>
      <c r="D556" s="6" t="n">
        <v>49308.26806068412</v>
      </c>
      <c r="E556" s="8" t="n">
        <v>0.01931070848641203</v>
      </c>
      <c r="F556" s="8" t="n">
        <v>0.01019426518528375</v>
      </c>
      <c r="G556" s="6" t="n">
        <v>900.9395308438532</v>
      </c>
      <c r="H556" s="6" t="n">
        <v>29.06272515746632</v>
      </c>
      <c r="I556" s="6" t="n">
        <v>89.35817836629124</v>
      </c>
    </row>
    <row r="557">
      <c r="A557" s="6" t="inlineStr">
        <is>
          <t>5 wt% Re | 200 C</t>
        </is>
      </c>
      <c r="B557" s="8" t="n">
        <v>0.161</v>
      </c>
      <c r="C557" s="6" t="n">
        <v>1280.933266464225</v>
      </c>
      <c r="D557" s="6" t="n">
        <v>49242.01602451971</v>
      </c>
      <c r="E557" s="8" t="n">
        <v>0.01919925344161908</v>
      </c>
      <c r="F557" s="8" t="n">
        <v>0.01012003612545164</v>
      </c>
      <c r="G557" s="6" t="n">
        <v>902.7659241570445</v>
      </c>
      <c r="H557" s="6" t="n">
        <v>29.11277598965205</v>
      </c>
      <c r="I557" s="6" t="n">
        <v>89.50214367715981</v>
      </c>
    </row>
    <row r="558">
      <c r="A558" s="6" t="inlineStr">
        <is>
          <t>5 wt% Re | 200 C</t>
        </is>
      </c>
      <c r="B558" s="8" t="n">
        <v>0.162</v>
      </c>
      <c r="C558" s="6" t="n">
        <v>1283.299931094867</v>
      </c>
      <c r="D558" s="6" t="n">
        <v>49175.87511001756</v>
      </c>
      <c r="E558" s="8" t="n">
        <v>0.01908914951578823</v>
      </c>
      <c r="F558" s="8" t="n">
        <v>0.01004670691084829</v>
      </c>
      <c r="G558" s="6" t="n">
        <v>904.5923174702356</v>
      </c>
      <c r="H558" s="6" t="n">
        <v>29.16282771909873</v>
      </c>
      <c r="I558" s="6" t="n">
        <v>89.64587067761993</v>
      </c>
    </row>
    <row r="559">
      <c r="A559" s="6" t="inlineStr">
        <is>
          <t>5 wt% Re | 200 C</t>
        </is>
      </c>
      <c r="B559" s="8" t="n">
        <v>0.163</v>
      </c>
      <c r="C559" s="6" t="n">
        <v>1285.666365924824</v>
      </c>
      <c r="D559" s="6" t="n">
        <v>49109.84327199368</v>
      </c>
      <c r="E559" s="8" t="n">
        <v>0.01898037228843508</v>
      </c>
      <c r="F559" s="8" t="n">
        <v>0.009974261277431092</v>
      </c>
      <c r="G559" s="6" t="n">
        <v>906.4187107834267</v>
      </c>
      <c r="H559" s="6" t="n">
        <v>29.21288032929232</v>
      </c>
      <c r="I559" s="6" t="n">
        <v>89.78936112400922</v>
      </c>
    </row>
    <row r="560">
      <c r="A560" s="6" t="inlineStr">
        <is>
          <t>5 wt% Re | 200 C</t>
        </is>
      </c>
      <c r="B560" s="8" t="n">
        <v>0.164</v>
      </c>
      <c r="C560" s="6" t="n">
        <v>1288.032572626738</v>
      </c>
      <c r="D560" s="6" t="n">
        <v>49043.91851514664</v>
      </c>
      <c r="E560" s="8" t="n">
        <v>0.0188728979240606</v>
      </c>
      <c r="F560" s="8" t="n">
        <v>0.009902683350757686</v>
      </c>
      <c r="G560" s="6" t="n">
        <v>908.245104096618</v>
      </c>
      <c r="H560" s="6" t="n">
        <v>29.26293380412161</v>
      </c>
      <c r="I560" s="6" t="n">
        <v>89.93261674917093</v>
      </c>
    </row>
    <row r="561">
      <c r="A561" s="6" t="inlineStr">
        <is>
          <t>5 wt% Re | 200 C</t>
        </is>
      </c>
      <c r="B561" s="8" t="n">
        <v>0.165</v>
      </c>
      <c r="C561" s="6" t="n">
        <v>1290.398552851198</v>
      </c>
      <c r="D561" s="6" t="n">
        <v>48978.09889254597</v>
      </c>
      <c r="E561" s="8" t="n">
        <v>0.01876670315473902</v>
      </c>
      <c r="F561" s="8" t="n">
        <v>0.009831957634389515</v>
      </c>
      <c r="G561" s="6" t="n">
        <v>910.0714974098091</v>
      </c>
      <c r="H561" s="6" t="n">
        <v>29.31298812786596</v>
      </c>
      <c r="I561" s="6" t="n">
        <v>90.07563926290157</v>
      </c>
    </row>
    <row r="562">
      <c r="A562" s="6" t="inlineStr">
        <is>
          <t>5 wt% Re | 200 C</t>
        </is>
      </c>
      <c r="B562" s="8" t="n">
        <v>0.166</v>
      </c>
      <c r="C562" s="6" t="n">
        <v>1292.764308227155</v>
      </c>
      <c r="D562" s="6" t="n">
        <v>48912.38250417515</v>
      </c>
      <c r="E562" s="8" t="n">
        <v>0.01866176526332388</v>
      </c>
      <c r="F562" s="8" t="n">
        <v>0.009762068998707036</v>
      </c>
      <c r="G562" s="6" t="n">
        <v>911.8978907230003</v>
      </c>
      <c r="H562" s="6" t="n">
        <v>29.36304328518353</v>
      </c>
      <c r="I562" s="6" t="n">
        <v>90.21843035238739</v>
      </c>
    </row>
    <row r="563">
      <c r="A563" s="6" t="inlineStr">
        <is>
          <t>5 wt% Re | 200 C</t>
        </is>
      </c>
      <c r="B563" s="8" t="n">
        <v>0.167</v>
      </c>
      <c r="C563" s="6" t="n">
        <v>1295.129840362326</v>
      </c>
      <c r="D563" s="6" t="n">
        <v>48846.76749552706</v>
      </c>
      <c r="E563" s="8" t="n">
        <v>0.01855806206724695</v>
      </c>
      <c r="F563" s="8" t="n">
        <v>0.009693002670119801</v>
      </c>
      <c r="G563" s="6" t="n">
        <v>913.7242840361915</v>
      </c>
      <c r="H563" s="6" t="n">
        <v>29.41309926109993</v>
      </c>
      <c r="I563" s="6" t="n">
        <v>90.36099168263026</v>
      </c>
    </row>
    <row r="564">
      <c r="A564" s="6" t="inlineStr">
        <is>
          <t>5 wt% Re | 200 C</t>
        </is>
      </c>
      <c r="B564" s="8" t="n">
        <v>0.168</v>
      </c>
      <c r="C564" s="6" t="n">
        <v>1297.49515084359</v>
      </c>
      <c r="D564" s="6" t="n">
        <v>48781.25205624952</v>
      </c>
      <c r="E564" s="8" t="n">
        <v>0.01845557190288559</v>
      </c>
      <c r="F564" s="8" t="n">
        <v>0.009624744220655132</v>
      </c>
      <c r="G564" s="6" t="n">
        <v>915.5506773493827</v>
      </c>
      <c r="H564" s="6" t="n">
        <v>29.46315604099735</v>
      </c>
      <c r="I564" s="6" t="n">
        <v>90.5033248968636</v>
      </c>
    </row>
    <row r="565">
      <c r="A565" s="6" t="inlineStr">
        <is>
          <t>5 wt% Re | 200 C</t>
        </is>
      </c>
      <c r="B565" s="8" t="n">
        <v>0.169</v>
      </c>
      <c r="C565" s="6" t="n">
        <v>1299.860241237365</v>
      </c>
      <c r="D565" s="6" t="n">
        <v>48715.8344188389</v>
      </c>
      <c r="E565" s="8" t="n">
        <v>0.01835427361047554</v>
      </c>
      <c r="F565" s="8" t="n">
        <v>0.009557279557910034</v>
      </c>
      <c r="G565" s="6" t="n">
        <v>917.3770706625738</v>
      </c>
      <c r="H565" s="6" t="n">
        <v>29.51321361060392</v>
      </c>
      <c r="I565" s="6" t="n">
        <v>90.64543161695799</v>
      </c>
    </row>
    <row r="566">
      <c r="A566" s="6" t="inlineStr">
        <is>
          <t>5 wt% Re | 200 C</t>
        </is>
      </c>
      <c r="B566" s="8" t="n">
        <v>0.17</v>
      </c>
      <c r="C566" s="6" t="n">
        <v>1302.225113089989</v>
      </c>
      <c r="D566" s="6" t="n">
        <v>48650.51285737991</v>
      </c>
      <c r="E566" s="8" t="n">
        <v>0.01825414651954699</v>
      </c>
      <c r="F566" s="8" t="n">
        <v>0.009490594915351626</v>
      </c>
      <c r="G566" s="6" t="n">
        <v>919.2034639757649</v>
      </c>
      <c r="H566" s="6" t="n">
        <v>29.56327195598362</v>
      </c>
      <c r="I566" s="6" t="n">
        <v>90.78731344381723</v>
      </c>
    </row>
    <row r="567">
      <c r="A567" s="6" t="inlineStr">
        <is>
          <t>5 wt% Re | 200 C</t>
        </is>
      </c>
      <c r="B567" s="8" t="n">
        <v>0.171</v>
      </c>
      <c r="C567" s="6" t="n">
        <v>1304.589767928084</v>
      </c>
      <c r="D567" s="6" t="n">
        <v>48585.28568632952</v>
      </c>
      <c r="E567" s="8" t="n">
        <v>0.018155170434863</v>
      </c>
      <c r="F567" s="8" t="n">
        <v>0.009424676842952086</v>
      </c>
      <c r="G567" s="6" t="n">
        <v>921.0298572889561</v>
      </c>
      <c r="H567" s="6" t="n">
        <v>29.61333106352636</v>
      </c>
      <c r="I567" s="6" t="n">
        <v>90.92897195776489</v>
      </c>
    </row>
    <row r="568">
      <c r="A568" s="6" t="inlineStr">
        <is>
          <t>5 wt% Re | 200 C</t>
        </is>
      </c>
      <c r="B568" s="8" t="n">
        <v>0.172</v>
      </c>
      <c r="C568" s="6" t="n">
        <v>1306.954207258916</v>
      </c>
      <c r="D568" s="6" t="n">
        <v>48520.15125934344</v>
      </c>
      <c r="E568" s="8" t="n">
        <v>0.01805732562283992</v>
      </c>
      <c r="F568" s="8" t="n">
        <v>0.00935951219814472</v>
      </c>
      <c r="G568" s="6" t="n">
        <v>922.8562506021472</v>
      </c>
      <c r="H568" s="6" t="n">
        <v>29.66339091993861</v>
      </c>
      <c r="I568" s="6" t="n">
        <v>91.07040871892194</v>
      </c>
    </row>
    <row r="569">
      <c r="A569" s="6" t="inlineStr">
        <is>
          <t>5 wt% Re | 200 C</t>
        </is>
      </c>
      <c r="B569" s="8" t="n">
        <v>0.173</v>
      </c>
      <c r="C569" s="6" t="n">
        <v>1309.31843257074</v>
      </c>
      <c r="D569" s="6" t="n">
        <v>48455.10796814304</v>
      </c>
      <c r="E569" s="8" t="n">
        <v>0.01796059279843094</v>
      </c>
      <c r="F569" s="8" t="n">
        <v>0.00929508813708833</v>
      </c>
      <c r="G569" s="6" t="n">
        <v>924.6826439153386</v>
      </c>
      <c r="H569" s="6" t="n">
        <v>29.71345151223423</v>
      </c>
      <c r="I569" s="6" t="n">
        <v>91.21162526757533</v>
      </c>
    </row>
    <row r="570">
      <c r="A570" s="6" t="inlineStr">
        <is>
          <t>5 wt% Re | 200 C</t>
        </is>
      </c>
      <c r="B570" s="8" t="n">
        <v>0.174</v>
      </c>
      <c r="C570" s="6" t="n">
        <v>1311.682445333145</v>
      </c>
      <c r="D570" s="6" t="n">
        <v>48390.1542414217</v>
      </c>
      <c r="E570" s="8" t="n">
        <v>0.01786495311245422</v>
      </c>
      <c r="F570" s="8" t="n">
        <v>0.009231392106227837</v>
      </c>
      <c r="G570" s="6" t="n">
        <v>926.5090372285295</v>
      </c>
      <c r="H570" s="6" t="n">
        <v>29.76351282772552</v>
      </c>
      <c r="I570" s="6" t="n">
        <v>91.35262312453787</v>
      </c>
    </row>
    <row r="571">
      <c r="A571" s="6" t="inlineStr">
        <is>
          <t>5 wt% Re | 200 C</t>
        </is>
      </c>
      <c r="B571" s="8" t="n">
        <v>0.175</v>
      </c>
      <c r="C571" s="6" t="n">
        <v>1314.046246997388</v>
      </c>
      <c r="D571" s="6" t="n">
        <v>48325.28854378834</v>
      </c>
      <c r="E571" s="8" t="n">
        <v>0.01777038813934828</v>
      </c>
      <c r="F571" s="8" t="n">
        <v>0.009168411834139283</v>
      </c>
      <c r="G571" s="6" t="n">
        <v>928.3354305417209</v>
      </c>
      <c r="H571" s="6" t="n">
        <v>29.81357485401488</v>
      </c>
      <c r="I571" s="6" t="n">
        <v>91.49340379149996</v>
      </c>
    </row>
    <row r="572">
      <c r="A572" s="6" t="inlineStr">
        <is>
          <t>5 wt% Re | 200 C</t>
        </is>
      </c>
      <c r="B572" s="8" t="n">
        <v>0.176</v>
      </c>
      <c r="C572" s="6" t="n">
        <v>1316.409838996717</v>
      </c>
      <c r="D572" s="6" t="n">
        <v>48260.50937474715</v>
      </c>
      <c r="E572" s="8" t="n">
        <v>0.01767687986533783</v>
      </c>
      <c r="F572" s="8" t="n">
        <v>0.009106135323648321</v>
      </c>
      <c r="G572" s="6" t="n">
        <v>930.161823854912</v>
      </c>
      <c r="H572" s="6" t="n">
        <v>29.8636375789864</v>
      </c>
      <c r="I572" s="6" t="n">
        <v>91.63396875137298</v>
      </c>
    </row>
    <row r="573">
      <c r="A573" s="6" t="inlineStr">
        <is>
          <t>5 wt% Re | 200 C</t>
        </is>
      </c>
      <c r="B573" s="8" t="n">
        <v>0.177</v>
      </c>
      <c r="C573" s="6" t="n">
        <v>1318.77322274669</v>
      </c>
      <c r="D573" s="6" t="n">
        <v>48195.81526771183</v>
      </c>
      <c r="E573" s="8" t="n">
        <v>0.01758441067699405</v>
      </c>
      <c r="F573" s="8" t="n">
        <v>0.009044550844211362</v>
      </c>
      <c r="G573" s="6" t="n">
        <v>931.9882171681033</v>
      </c>
      <c r="H573" s="6" t="n">
        <v>29.91370099079804</v>
      </c>
      <c r="I573" s="6" t="n">
        <v>91.77431946862488</v>
      </c>
    </row>
    <row r="574">
      <c r="A574" s="6" t="inlineStr">
        <is>
          <t>5 wt% Re | 200 C</t>
        </is>
      </c>
      <c r="B574" s="8" t="n">
        <v>0.178</v>
      </c>
      <c r="C574" s="6" t="n">
        <v>1321.13639964549</v>
      </c>
      <c r="D574" s="6" t="n">
        <v>48131.20478905305</v>
      </c>
      <c r="E574" s="8" t="n">
        <v>0.01749296335017426</v>
      </c>
      <c r="F574" s="8" t="n">
        <v>0.008983646924549386</v>
      </c>
      <c r="G574" s="6" t="n">
        <v>933.8146104812944</v>
      </c>
      <c r="H574" s="6" t="n">
        <v>29.96376507787383</v>
      </c>
      <c r="I574" s="6" t="n">
        <v>91.91445738960796</v>
      </c>
    </row>
    <row r="575">
      <c r="A575" s="6" t="inlineStr">
        <is>
          <t>5 wt% Re | 200 C</t>
        </is>
      </c>
      <c r="B575" s="8" t="n">
        <v>0.179</v>
      </c>
      <c r="C575" s="6" t="n">
        <v>1323.499371074226</v>
      </c>
      <c r="D575" s="6" t="n">
        <v>48066.67653717792</v>
      </c>
      <c r="E575" s="8" t="n">
        <v>0.01740252103932614</v>
      </c>
      <c r="F575" s="8" t="n">
        <v>0.008923412345524536</v>
      </c>
      <c r="G575" s="6" t="n">
        <v>935.6410037944858</v>
      </c>
      <c r="H575" s="6" t="n">
        <v>30.01382982889651</v>
      </c>
      <c r="I575" s="6" t="n">
        <v>92.05438394287926</v>
      </c>
    </row>
    <row r="576">
      <c r="A576" s="6" t="inlineStr">
        <is>
          <t>5 wt% Re | 200 C</t>
        </is>
      </c>
      <c r="B576" s="8" t="n">
        <v>0.18</v>
      </c>
      <c r="C576" s="6" t="n">
        <v>1325.862138397228</v>
      </c>
      <c r="D576" s="6" t="n">
        <v>48002.22914164005</v>
      </c>
      <c r="E576" s="8" t="n">
        <v>0.01731306726714271</v>
      </c>
      <c r="F576" s="8" t="n">
        <v>0.008863836133250374</v>
      </c>
      <c r="G576" s="6" t="n">
        <v>937.4673971076768</v>
      </c>
      <c r="H576" s="6" t="n">
        <v>30.06389523280026</v>
      </c>
      <c r="I576" s="6" t="n">
        <v>92.19410053951366</v>
      </c>
    </row>
    <row r="577">
      <c r="A577" s="6" t="inlineStr">
        <is>
          <t>5 wt% Re | 200 C</t>
        </is>
      </c>
      <c r="B577" s="8" t="n">
        <v>0.181</v>
      </c>
      <c r="C577" s="6" t="n">
        <v>1328.224702962345</v>
      </c>
      <c r="D577" s="6" t="n">
        <v>47937.86126227912</v>
      </c>
      <c r="E577" s="8" t="n">
        <v>0.01722458591455468</v>
      </c>
      <c r="F577" s="8" t="n">
        <v>0.00880490755242674</v>
      </c>
      <c r="G577" s="6" t="n">
        <v>939.2937904208682</v>
      </c>
      <c r="H577" s="6" t="n">
        <v>30.11396127876389</v>
      </c>
      <c r="I577" s="6" t="n">
        <v>92.33360857340992</v>
      </c>
    </row>
    <row r="578">
      <c r="A578" s="6" t="inlineStr">
        <is>
          <t>5 wt% Re | 200 C</t>
        </is>
      </c>
      <c r="B578" s="8" t="n">
        <v>0.182</v>
      </c>
      <c r="C578" s="6" t="n">
        <v>1330.587066101222</v>
      </c>
      <c r="D578" s="6" t="n">
        <v>47873.57158838896</v>
      </c>
      <c r="E578" s="8" t="n">
        <v>0.01713706121104737</v>
      </c>
      <c r="F578" s="8" t="n">
        <v>0.008746616099890876</v>
      </c>
      <c r="G578" s="6" t="n">
        <v>941.1201837340592</v>
      </c>
      <c r="H578" s="6" t="n">
        <v>30.16402795620396</v>
      </c>
      <c r="I578" s="6" t="n">
        <v>92.47290942158968</v>
      </c>
    </row>
    <row r="579">
      <c r="A579" s="6" t="inlineStr">
        <is>
          <t>5 wt% Re | 200 C</t>
        </is>
      </c>
      <c r="B579" s="8" t="n">
        <v>0.183</v>
      </c>
      <c r="C579" s="6" t="n">
        <v>1332.949229129584</v>
      </c>
      <c r="D579" s="6" t="n">
        <v>47809.35883791266</v>
      </c>
      <c r="E579" s="8" t="n">
        <v>0.01705047772529011</v>
      </c>
      <c r="F579" s="8" t="n">
        <v>0.008688951498376542</v>
      </c>
      <c r="G579" s="6" t="n">
        <v>942.9465770472505</v>
      </c>
      <c r="H579" s="6" t="n">
        <v>30.21409525476843</v>
      </c>
      <c r="I579" s="6" t="n">
        <v>92.61200444449001</v>
      </c>
    </row>
    <row r="580">
      <c r="A580" s="6" t="inlineStr">
        <is>
          <t>5 wt% Re | 200 C</t>
        </is>
      </c>
      <c r="B580" s="8" t="n">
        <v>0.184</v>
      </c>
      <c r="C580" s="6" t="n">
        <v>1335.311193347502</v>
      </c>
      <c r="D580" s="6" t="n">
        <v>47745.2217566641</v>
      </c>
      <c r="E580" s="8" t="n">
        <v>0.01696482035606622</v>
      </c>
      <c r="F580" s="8" t="n">
        <v>0.00863190369047343</v>
      </c>
      <c r="G580" s="6" t="n">
        <v>944.7729703604414</v>
      </c>
      <c r="H580" s="6" t="n">
        <v>30.26416316433024</v>
      </c>
      <c r="I580" s="6" t="n">
        <v>92.75089498624924</v>
      </c>
    </row>
    <row r="581">
      <c r="A581" s="6" t="inlineStr">
        <is>
          <t>5 wt% Re | 200 C</t>
        </is>
      </c>
      <c r="B581" s="8" t="n">
        <v>0.185</v>
      </c>
      <c r="C581" s="6" t="n">
        <v>1337.672960039667</v>
      </c>
      <c r="D581" s="6" t="n">
        <v>47681.15911757476</v>
      </c>
      <c r="E581" s="8" t="n">
        <v>0.01688007432349253</v>
      </c>
      <c r="F581" s="8" t="n">
        <v>0.008575462832779351</v>
      </c>
      <c r="G581" s="6" t="n">
        <v>946.599363673633</v>
      </c>
      <c r="H581" s="6" t="n">
        <v>30.31423167498135</v>
      </c>
      <c r="I581" s="6" t="n">
        <v>92.88958237498665</v>
      </c>
    </row>
    <row r="582">
      <c r="A582" s="6" t="inlineStr">
        <is>
          <t>5 wt% Re | 200 C</t>
        </is>
      </c>
      <c r="B582" s="8" t="n">
        <v>0.186</v>
      </c>
      <c r="C582" s="6" t="n">
        <v>1340.03453047564</v>
      </c>
      <c r="D582" s="6" t="n">
        <v>47617.16971996462</v>
      </c>
      <c r="E582" s="8" t="n">
        <v>0.0167962251605177</v>
      </c>
      <c r="F582" s="8" t="n">
        <v>0.008519619290238121</v>
      </c>
      <c r="G582" s="6" t="n">
        <v>948.4257569868239</v>
      </c>
      <c r="H582" s="6" t="n">
        <v>30.36430077702675</v>
      </c>
      <c r="I582" s="6" t="n">
        <v>93.02806792307568</v>
      </c>
    </row>
    <row r="583">
      <c r="A583" s="6" t="inlineStr">
        <is>
          <t>5 wt% Re | 200 C</t>
        </is>
      </c>
      <c r="B583" s="8" t="n">
        <v>0.187</v>
      </c>
      <c r="C583" s="6" t="n">
        <v>1342.395905910116</v>
      </c>
      <c r="D583" s="6" t="n">
        <v>47553.2523888367</v>
      </c>
      <c r="E583" s="8" t="n">
        <v>0.01671325870468903</v>
      </c>
      <c r="F583" s="8" t="n">
        <v>0.008464363630656224</v>
      </c>
      <c r="G583" s="6" t="n">
        <v>950.2521503000154</v>
      </c>
      <c r="H583" s="6" t="n">
        <v>30.41437046097886</v>
      </c>
      <c r="I583" s="6" t="n">
        <v>93.16635292741165</v>
      </c>
    </row>
    <row r="584">
      <c r="A584" s="6" t="inlineStr">
        <is>
          <t>5 wt% Re | 200 C</t>
        </is>
      </c>
      <c r="B584" s="8" t="n">
        <v>0.188</v>
      </c>
      <c r="C584" s="6" t="n">
        <v>1344.757087583165</v>
      </c>
      <c r="D584" s="6" t="n">
        <v>47489.40597419395</v>
      </c>
      <c r="E584" s="8" t="n">
        <v>0.01663116109017786</v>
      </c>
      <c r="F584" s="8" t="n">
        <v>0.008409686619391786</v>
      </c>
      <c r="G584" s="6" t="n">
        <v>952.0785436132061</v>
      </c>
      <c r="H584" s="6" t="n">
        <v>30.46444071755189</v>
      </c>
      <c r="I584" s="6" t="n">
        <v>93.30443866967289</v>
      </c>
    </row>
    <row r="585">
      <c r="A585" s="6" t="inlineStr">
        <is>
          <t>5 wt% Re | 200 C</t>
        </is>
      </c>
      <c r="B585" s="8" t="n">
        <v>0.189</v>
      </c>
      <c r="C585" s="6" t="n">
        <v>1347.118076720486</v>
      </c>
      <c r="D585" s="6" t="n">
        <v>47425.62935037785</v>
      </c>
      <c r="E585" s="8" t="n">
        <v>0.01654991874005431</v>
      </c>
      <c r="F585" s="8" t="n">
        <v>0.008355579214209499</v>
      </c>
      <c r="G585" s="6" t="n">
        <v>953.9049369263977</v>
      </c>
      <c r="H585" s="6" t="n">
        <v>30.51451153765668</v>
      </c>
      <c r="I585" s="6" t="n">
        <v>93.44232641657709</v>
      </c>
    </row>
    <row r="586">
      <c r="A586" s="6" t="inlineStr">
        <is>
          <t>5 wt% Re | 200 C</t>
        </is>
      </c>
      <c r="B586" s="8" t="n">
        <v>0.19</v>
      </c>
      <c r="C586" s="6" t="n">
        <v>1349.478874533633</v>
      </c>
      <c r="D586" s="6" t="n">
        <v>47361.92141542803</v>
      </c>
      <c r="E586" s="8" t="n">
        <v>0.01646951835880213</v>
      </c>
      <c r="F586" s="8" t="n">
        <v>0.008302032560295545</v>
      </c>
      <c r="G586" s="6" t="n">
        <v>955.7313302395886</v>
      </c>
      <c r="H586" s="6" t="n">
        <v>30.56458291239531</v>
      </c>
      <c r="I586" s="6" t="n">
        <v>93.58001742013118</v>
      </c>
    </row>
    <row r="587">
      <c r="A587" s="6" t="inlineStr">
        <is>
          <t>5 wt% Re | 200 C</t>
        </is>
      </c>
      <c r="B587" s="8" t="n">
        <v>0.191</v>
      </c>
      <c r="C587" s="6" t="n">
        <v>1351.839482220257</v>
      </c>
      <c r="D587" s="6" t="n">
        <v>47298.28109046172</v>
      </c>
      <c r="E587" s="8" t="n">
        <v>0.01638994692506506</v>
      </c>
      <c r="F587" s="8" t="n">
        <v>0.008249037985426659</v>
      </c>
      <c r="G587" s="6" t="n">
        <v>957.55772355278</v>
      </c>
      <c r="H587" s="6" t="n">
        <v>30.61465483305628</v>
      </c>
      <c r="I587" s="6" t="n">
        <v>93.71751291787669</v>
      </c>
    </row>
    <row r="588">
      <c r="A588" s="6" t="inlineStr">
        <is>
          <t>5 wt% Re | 200 C</t>
        </is>
      </c>
      <c r="B588" s="8" t="n">
        <v>0.192</v>
      </c>
      <c r="C588" s="6" t="n">
        <v>1354.199900964332</v>
      </c>
      <c r="D588" s="6" t="n">
        <v>47234.70731907296</v>
      </c>
      <c r="E588" s="8" t="n">
        <v>0.01631119168461652</v>
      </c>
      <c r="F588" s="8" t="n">
        <v>0.008196586995287932</v>
      </c>
      <c r="G588" s="6" t="n">
        <v>959.384116865971</v>
      </c>
      <c r="H588" s="6" t="n">
        <v>30.66472729110951</v>
      </c>
      <c r="I588" s="6" t="n">
        <v>93.85481413312907</v>
      </c>
    </row>
    <row r="589">
      <c r="A589" s="6" t="inlineStr">
        <is>
          <t>5 wt% Re | 200 C</t>
        </is>
      </c>
      <c r="B589" s="8" t="n">
        <v>0.193</v>
      </c>
      <c r="C589" s="6" t="n">
        <v>1356.560131936381</v>
      </c>
      <c r="D589" s="6" t="n">
        <v>47171.19906675017</v>
      </c>
      <c r="E589" s="8" t="n">
        <v>0.01623324014354435</v>
      </c>
      <c r="F589" s="8" t="n">
        <v>0.008144671268933866</v>
      </c>
      <c r="G589" s="6" t="n">
        <v>961.2105101791625</v>
      </c>
      <c r="H589" s="6" t="n">
        <v>30.71480027820184</v>
      </c>
      <c r="I589" s="6" t="n">
        <v>93.99192227521259</v>
      </c>
    </row>
    <row r="590">
      <c r="A590" s="6" t="inlineStr">
        <is>
          <t>5 wt% Re | 200 C</t>
        </is>
      </c>
      <c r="B590" s="8" t="n">
        <v>0.194</v>
      </c>
      <c r="C590" s="6" t="n">
        <v>1358.920176293687</v>
      </c>
      <c r="D590" s="6" t="n">
        <v>47107.75532031192</v>
      </c>
      <c r="E590" s="8" t="n">
        <v>0.01615608006164328</v>
      </c>
      <c r="F590" s="8" t="n">
        <v>0.008093282654387756</v>
      </c>
      <c r="G590" s="6" t="n">
        <v>963.0369034923534</v>
      </c>
      <c r="H590" s="6" t="n">
        <v>30.76487378615215</v>
      </c>
      <c r="I590" s="6" t="n">
        <v>94.12883853968964</v>
      </c>
    </row>
    <row r="591">
      <c r="A591" s="6" t="inlineStr">
        <is>
          <t>5 wt% Re | 200 C</t>
        </is>
      </c>
      <c r="B591" s="8" t="n">
        <v>0.195</v>
      </c>
      <c r="C591" s="6" t="n">
        <v>1361.280035180517</v>
      </c>
      <c r="D591" s="6" t="n">
        <v>47044.37508735998</v>
      </c>
      <c r="E591" s="8" t="n">
        <v>0.01607969944600762</v>
      </c>
      <c r="F591" s="8" t="n">
        <v>0.008042413164374401</v>
      </c>
      <c r="G591" s="6" t="n">
        <v>964.8632968055446</v>
      </c>
      <c r="H591" s="6" t="n">
        <v>30.81494780694731</v>
      </c>
      <c r="I591" s="6" t="n">
        <v>94.26556410858569</v>
      </c>
    </row>
    <row r="592">
      <c r="A592" s="6" t="inlineStr">
        <is>
          <t>5 wt% Re | 200 C</t>
        </is>
      </c>
      <c r="B592" s="8" t="n">
        <v>0.196</v>
      </c>
      <c r="C592" s="6" t="n">
        <v>1363.639709728328</v>
      </c>
      <c r="D592" s="6" t="n">
        <v>46981.05739574917</v>
      </c>
      <c r="E592" s="8" t="n">
        <v>0.01600408654481708</v>
      </c>
      <c r="F592" s="8" t="n">
        <v>0.007992054972181504</v>
      </c>
      <c r="G592" s="6" t="n">
        <v>966.6896901187355</v>
      </c>
      <c r="H592" s="6" t="n">
        <v>30.86502233273762</v>
      </c>
      <c r="I592" s="6" t="n">
        <v>94.40210015060921</v>
      </c>
    </row>
    <row r="593">
      <c r="A593" s="6" t="inlineStr">
        <is>
          <t>5 wt% Re | 200 C</t>
        </is>
      </c>
      <c r="B593" s="8" t="n">
        <v>0.197</v>
      </c>
      <c r="C593" s="6" t="n">
        <v>1365.999201055972</v>
      </c>
      <c r="D593" s="6" t="n">
        <v>46917.80129307324</v>
      </c>
      <c r="E593" s="8" t="n">
        <v>0.01592922984130915</v>
      </c>
      <c r="F593" s="8" t="n">
        <v>0.007942200407645221</v>
      </c>
      <c r="G593" s="6" t="n">
        <v>968.516083431927</v>
      </c>
      <c r="H593" s="6" t="n">
        <v>30.91509735583283</v>
      </c>
      <c r="I593" s="6" t="n">
        <v>94.53844782136709</v>
      </c>
    </row>
    <row r="594">
      <c r="A594" s="6" t="inlineStr">
        <is>
          <t>5 wt% Re | 200 C</t>
        </is>
      </c>
      <c r="B594" s="8" t="n">
        <v>0.198</v>
      </c>
      <c r="C594" s="6" t="n">
        <v>1368.358510269895</v>
      </c>
      <c r="D594" s="6" t="n">
        <v>46854.60584616656</v>
      </c>
      <c r="E594" s="8" t="n">
        <v>0.01585511804793132</v>
      </c>
      <c r="F594" s="8" t="n">
        <v>0.00789284195325559</v>
      </c>
      <c r="G594" s="6" t="n">
        <v>970.342476745118</v>
      </c>
      <c r="H594" s="6" t="n">
        <v>30.96517286869799</v>
      </c>
      <c r="I594" s="6" t="n">
        <v>94.67460826357549</v>
      </c>
    </row>
    <row r="595">
      <c r="A595" s="6" t="inlineStr">
        <is>
          <t>5 wt% Re | 200 C</t>
        </is>
      </c>
      <c r="B595" s="8" t="n">
        <v>0.199</v>
      </c>
      <c r="C595" s="6" t="n">
        <v>1370.71763846434</v>
      </c>
      <c r="D595" s="6" t="n">
        <v>46791.47014062051</v>
      </c>
      <c r="E595" s="8" t="n">
        <v>0.01578174010066708</v>
      </c>
      <c r="F595" s="8" t="n">
        <v>0.007843972240377606</v>
      </c>
      <c r="G595" s="6" t="n">
        <v>972.1688700583094</v>
      </c>
      <c r="H595" s="6" t="n">
        <v>31.01524886394965</v>
      </c>
      <c r="I595" s="6" t="n">
        <v>94.81058260726641</v>
      </c>
    </row>
    <row r="596">
      <c r="A596" s="6" t="inlineStr">
        <is>
          <t>5 wt% Re | 200 C</t>
        </is>
      </c>
      <c r="B596" s="8" t="n">
        <v>0.2</v>
      </c>
      <c r="C596" s="6" t="n">
        <v>1373.076586721535</v>
      </c>
      <c r="D596" s="6" t="n">
        <v>46728.3932803147</v>
      </c>
      <c r="E596" s="8" t="n">
        <v>0.0157090851535296</v>
      </c>
      <c r="F596" s="8" t="n">
        <v>0.007795584045584046</v>
      </c>
      <c r="G596" s="6" t="n">
        <v>973.9952633715003</v>
      </c>
      <c r="H596" s="6" t="n">
        <v>31.065325334352</v>
      </c>
      <c r="I596" s="6" t="n">
        <v>94.94637196999003</v>
      </c>
    </row>
    <row r="597">
      <c r="A597" s="6" t="inlineStr">
        <is>
          <t>5 wt% Re | 200 C</t>
        </is>
      </c>
      <c r="B597" s="8" t="n">
        <v>0.201</v>
      </c>
      <c r="C597" s="6" t="n">
        <v>1375.435356111885</v>
      </c>
      <c r="D597" s="6" t="n">
        <v>46665.37438696195</v>
      </c>
      <c r="E597" s="8" t="n">
        <v>0.01563714257321739</v>
      </c>
      <c r="F597" s="8" t="n">
        <v>0.007747670287096112</v>
      </c>
      <c r="G597" s="6" t="n">
        <v>975.8216566846917</v>
      </c>
      <c r="H597" s="6" t="n">
        <v>31.11540227281323</v>
      </c>
      <c r="I597" s="6" t="n">
        <v>95.0819774570126</v>
      </c>
    </row>
    <row r="598">
      <c r="A598" s="6" t="inlineStr">
        <is>
          <t>5 wt% Re | 200 C</t>
        </is>
      </c>
      <c r="B598" s="8" t="n">
        <v>0.202</v>
      </c>
      <c r="C598" s="6" t="n">
        <v>1377.793947694155</v>
      </c>
      <c r="D598" s="6" t="n">
        <v>46602.41259966695</v>
      </c>
      <c r="E598" s="8" t="n">
        <v>0.0155659019339264</v>
      </c>
      <c r="F598" s="8" t="n">
        <v>0.007700224021328312</v>
      </c>
      <c r="G598" s="6" t="n">
        <v>977.6480499978828</v>
      </c>
      <c r="H598" s="6" t="n">
        <v>31.16547967238199</v>
      </c>
      <c r="I598" s="6" t="n">
        <v>95.21740016151087</v>
      </c>
    </row>
    <row r="599">
      <c r="A599" s="6" t="inlineStr">
        <is>
          <t>5 wt% Re | 200 C</t>
        </is>
      </c>
      <c r="B599" s="8" t="n">
        <v>0.203</v>
      </c>
      <c r="C599" s="6" t="n">
        <v>1380.152362515657</v>
      </c>
      <c r="D599" s="6" t="n">
        <v>46539.50707449777</v>
      </c>
      <c r="E599" s="8" t="n">
        <v>0.01549535301231322</v>
      </c>
      <c r="F599" s="8" t="n">
        <v>0.007653238439533935</v>
      </c>
      <c r="G599" s="6" t="n">
        <v>979.4744433110741</v>
      </c>
      <c r="H599" s="6" t="n">
        <v>31.2155575262439</v>
      </c>
      <c r="I599" s="6" t="n">
        <v>95.35264116476169</v>
      </c>
    </row>
    <row r="600">
      <c r="A600" s="6" t="inlineStr">
        <is>
          <t>5 wt% Re | 200 C</t>
        </is>
      </c>
      <c r="B600" s="8" t="n">
        <v>0.204</v>
      </c>
      <c r="C600" s="6" t="n">
        <v>1382.510601612418</v>
      </c>
      <c r="D600" s="6" t="n">
        <v>46476.65698407023</v>
      </c>
      <c r="E600" s="8" t="n">
        <v>0.01542548578260432</v>
      </c>
      <c r="F600" s="8" t="n">
        <v>0.00760670686454781</v>
      </c>
      <c r="G600" s="6" t="n">
        <v>981.3008366242652</v>
      </c>
      <c r="H600" s="6" t="n">
        <v>31.26563582771813</v>
      </c>
      <c r="I600" s="6" t="n">
        <v>95.48770153632863</v>
      </c>
    </row>
    <row r="601">
      <c r="A601" s="6" t="inlineStr">
        <is>
          <t>5 wt% Re | 200 C</t>
        </is>
      </c>
      <c r="B601" s="8" t="n">
        <v>0.205</v>
      </c>
      <c r="C601" s="6" t="n">
        <v>1384.868666009365</v>
      </c>
      <c r="D601" s="6" t="n">
        <v>46413.8615171442</v>
      </c>
      <c r="E601" s="8" t="n">
        <v>0.01535629041184634</v>
      </c>
      <c r="F601" s="8" t="n">
        <v>0.00756062274762299</v>
      </c>
      <c r="G601" s="6" t="n">
        <v>983.1272299374561</v>
      </c>
      <c r="H601" s="6" t="n">
        <v>31.31571457025429</v>
      </c>
      <c r="I601" s="6" t="n">
        <v>95.62258233424423</v>
      </c>
    </row>
    <row r="602">
      <c r="A602" s="6" t="inlineStr">
        <is>
          <t>5 wt% Re | 200 C</t>
        </is>
      </c>
      <c r="B602" s="8" t="n">
        <v>0.206</v>
      </c>
      <c r="C602" s="6" t="n">
        <v>1387.226556720491</v>
      </c>
      <c r="D602" s="6" t="n">
        <v>46351.11987823179</v>
      </c>
      <c r="E602" s="8" t="n">
        <v>0.01528775725529274</v>
      </c>
      <c r="F602" s="8" t="n">
        <v>0.007514979665358298</v>
      </c>
      <c r="G602" s="6" t="n">
        <v>984.9536232506476</v>
      </c>
      <c r="H602" s="6" t="n">
        <v>31.36579374742914</v>
      </c>
      <c r="I602" s="6" t="n">
        <v>95.75728460518906</v>
      </c>
    </row>
    <row r="603">
      <c r="A603" s="6" t="inlineStr">
        <is>
          <t>5 wt% Re | 200 C</t>
        </is>
      </c>
      <c r="B603" s="8" t="n">
        <v>0.207</v>
      </c>
      <c r="C603" s="6" t="n">
        <v>1389.584274749019</v>
      </c>
      <c r="D603" s="6" t="n">
        <v>46288.43128721687</v>
      </c>
      <c r="E603" s="8" t="n">
        <v>0.01521987685192238</v>
      </c>
      <c r="F603" s="8" t="n">
        <v>0.007469771316713637</v>
      </c>
      <c r="G603" s="6" t="n">
        <v>986.7800165638387</v>
      </c>
      <c r="H603" s="6" t="n">
        <v>31.41587335294357</v>
      </c>
      <c r="I603" s="6" t="n">
        <v>95.89180938466652</v>
      </c>
    </row>
    <row r="604">
      <c r="A604" s="6" t="inlineStr">
        <is>
          <t>5 wt% Re | 200 C</t>
        </is>
      </c>
      <c r="B604" s="8" t="n">
        <v>0.208</v>
      </c>
      <c r="C604" s="6" t="n">
        <v>1391.941821087575</v>
      </c>
      <c r="D604" s="6" t="n">
        <v>46225.79497898553</v>
      </c>
      <c r="E604" s="8" t="n">
        <v>0.01515263992008537</v>
      </c>
      <c r="F604" s="8" t="n">
        <v>0.007424991520110188</v>
      </c>
      <c r="G604" s="6" t="n">
        <v>988.6064098770298</v>
      </c>
      <c r="H604" s="6" t="n">
        <v>31.46595338061959</v>
      </c>
      <c r="I604" s="6" t="n">
        <v>96.02615769717499</v>
      </c>
    </row>
    <row r="605">
      <c r="A605" s="6" t="inlineStr">
        <is>
          <t>5 wt% Re | 200 C</t>
        </is>
      </c>
      <c r="B605" s="8" t="n">
        <v>0.209</v>
      </c>
      <c r="C605" s="6" t="n">
        <v>1394.299196718341</v>
      </c>
      <c r="D605" s="6" t="n">
        <v>46163.2102030672</v>
      </c>
      <c r="E605" s="8" t="n">
        <v>0.01508603735327231</v>
      </c>
      <c r="F605" s="8" t="n">
        <v>0.007380634210612689</v>
      </c>
      <c r="G605" s="6" t="n">
        <v>990.4328031902211</v>
      </c>
      <c r="H605" s="6" t="n">
        <v>31.51603382439748</v>
      </c>
      <c r="I605" s="6" t="n">
        <v>96.16033055637598</v>
      </c>
    </row>
    <row r="606">
      <c r="A606" s="6" t="inlineStr">
        <is>
          <t>5 wt% Re | 200 C</t>
        </is>
      </c>
      <c r="B606" s="8" t="n">
        <v>0.21</v>
      </c>
      <c r="C606" s="6" t="n">
        <v>1396.656402613217</v>
      </c>
      <c r="D606" s="6" t="n">
        <v>46100.67622328596</v>
      </c>
      <c r="E606" s="8" t="n">
        <v>0.01502006021600264</v>
      </c>
      <c r="F606" s="8" t="n">
        <v>0.00733669343719109</v>
      </c>
      <c r="G606" s="6" t="n">
        <v>992.2591965034123</v>
      </c>
      <c r="H606" s="6" t="n">
        <v>31.56611467833295</v>
      </c>
      <c r="I606" s="6" t="n">
        <v>96.29432896525908</v>
      </c>
    </row>
    <row r="607">
      <c r="A607" s="6" t="inlineStr">
        <is>
          <t>5 wt% Re | 200 C</t>
        </is>
      </c>
      <c r="B607" s="8" t="n">
        <v>0.211</v>
      </c>
      <c r="C607" s="6" t="n">
        <v>1399.013439733974</v>
      </c>
      <c r="D607" s="6" t="n">
        <v>46038.19231742188</v>
      </c>
      <c r="E607" s="8" t="n">
        <v>0.01495469973982831</v>
      </c>
      <c r="F607" s="8" t="n">
        <v>0.007293163360058983</v>
      </c>
      <c r="G607" s="6" t="n">
        <v>994.0855898166036</v>
      </c>
      <c r="H607" s="6" t="n">
        <v>31.61619593659432</v>
      </c>
      <c r="I607" s="6" t="n">
        <v>96.42815391630378</v>
      </c>
    </row>
    <row r="608">
      <c r="A608" s="6" t="inlineStr">
        <is>
          <t>5 wt% Re | 200 C</t>
        </is>
      </c>
      <c r="B608" s="8" t="n">
        <v>0.212</v>
      </c>
      <c r="C608" s="6" t="n">
        <v>1401.370309032408</v>
      </c>
      <c r="D608" s="6" t="n">
        <v>45975.75777688176</v>
      </c>
      <c r="E608" s="8" t="n">
        <v>0.01488994731944896</v>
      </c>
      <c r="F608" s="8" t="n">
        <v>0.007250038248086335</v>
      </c>
      <c r="G608" s="6" t="n">
        <v>995.9119831297947</v>
      </c>
      <c r="H608" s="6" t="n">
        <v>31.66627759346004</v>
      </c>
      <c r="I608" s="6" t="n">
        <v>96.56180639163802</v>
      </c>
    </row>
    <row r="609">
      <c r="A609" s="6" t="inlineStr">
        <is>
          <t>5 wt% Re | 200 C</t>
        </is>
      </c>
      <c r="B609" s="8" t="n">
        <v>0.213</v>
      </c>
      <c r="C609" s="6" t="n">
        <v>1403.727011450484</v>
      </c>
      <c r="D609" s="6" t="n">
        <v>45913.37190637938</v>
      </c>
      <c r="E609" s="8" t="n">
        <v>0.01482579450893505</v>
      </c>
      <c r="F609" s="8" t="n">
        <v>0.007207312476284071</v>
      </c>
      <c r="G609" s="6" t="n">
        <v>997.7383764429859</v>
      </c>
      <c r="H609" s="6" t="n">
        <v>31.71635964331595</v>
      </c>
      <c r="I609" s="6" t="n">
        <v>96.69528736319369</v>
      </c>
    </row>
    <row r="610">
      <c r="A610" s="6" t="inlineStr">
        <is>
          <t>5 wt% Re | 200 C</t>
        </is>
      </c>
      <c r="B610" s="8" t="n">
        <v>0.214</v>
      </c>
      <c r="C610" s="6" t="n">
        <v>1406.083547920489</v>
      </c>
      <c r="D610" s="6" t="n">
        <v>45851.03402362447</v>
      </c>
      <c r="E610" s="8" t="n">
        <v>0.01476223301805541</v>
      </c>
      <c r="F610" s="8" t="n">
        <v>0.007164980523358229</v>
      </c>
      <c r="G610" s="6" t="n">
        <v>999.5647697561772</v>
      </c>
      <c r="H610" s="6" t="n">
        <v>31.76644208065285</v>
      </c>
      <c r="I610" s="6" t="n">
        <v>96.82859779285911</v>
      </c>
    </row>
    <row r="611">
      <c r="A611" s="6" t="inlineStr">
        <is>
          <t>5 wt% Re | 200 C</t>
        </is>
      </c>
      <c r="B611" s="8" t="n">
        <v>0.215</v>
      </c>
      <c r="C611" s="6" t="n">
        <v>1408.439919365168</v>
      </c>
      <c r="D611" s="6" t="n">
        <v>45788.74345902055</v>
      </c>
      <c r="E611" s="8" t="n">
        <v>0.01469925470870586</v>
      </c>
      <c r="F611" s="8" t="n">
        <v>0.007123036969331435</v>
      </c>
      <c r="G611" s="6" t="n">
        <v>1001.391163069368</v>
      </c>
      <c r="H611" s="6" t="n">
        <v>31.81652490006401</v>
      </c>
      <c r="I611" s="6" t="n">
        <v>96.96173863262862</v>
      </c>
    </row>
    <row r="612">
      <c r="A612" s="6" t="inlineStr">
        <is>
          <t>5 wt% Re | 200 C</t>
        </is>
      </c>
      <c r="B612" s="8" t="n">
        <v>0.216</v>
      </c>
      <c r="C612" s="6" t="n">
        <v>1410.796126697872</v>
      </c>
      <c r="D612" s="6" t="n">
        <v>45726.49955537108</v>
      </c>
      <c r="E612" s="8" t="n">
        <v>0.01463685159143576</v>
      </c>
      <c r="F612" s="8" t="n">
        <v>0.007081476493229549</v>
      </c>
      <c r="G612" s="6" t="n">
        <v>1003.217556382559</v>
      </c>
      <c r="H612" s="6" t="n">
        <v>31.86660809624287</v>
      </c>
      <c r="I612" s="6" t="n">
        <v>97.09471082474903</v>
      </c>
    </row>
    <row r="613">
      <c r="A613" s="6" t="inlineStr">
        <is>
          <t>5 wt% Re | 200 C</t>
        </is>
      </c>
      <c r="B613" s="8" t="n">
        <v>0.217</v>
      </c>
      <c r="C613" s="6" t="n">
        <v>1413.152170822687</v>
      </c>
      <c r="D613" s="6" t="n">
        <v>45664.30166759378</v>
      </c>
      <c r="E613" s="8" t="n">
        <v>0.01457501582206917</v>
      </c>
      <c r="F613" s="8" t="n">
        <v>0.007040293870831397</v>
      </c>
      <c r="G613" s="6" t="n">
        <v>1005.04394969575</v>
      </c>
      <c r="H613" s="6" t="n">
        <v>31.91669166398063</v>
      </c>
      <c r="I613" s="6" t="n">
        <v>97.2275153018636</v>
      </c>
    </row>
    <row r="614">
      <c r="A614" s="6" t="inlineStr">
        <is>
          <t>5 wt% Re | 200 C</t>
        </is>
      </c>
      <c r="B614" s="8" t="n">
        <v>0.218</v>
      </c>
      <c r="C614" s="6" t="n">
        <v>1415.508052634576</v>
      </c>
      <c r="D614" s="6" t="n">
        <v>45602.14916244264</v>
      </c>
      <c r="E614" s="8" t="n">
        <v>0.01451373969841786</v>
      </c>
      <c r="F614" s="8" t="n">
        <v>0.006999483972479623</v>
      </c>
      <c r="G614" s="6" t="n">
        <v>1006.870343008942</v>
      </c>
      <c r="H614" s="6" t="n">
        <v>31.96677559816412</v>
      </c>
      <c r="I614" s="6" t="n">
        <v>97.36015298715321</v>
      </c>
    </row>
    <row r="615">
      <c r="A615" s="6" t="inlineStr">
        <is>
          <t>5 wt% Re | 200 C</t>
        </is>
      </c>
      <c r="B615" s="8" t="n">
        <v>0.219</v>
      </c>
      <c r="C615" s="6" t="n">
        <v>1417.86377301951</v>
      </c>
      <c r="D615" s="6" t="n">
        <v>45540.04141823791</v>
      </c>
      <c r="E615" s="8" t="n">
        <v>0.01445301565708311</v>
      </c>
      <c r="F615" s="8" t="n">
        <v>0.006959041760950684</v>
      </c>
      <c r="G615" s="6" t="n">
        <v>1008.696736322133</v>
      </c>
      <c r="H615" s="6" t="n">
        <v>32.01685989377351</v>
      </c>
      <c r="I615" s="6" t="n">
        <v>97.49262479447458</v>
      </c>
    </row>
    <row r="616">
      <c r="A616" s="6" t="inlineStr">
        <is>
          <t>5 wt% Re | 200 C</t>
        </is>
      </c>
      <c r="B616" s="8" t="n">
        <v>0.22</v>
      </c>
      <c r="C616" s="6" t="n">
        <v>1420.219332854595</v>
      </c>
      <c r="D616" s="6" t="n">
        <v>45477.977824603</v>
      </c>
      <c r="E616" s="8" t="n">
        <v>0.01439283627034363</v>
      </c>
      <c r="F616" s="8" t="n">
        <v>0.006918962289382187</v>
      </c>
      <c r="G616" s="6" t="n">
        <v>1010.523129635324</v>
      </c>
      <c r="H616" s="6" t="n">
        <v>32.0669445458803</v>
      </c>
      <c r="I616" s="6" t="n">
        <v>97.62493162849611</v>
      </c>
    </row>
    <row r="617">
      <c r="A617" s="6" t="inlineStr">
        <is>
          <t>5 wt% Re | 200 C</t>
        </is>
      </c>
      <c r="B617" s="8" t="n">
        <v>0.221</v>
      </c>
      <c r="C617" s="6" t="n">
        <v>1422.574733008204</v>
      </c>
      <c r="D617" s="6" t="n">
        <v>45415.95778220893</v>
      </c>
      <c r="E617" s="8" t="n">
        <v>0.01433319424312673</v>
      </c>
      <c r="F617" s="8" t="n">
        <v>0.006879240699255731</v>
      </c>
      <c r="G617" s="6" t="n">
        <v>1012.349522948515</v>
      </c>
      <c r="H617" s="6" t="n">
        <v>32.11702954964513</v>
      </c>
      <c r="I617" s="6" t="n">
        <v>97.75707438483124</v>
      </c>
    </row>
    <row r="618">
      <c r="A618" s="6" t="inlineStr">
        <is>
          <t>5 wt% Re | 200 C</t>
        </is>
      </c>
      <c r="B618" s="8" t="n">
        <v>0.222</v>
      </c>
      <c r="C618" s="6" t="n">
        <v>1424.929974340101</v>
      </c>
      <c r="D618" s="6" t="n">
        <v>45353.9807025254</v>
      </c>
      <c r="E618" s="8" t="n">
        <v>0.01427408241006038</v>
      </c>
      <c r="F618" s="8" t="n">
        <v>0.006839872218433544</v>
      </c>
      <c r="G618" s="6" t="n">
        <v>1014.175916261706</v>
      </c>
      <c r="H618" s="6" t="n">
        <v>32.16711490031587</v>
      </c>
      <c r="I618" s="6" t="n">
        <v>97.88905395016901</v>
      </c>
    </row>
    <row r="619">
      <c r="A619" s="6" t="inlineStr">
        <is>
          <t>5 wt% Re | 200 C</t>
        </is>
      </c>
      <c r="B619" s="8" t="n">
        <v>0.223</v>
      </c>
      <c r="C619" s="6" t="n">
        <v>1427.285057701561</v>
      </c>
      <c r="D619" s="6" t="n">
        <v>45292.04600757876</v>
      </c>
      <c r="E619" s="8" t="n">
        <v>0.0142154937326035</v>
      </c>
      <c r="F619" s="8" t="n">
        <v>0.006800852159247259</v>
      </c>
      <c r="G619" s="6" t="n">
        <v>1016.002309574898</v>
      </c>
      <c r="H619" s="6" t="n">
        <v>32.21720059322563</v>
      </c>
      <c r="I619" s="6" t="n">
        <v>98.02087120240247</v>
      </c>
    </row>
    <row r="620">
      <c r="A620" s="6" t="inlineStr">
        <is>
          <t>5 wt% Re | 200 C</t>
        </is>
      </c>
      <c r="B620" s="8" t="n">
        <v>0.224</v>
      </c>
      <c r="C620" s="6" t="n">
        <v>1429.639983935496</v>
      </c>
      <c r="D620" s="6" t="n">
        <v>45230.15312971625</v>
      </c>
      <c r="E620" s="8" t="n">
        <v>0.01415742129625207</v>
      </c>
      <c r="F620" s="8" t="n">
        <v>0.006762175916637208</v>
      </c>
      <c r="G620" s="6" t="n">
        <v>1017.828702888089</v>
      </c>
      <c r="H620" s="6" t="n">
        <v>32.26728662379084</v>
      </c>
      <c r="I620" s="6" t="n">
        <v>98.15252701075445</v>
      </c>
    </row>
    <row r="621">
      <c r="A621" s="6" t="inlineStr">
        <is>
          <t>5 wt% Re | 200 C</t>
        </is>
      </c>
      <c r="B621" s="8" t="n">
        <v>0.225</v>
      </c>
      <c r="C621" s="6" t="n">
        <v>1431.994753876567</v>
      </c>
      <c r="D621" s="6" t="n">
        <v>45168.30151137678</v>
      </c>
      <c r="E621" s="8" t="n">
        <v>0.01409985830781884</v>
      </c>
      <c r="F621" s="8" t="n">
        <v>0.006723838966340676</v>
      </c>
      <c r="G621" s="6" t="n">
        <v>1019.65509620128</v>
      </c>
      <c r="H621" s="6" t="n">
        <v>32.31737298750945</v>
      </c>
      <c r="I621" s="6" t="n">
        <v>98.2840222359013</v>
      </c>
    </row>
    <row r="622">
      <c r="A622" s="6" t="inlineStr">
        <is>
          <t>5 wt% Re | 200 C</t>
        </is>
      </c>
      <c r="B622" s="8" t="n">
        <v>0.226</v>
      </c>
      <c r="C622" s="6" t="n">
        <v>1434.349368351308</v>
      </c>
      <c r="D622" s="6" t="n">
        <v>45106.49060486753</v>
      </c>
      <c r="E622" s="8" t="n">
        <v>0.01404279809278425</v>
      </c>
      <c r="F622" s="8" t="n">
        <v>0.006685836863127638</v>
      </c>
      <c r="G622" s="6" t="n">
        <v>1021.481489514471</v>
      </c>
      <c r="H622" s="6" t="n">
        <v>32.36745967995905</v>
      </c>
      <c r="I622" s="6" t="n">
        <v>98.41535773009404</v>
      </c>
    </row>
    <row r="623">
      <c r="A623" s="6" t="inlineStr">
        <is>
          <t>5 wt% Re | 200 C</t>
        </is>
      </c>
      <c r="B623" s="8" t="n">
        <v>0.227</v>
      </c>
      <c r="C623" s="6" t="n">
        <v>1436.703828178233</v>
      </c>
      <c r="D623" s="6" t="n">
        <v>45044.71987214671</v>
      </c>
      <c r="E623" s="8" t="n">
        <v>0.01398623409271651</v>
      </c>
      <c r="F623" s="8" t="n">
        <v>0.006648165239082526</v>
      </c>
      <c r="G623" s="6" t="n">
        <v>1023.307882827662</v>
      </c>
      <c r="H623" s="6" t="n">
        <v>32.41754669679518</v>
      </c>
      <c r="I623" s="6" t="n">
        <v>98.54653433727744</v>
      </c>
    </row>
    <row r="624">
      <c r="A624" s="6" t="inlineStr">
        <is>
          <t>5 wt% Re | 200 C</t>
        </is>
      </c>
      <c r="B624" s="8" t="n">
        <v>0.228</v>
      </c>
      <c r="C624" s="6" t="n">
        <v>1439.058134167953</v>
      </c>
      <c r="D624" s="6" t="n">
        <v>44982.98878461186</v>
      </c>
      <c r="E624" s="8" t="n">
        <v>0.01393015986275869</v>
      </c>
      <c r="F624" s="8" t="n">
        <v>0.00661081980193062</v>
      </c>
      <c r="G624" s="6" t="n">
        <v>1025.134276140853</v>
      </c>
      <c r="H624" s="6" t="n">
        <v>32.4676340337496</v>
      </c>
      <c r="I624" s="6" t="n">
        <v>98.67755289320689</v>
      </c>
    </row>
    <row r="625">
      <c r="A625" s="6" t="inlineStr">
        <is>
          <t>5 wt% Re | 200 C</t>
        </is>
      </c>
      <c r="B625" s="8" t="n">
        <v>0.229</v>
      </c>
      <c r="C625" s="6" t="n">
        <v>1441.412287123283</v>
      </c>
      <c r="D625" s="6" t="n">
        <v>44921.29682289369</v>
      </c>
      <c r="E625" s="8" t="n">
        <v>0.01387456906918078</v>
      </c>
      <c r="F625" s="8" t="n">
        <v>0.006573796333407729</v>
      </c>
      <c r="G625" s="6" t="n">
        <v>1026.960669454045</v>
      </c>
      <c r="H625" s="6" t="n">
        <v>32.51772168662862</v>
      </c>
      <c r="I625" s="6" t="n">
        <v>98.80841422556327</v>
      </c>
    </row>
    <row r="626">
      <c r="A626" s="6" t="inlineStr">
        <is>
          <t>5 wt% Re | 200 C</t>
        </is>
      </c>
      <c r="B626" s="8" t="n">
        <v>0.23</v>
      </c>
      <c r="C626" s="6" t="n">
        <v>1443.766287839353</v>
      </c>
      <c r="D626" s="6" t="n">
        <v>44859.64347665549</v>
      </c>
      <c r="E626" s="8" t="n">
        <v>0.01381945548699479</v>
      </c>
      <c r="F626" s="8" t="n">
        <v>0.00653709068767186</v>
      </c>
      <c r="G626" s="6" t="n">
        <v>1028.787062767236</v>
      </c>
      <c r="H626" s="6" t="n">
        <v>32.56780965131149</v>
      </c>
      <c r="I626" s="6" t="n">
        <v>98.93911915406548</v>
      </c>
    </row>
    <row r="627">
      <c r="A627" s="6" t="inlineStr">
        <is>
          <t>5 wt% Re | 200 C</t>
        </is>
      </c>
      <c r="B627" s="8" t="n">
        <v>0.231</v>
      </c>
      <c r="C627" s="6" t="n">
        <v>1446.120137103712</v>
      </c>
      <c r="D627" s="6" t="n">
        <v>44798.02824439752</v>
      </c>
      <c r="E627" s="8" t="n">
        <v>0.01376481299763106</v>
      </c>
      <c r="F627" s="8" t="n">
        <v>0.006500698789755614</v>
      </c>
      <c r="G627" s="6" t="n">
        <v>1030.613456080427</v>
      </c>
      <c r="H627" s="6" t="n">
        <v>32.6178979237488</v>
      </c>
      <c r="I627" s="6" t="n">
        <v>99.06966849058107</v>
      </c>
    </row>
    <row r="628">
      <c r="A628" s="6" t="inlineStr">
        <is>
          <t>5 wt% Re | 200 C</t>
        </is>
      </c>
      <c r="B628" s="8" t="n">
        <v>0.232</v>
      </c>
      <c r="C628" s="6" t="n">
        <v>1448.473835696432</v>
      </c>
      <c r="D628" s="6" t="n">
        <v>44736.45063326656</v>
      </c>
      <c r="E628" s="8" t="n">
        <v>0.01371063558667384</v>
      </c>
      <c r="F628" s="8" t="n">
        <v>0.006464616634058105</v>
      </c>
      <c r="G628" s="6" t="n">
        <v>1032.439849393618</v>
      </c>
      <c r="H628" s="6" t="n">
        <v>32.66798649996097</v>
      </c>
      <c r="I628" s="6" t="n">
        <v>99.20006303923495</v>
      </c>
    </row>
    <row r="629">
      <c r="A629" s="6" t="inlineStr">
        <is>
          <t>5 wt% Re | 200 C</t>
        </is>
      </c>
      <c r="B629" s="8" t="n">
        <v>0.233</v>
      </c>
      <c r="C629" s="6" t="n">
        <v>1450.827384390213</v>
      </c>
      <c r="D629" s="6" t="n">
        <v>44674.91015887045</v>
      </c>
      <c r="E629" s="8" t="n">
        <v>0.01365691734165447</v>
      </c>
      <c r="F629" s="8" t="n">
        <v>0.006428840282875206</v>
      </c>
      <c r="G629" s="6" t="n">
        <v>1034.26624270681</v>
      </c>
      <c r="H629" s="6" t="n">
        <v>32.71807537603674</v>
      </c>
      <c r="I629" s="6" t="n">
        <v>99.33030359651599</v>
      </c>
    </row>
    <row r="630">
      <c r="A630" s="6" t="inlineStr">
        <is>
          <t>5 wt% Re | 200 C</t>
        </is>
      </c>
      <c r="B630" s="8" t="n">
        <v>0.234</v>
      </c>
      <c r="C630" s="6" t="n">
        <v>1453.18078395048</v>
      </c>
      <c r="D630" s="6" t="n">
        <v>44613.40634509718</v>
      </c>
      <c r="E630" s="8" t="n">
        <v>0.01360365244990045</v>
      </c>
      <c r="F630" s="8" t="n">
        <v>0.00639336586496703</v>
      </c>
      <c r="G630" s="6" t="n">
        <v>1036.092636020001</v>
      </c>
      <c r="H630" s="6" t="n">
        <v>32.76816454813169</v>
      </c>
      <c r="I630" s="6" t="n">
        <v>99.46039095138192</v>
      </c>
    </row>
    <row r="631">
      <c r="A631" s="6" t="inlineStr">
        <is>
          <t>5 wt% Re | 200 C</t>
        </is>
      </c>
      <c r="B631" s="8" t="n">
        <v>0.235</v>
      </c>
      <c r="C631" s="6" t="n">
        <v>1455.534035135486</v>
      </c>
      <c r="D631" s="6" t="n">
        <v>44551.93872393884</v>
      </c>
      <c r="E631" s="8" t="n">
        <v>0.01355083519643871</v>
      </c>
      <c r="F631" s="8" t="n">
        <v>0.006358189574161508</v>
      </c>
      <c r="G631" s="6" t="n">
        <v>1037.919029333192</v>
      </c>
      <c r="H631" s="6" t="n">
        <v>32.81825401246688</v>
      </c>
      <c r="I631" s="6" t="n">
        <v>99.59032588536213</v>
      </c>
    </row>
    <row r="632">
      <c r="A632" s="6" t="inlineStr">
        <is>
          <t>5 wt% Re | 200 C</t>
        </is>
      </c>
      <c r="B632" s="8" t="n">
        <v>0.236</v>
      </c>
      <c r="C632" s="6" t="n">
        <v>1457.887138696403</v>
      </c>
      <c r="D632" s="6" t="n">
        <v>44490.50683531976</v>
      </c>
      <c r="E632" s="8" t="n">
        <v>0.01349845996195151</v>
      </c>
      <c r="F632" s="8" t="n">
        <v>0.006323307667993038</v>
      </c>
      <c r="G632" s="6" t="n">
        <v>1039.745422646383</v>
      </c>
      <c r="H632" s="6" t="n">
        <v>32.86834376532736</v>
      </c>
      <c r="I632" s="6" t="n">
        <v>99.72010917265885</v>
      </c>
    </row>
    <row r="633">
      <c r="A633" s="6" t="inlineStr">
        <is>
          <t>5 wt% Re | 200 C</t>
        </is>
      </c>
      <c r="B633" s="8" t="n">
        <v>0.237</v>
      </c>
      <c r="C633" s="6" t="n">
        <v>1460.240095377427</v>
      </c>
      <c r="D633" s="6" t="n">
        <v>44429.11022692935</v>
      </c>
      <c r="E633" s="8" t="n">
        <v>0.01344652122078353</v>
      </c>
      <c r="F633" s="8" t="n">
        <v>0.006288716466375162</v>
      </c>
      <c r="G633" s="6" t="n">
        <v>1041.571815959574</v>
      </c>
      <c r="H633" s="6" t="n">
        <v>32.91843380306094</v>
      </c>
      <c r="I633" s="6" t="n">
        <v>99.8497415802464</v>
      </c>
    </row>
    <row r="634">
      <c r="A634" s="6" t="inlineStr">
        <is>
          <t>5 wt% Re | 200 C</t>
        </is>
      </c>
      <c r="B634" s="8" t="n">
        <v>0.238</v>
      </c>
      <c r="C634" s="6" t="n">
        <v>1462.592905915862</v>
      </c>
      <c r="D634" s="6" t="n">
        <v>44367.74845405884</v>
      </c>
      <c r="E634" s="8" t="n">
        <v>0.01339501353899846</v>
      </c>
      <c r="F634" s="8" t="n">
        <v>0.006254412350306306</v>
      </c>
      <c r="G634" s="6" t="n">
        <v>1043.398209272765</v>
      </c>
      <c r="H634" s="6" t="n">
        <v>32.96852412207676</v>
      </c>
      <c r="I634" s="6" t="n">
        <v>99.97922386796878</v>
      </c>
    </row>
    <row r="635">
      <c r="A635" s="6" t="inlineStr">
        <is>
          <t>5 wt% Re | 200 C</t>
        </is>
      </c>
      <c r="B635" s="8" t="n">
        <v>0.239</v>
      </c>
      <c r="C635" s="6" t="n">
        <v>1464.945571042216</v>
      </c>
      <c r="D635" s="6" t="n">
        <v>44306.42107944228</v>
      </c>
      <c r="E635" s="8" t="n">
        <v>0.01334393157248387</v>
      </c>
      <c r="F635" s="8" t="n">
        <v>0.006220391760607585</v>
      </c>
      <c r="G635" s="6" t="n">
        <v>1045.224602585957</v>
      </c>
      <c r="H635" s="6" t="n">
        <v>33.01861471884409</v>
      </c>
      <c r="I635" s="6" t="n">
        <v>100.1085567886355</v>
      </c>
    </row>
    <row r="636">
      <c r="A636" s="6" t="inlineStr">
        <is>
          <t>5 wt% Re | 200 C</t>
        </is>
      </c>
      <c r="B636" s="8" t="n">
        <v>0.24</v>
      </c>
      <c r="C636" s="6" t="n">
        <v>1467.298091480292</v>
      </c>
      <c r="D636" s="6" t="n">
        <v>44245.12767310151</v>
      </c>
      <c r="E636" s="8" t="n">
        <v>0.01329327006510282</v>
      </c>
      <c r="F636" s="8" t="n">
        <v>0.006186651196691806</v>
      </c>
      <c r="G636" s="6" t="n">
        <v>1047.050995899148</v>
      </c>
      <c r="H636" s="6" t="n">
        <v>33.06870558989103</v>
      </c>
      <c r="I636" s="6" t="n">
        <v>100.2377410881158</v>
      </c>
    </row>
    <row r="637">
      <c r="A637" s="6" t="inlineStr">
        <is>
          <t>5 wt% Re | 200 C</t>
        </is>
      </c>
      <c r="B637" s="8" t="n">
        <v>0.241</v>
      </c>
      <c r="C637" s="6" t="n">
        <v>1469.650467947278</v>
      </c>
      <c r="D637" s="6" t="n">
        <v>44183.86781219491</v>
      </c>
      <c r="E637" s="8" t="n">
        <v>0.01324302384689098</v>
      </c>
      <c r="F637" s="8" t="n">
        <v>0.00615318721536272</v>
      </c>
      <c r="G637" s="6" t="n">
        <v>1048.877389212339</v>
      </c>
      <c r="H637" s="6" t="n">
        <v>33.11879673180334</v>
      </c>
      <c r="I637" s="6" t="n">
        <v>100.3667775054314</v>
      </c>
    </row>
    <row r="638">
      <c r="A638" s="6" t="inlineStr">
        <is>
          <t>5 wt% Re | 200 C</t>
        </is>
      </c>
      <c r="B638" s="8" t="n">
        <v>0.242</v>
      </c>
      <c r="C638" s="6" t="n">
        <v>1472.002701153833</v>
      </c>
      <c r="D638" s="6" t="n">
        <v>44122.64108087</v>
      </c>
      <c r="E638" s="8" t="n">
        <v>0.01319318783229784</v>
      </c>
      <c r="F638" s="8" t="n">
        <v>0.006119996429643694</v>
      </c>
      <c r="G638" s="6" t="n">
        <v>1050.70378252553</v>
      </c>
      <c r="H638" s="6" t="n">
        <v>33.16888814122314</v>
      </c>
      <c r="I638" s="6" t="n">
        <v>100.4956667728468</v>
      </c>
    </row>
    <row r="639">
      <c r="A639" s="6" t="inlineStr">
        <is>
          <t>5 wt% Re | 200 C</t>
        </is>
      </c>
      <c r="B639" s="8" t="n">
        <v>0.243</v>
      </c>
      <c r="C639" s="6" t="n">
        <v>1474.354791804167</v>
      </c>
      <c r="D639" s="6" t="n">
        <v>44061.4470701196</v>
      </c>
      <c r="E639" s="8" t="n">
        <v>0.01314375701847091</v>
      </c>
      <c r="F639" s="8" t="n">
        <v>0.006087075507634957</v>
      </c>
      <c r="G639" s="6" t="n">
        <v>1052.530175838722</v>
      </c>
      <c r="H639" s="6" t="n">
        <v>33.21897981484787</v>
      </c>
      <c r="I639" s="6" t="n">
        <v>100.6244096159594</v>
      </c>
    </row>
    <row r="640">
      <c r="A640" s="6" t="inlineStr">
        <is>
          <t>5 wt% Re | 200 C</t>
        </is>
      </c>
      <c r="B640" s="8" t="n">
        <v>0.244</v>
      </c>
      <c r="C640" s="6" t="n">
        <v>1476.70674059614</v>
      </c>
      <c r="D640" s="6" t="n">
        <v>44000.28537764156</v>
      </c>
      <c r="E640" s="8" t="n">
        <v>0.01309472648358147</v>
      </c>
      <c r="F640" s="8" t="n">
        <v>0.006054421171398592</v>
      </c>
      <c r="G640" s="6" t="n">
        <v>1054.356569151913</v>
      </c>
      <c r="H640" s="6" t="n">
        <v>33.26907174942915</v>
      </c>
      <c r="I640" s="6" t="n">
        <v>100.7530067537869</v>
      </c>
    </row>
    <row r="641">
      <c r="A641" s="6" t="inlineStr">
        <is>
          <t>5 wt% Re | 200 C</t>
        </is>
      </c>
      <c r="B641" s="8" t="n">
        <v>0.245</v>
      </c>
      <c r="C641" s="6" t="n">
        <v>1479.05854822133</v>
      </c>
      <c r="D641" s="6" t="n">
        <v>43939.15560770193</v>
      </c>
      <c r="E641" s="8" t="n">
        <v>0.01304609138519098</v>
      </c>
      <c r="F641" s="8" t="n">
        <v>0.006022030195870522</v>
      </c>
      <c r="G641" s="6" t="n">
        <v>1056.182962465104</v>
      </c>
      <c r="H641" s="6" t="n">
        <v>33.31916394177158</v>
      </c>
      <c r="I641" s="6" t="n">
        <v>100.8814588988541</v>
      </c>
    </row>
    <row r="642">
      <c r="A642" s="6" t="inlineStr">
        <is>
          <t>5 wt% Re | 200 C</t>
        </is>
      </c>
      <c r="B642" s="8" t="n">
        <v>0.246</v>
      </c>
      <c r="C642" s="6" t="n">
        <v>1481.410215365123</v>
      </c>
      <c r="D642" s="6" t="n">
        <v>43878.05737100147</v>
      </c>
      <c r="E642" s="8" t="n">
        <v>0.01299784695865672</v>
      </c>
      <c r="F642" s="8" t="n">
        <v>0.005989899407798707</v>
      </c>
      <c r="G642" s="6" t="n">
        <v>1058.009355778295</v>
      </c>
      <c r="H642" s="6" t="n">
        <v>33.36925638873172</v>
      </c>
      <c r="I642" s="6" t="n">
        <v>101.0097667572769</v>
      </c>
    </row>
    <row r="643">
      <c r="A643" s="6" t="inlineStr">
        <is>
          <t>5 wt% Re | 200 C</t>
        </is>
      </c>
      <c r="B643" s="8" t="n">
        <v>0.247</v>
      </c>
      <c r="C643" s="6" t="n">
        <v>1483.761742706791</v>
      </c>
      <c r="D643" s="6" t="n">
        <v>43816.99028454535</v>
      </c>
      <c r="E643" s="8" t="n">
        <v>0.01294998851557583</v>
      </c>
      <c r="F643" s="8" t="n">
        <v>0.005958025684706831</v>
      </c>
      <c r="G643" s="6" t="n">
        <v>1059.835749091486</v>
      </c>
      <c r="H643" s="6" t="n">
        <v>33.41934908721704</v>
      </c>
      <c r="I643" s="6" t="n">
        <v>101.1379310288468</v>
      </c>
    </row>
    <row r="644">
      <c r="A644" s="6" t="inlineStr">
        <is>
          <t>5 wt% Re | 200 C</t>
        </is>
      </c>
      <c r="B644" s="8" t="n">
        <v>0.248</v>
      </c>
      <c r="C644" s="6" t="n">
        <v>1486.113130919571</v>
      </c>
      <c r="D644" s="6" t="n">
        <v>43755.95397151613</v>
      </c>
      <c r="E644" s="8" t="n">
        <v>0.0129025114422664</v>
      </c>
      <c r="F644" s="8" t="n">
        <v>0.005926405953882754</v>
      </c>
      <c r="G644" s="6" t="n">
        <v>1061.662142404677</v>
      </c>
      <c r="H644" s="6" t="n">
        <v>33.46944203418492</v>
      </c>
      <c r="I644" s="6" t="n">
        <v>101.2659524071122</v>
      </c>
    </row>
    <row r="645">
      <c r="A645" s="6" t="inlineStr">
        <is>
          <t>5 wt% Re | 200 C</t>
        </is>
      </c>
      <c r="B645" s="8" t="n">
        <v>0.249</v>
      </c>
      <c r="C645" s="6" t="n">
        <v>1488.464380670742</v>
      </c>
      <c r="D645" s="6" t="n">
        <v>43694.94806114961</v>
      </c>
      <c r="E645" s="8" t="n">
        <v>0.01285541119828488</v>
      </c>
      <c r="F645" s="8" t="n">
        <v>0.005895037191391062</v>
      </c>
      <c r="G645" s="6" t="n">
        <v>1063.488535717868</v>
      </c>
      <c r="H645" s="6" t="n">
        <v>33.51953522664157</v>
      </c>
      <c r="I645" s="6" t="n">
        <v>101.3938315794591</v>
      </c>
    </row>
    <row r="646">
      <c r="A646" s="6" t="inlineStr">
        <is>
          <t>5 wt% Re | 200 C</t>
        </is>
      </c>
      <c r="B646" s="8" t="n">
        <v>0.25</v>
      </c>
      <c r="C646" s="6" t="n">
        <v>1490.815492621701</v>
      </c>
      <c r="D646" s="6" t="n">
        <v>43633.97218861383</v>
      </c>
      <c r="E646" s="8" t="n">
        <v>0.01280868331497853</v>
      </c>
      <c r="F646" s="8" t="n">
        <v>0.005863916421109028</v>
      </c>
      <c r="G646" s="6" t="n">
        <v>1065.31492903106</v>
      </c>
      <c r="H646" s="6" t="n">
        <v>33.56962866164113</v>
      </c>
      <c r="I646" s="6" t="n">
        <v>101.5215692271909</v>
      </c>
    </row>
    <row r="647">
      <c r="A647" s="6" t="inlineStr">
        <is>
          <t>5 wt% Re | 200 C</t>
        </is>
      </c>
      <c r="B647" s="8" t="n">
        <v>0.251</v>
      </c>
      <c r="C647" s="6" t="n">
        <v>1493.16646742804</v>
      </c>
      <c r="D647" s="6" t="n">
        <v>43573.02599489092</v>
      </c>
      <c r="E647" s="8" t="n">
        <v>0.0127623233940721</v>
      </c>
      <c r="F647" s="8" t="n">
        <v>0.005833040713785351</v>
      </c>
      <c r="G647" s="6" t="n">
        <v>1067.141322344251</v>
      </c>
      <c r="H647" s="6" t="n">
        <v>33.6197223362847</v>
      </c>
      <c r="I647" s="6" t="n">
        <v>101.6491660256055</v>
      </c>
    </row>
    <row r="648">
      <c r="A648" s="6" t="inlineStr">
        <is>
          <t>5 wt% Re | 200 C</t>
        </is>
      </c>
      <c r="B648" s="8" t="n">
        <v>0.252</v>
      </c>
      <c r="C648" s="6" t="n">
        <v>1495.51730573962</v>
      </c>
      <c r="D648" s="6" t="n">
        <v>43512.10912666165</v>
      </c>
      <c r="E648" s="8" t="n">
        <v>0.01271632710628786</v>
      </c>
      <c r="F648" s="8" t="n">
        <v>0.005802407186121046</v>
      </c>
      <c r="G648" s="6" t="n">
        <v>1068.967715657442</v>
      </c>
      <c r="H648" s="6" t="n">
        <v>33.66981624771935</v>
      </c>
      <c r="I648" s="6" t="n">
        <v>101.776622644073</v>
      </c>
    </row>
    <row r="649">
      <c r="A649" s="6" t="inlineStr">
        <is>
          <t>5 wt% Re | 200 C</t>
        </is>
      </c>
      <c r="B649" s="8" t="n">
        <v>0.253</v>
      </c>
      <c r="C649" s="6" t="n">
        <v>1497.868008200639</v>
      </c>
      <c r="D649" s="6" t="n">
        <v>43451.22123619292</v>
      </c>
      <c r="E649" s="8" t="n">
        <v>0.0126706901899978</v>
      </c>
      <c r="F649" s="8" t="n">
        <v>0.005772012999871864</v>
      </c>
      <c r="G649" s="6" t="n">
        <v>1070.794108970633</v>
      </c>
      <c r="H649" s="6" t="n">
        <v>33.7199103931373</v>
      </c>
      <c r="I649" s="6" t="n">
        <v>101.90393974611</v>
      </c>
    </row>
    <row r="650">
      <c r="A650" s="6" t="inlineStr">
        <is>
          <t>5 wt% Re | 200 C</t>
        </is>
      </c>
      <c r="B650" s="8" t="n">
        <v>0.254</v>
      </c>
      <c r="C650" s="6" t="n">
        <v>1500.218575449706</v>
      </c>
      <c r="D650" s="6" t="n">
        <v>43390.3619812277</v>
      </c>
      <c r="E650" s="8" t="n">
        <v>0.01262540844990746</v>
      </c>
      <c r="F650" s="8" t="n">
        <v>0.005741855360971695</v>
      </c>
      <c r="G650" s="6" t="n">
        <v>1072.620502283824</v>
      </c>
      <c r="H650" s="6" t="n">
        <v>33.77000476977496</v>
      </c>
      <c r="I650" s="6" t="n">
        <v>102.0311179894549</v>
      </c>
    </row>
    <row r="651">
      <c r="A651" s="6" t="inlineStr">
        <is>
          <t>5 wt% Re | 200 C</t>
        </is>
      </c>
      <c r="B651" s="8" t="n">
        <v>0.255</v>
      </c>
      <c r="C651" s="6" t="n">
        <v>1502.569008119916</v>
      </c>
      <c r="D651" s="6" t="n">
        <v>43329.53102487772</v>
      </c>
      <c r="E651" s="8" t="n">
        <v>0.01258047775577026</v>
      </c>
      <c r="F651" s="8" t="n">
        <v>0.005711931518676326</v>
      </c>
      <c r="G651" s="6" t="n">
        <v>1074.446895597016</v>
      </c>
      <c r="H651" s="6" t="n">
        <v>33.8200993749121</v>
      </c>
      <c r="I651" s="6" t="n">
        <v>102.1581580261396</v>
      </c>
    </row>
    <row r="652">
      <c r="A652" s="6" t="inlineStr">
        <is>
          <t>5 wt% Re | 200 C</t>
        </is>
      </c>
      <c r="B652" s="8" t="n">
        <v>0.256</v>
      </c>
      <c r="C652" s="6" t="n">
        <v>1504.919306838911</v>
      </c>
      <c r="D652" s="6" t="n">
        <v>43268.72803551857</v>
      </c>
      <c r="E652" s="8" t="n">
        <v>0.01253589404113173</v>
      </c>
      <c r="F652" s="8" t="n">
        <v>0.005682238764727062</v>
      </c>
      <c r="G652" s="6" t="n">
        <v>1076.273288910207</v>
      </c>
      <c r="H652" s="6" t="n">
        <v>33.87019420587099</v>
      </c>
      <c r="I652" s="6" t="n">
        <v>102.2850605025624</v>
      </c>
    </row>
    <row r="653">
      <c r="A653" s="6" t="inlineStr">
        <is>
          <t>5 wt% Re | 200 C</t>
        </is>
      </c>
      <c r="B653" s="8" t="n">
        <v>0.257</v>
      </c>
      <c r="C653" s="6" t="n">
        <v>1507.269472228952</v>
      </c>
      <c r="D653" s="6" t="n">
        <v>43207.95268668734</v>
      </c>
      <c r="E653" s="8" t="n">
        <v>0.01249165330210256</v>
      </c>
      <c r="F653" s="8" t="n">
        <v>0.005652774432533638</v>
      </c>
      <c r="G653" s="6" t="n">
        <v>1078.099682223398</v>
      </c>
      <c r="H653" s="6" t="n">
        <v>33.92028926001559</v>
      </c>
      <c r="I653" s="6" t="n">
        <v>102.4118260595577</v>
      </c>
    </row>
    <row r="654">
      <c r="A654" s="6" t="inlineStr">
        <is>
          <t>5 wt% Re | 200 C</t>
        </is>
      </c>
      <c r="B654" s="8" t="n">
        <v>0.258</v>
      </c>
      <c r="C654" s="6" t="n">
        <v>1509.619504906986</v>
      </c>
      <c r="D654" s="6" t="n">
        <v>43147.20465698253</v>
      </c>
      <c r="E654" s="8" t="n">
        <v>0.01244775159616003</v>
      </c>
      <c r="F654" s="8" t="n">
        <v>0.005623535896375913</v>
      </c>
      <c r="G654" s="6" t="n">
        <v>1079.926075536589</v>
      </c>
      <c r="H654" s="6" t="n">
        <v>33.97038453475069</v>
      </c>
      <c r="I654" s="6" t="n">
        <v>102.5384553324657</v>
      </c>
    </row>
    <row r="655">
      <c r="A655" s="6" t="inlineStr">
        <is>
          <t>5 wt% Re | 200 C</t>
        </is>
      </c>
      <c r="B655" s="8" t="n">
        <v>0.259</v>
      </c>
      <c r="C655" s="6" t="n">
        <v>1511.96940548471</v>
      </c>
      <c r="D655" s="6" t="n">
        <v>43086.48362996638</v>
      </c>
      <c r="E655" s="8" t="n">
        <v>0.01240418504097677</v>
      </c>
      <c r="F655" s="8" t="n">
        <v>0.00559452057062386</v>
      </c>
      <c r="G655" s="6" t="n">
        <v>1081.75246884978</v>
      </c>
      <c r="H655" s="6" t="n">
        <v>34.02048002752119</v>
      </c>
      <c r="I655" s="6" t="n">
        <v>102.6649489512008</v>
      </c>
    </row>
    <row r="656">
      <c r="A656" s="6" t="inlineStr">
        <is>
          <t>5 wt% Re | 200 C</t>
        </is>
      </c>
      <c r="B656" s="8" t="n">
        <v>0.26</v>
      </c>
      <c r="C656" s="6" t="n">
        <v>1514.31917456864</v>
      </c>
      <c r="D656" s="6" t="n">
        <v>43025.78929406943</v>
      </c>
      <c r="E656" s="8" t="n">
        <v>0.01236094981327629</v>
      </c>
      <c r="F656" s="8" t="n">
        <v>0.005565725908975336</v>
      </c>
      <c r="G656" s="6" t="n">
        <v>1083.578862162972</v>
      </c>
      <c r="H656" s="6" t="n">
        <v>34.07057573581133</v>
      </c>
      <c r="I656" s="6" t="n">
        <v>102.7913075403187</v>
      </c>
    </row>
    <row r="657">
      <c r="A657" s="6" t="inlineStr">
        <is>
          <t>5 wt% Re | 200 C</t>
        </is>
      </c>
      <c r="B657" s="8" t="n">
        <v>0.261</v>
      </c>
      <c r="C657" s="6" t="n">
        <v>1516.668812760166</v>
      </c>
      <c r="D657" s="6" t="n">
        <v>42965.12134249716</v>
      </c>
      <c r="E657" s="8" t="n">
        <v>0.01231804214771451</v>
      </c>
      <c r="F657" s="8" t="n">
        <v>0.005537149403711192</v>
      </c>
      <c r="G657" s="6" t="n">
        <v>1085.405255476163</v>
      </c>
      <c r="H657" s="6" t="n">
        <v>34.12067165714385</v>
      </c>
      <c r="I657" s="6" t="n">
        <v>102.9175317190825</v>
      </c>
    </row>
    <row r="658">
      <c r="A658" s="6" t="inlineStr">
        <is>
          <t>5 wt% Re | 200 C</t>
        </is>
      </c>
      <c r="B658" s="8" t="n">
        <v>0.262</v>
      </c>
      <c r="C658" s="6" t="n">
        <v>1519.018320655625</v>
      </c>
      <c r="D658" s="6" t="n">
        <v>42904.47947313904</v>
      </c>
      <c r="E658" s="8" t="n">
        <v>0.01227545833578664</v>
      </c>
      <c r="F658" s="8" t="n">
        <v>0.005508788584967232</v>
      </c>
      <c r="G658" s="6" t="n">
        <v>1087.231648789354</v>
      </c>
      <c r="H658" s="6" t="n">
        <v>34.17076778907933</v>
      </c>
      <c r="I658" s="6" t="n">
        <v>103.0436221015277</v>
      </c>
    </row>
    <row r="659">
      <c r="A659" s="6" t="inlineStr">
        <is>
          <t>5 wt% Re | 200 C</t>
        </is>
      </c>
      <c r="B659" s="8" t="n">
        <v>0.263</v>
      </c>
      <c r="C659" s="6" t="n">
        <v>1521.367698846356</v>
      </c>
      <c r="D659" s="6" t="n">
        <v>42843.86338847927</v>
      </c>
      <c r="E659" s="8" t="n">
        <v>0.01223319472475869</v>
      </c>
      <c r="F659" s="8" t="n">
        <v>0.005480641020022617</v>
      </c>
      <c r="G659" s="6" t="n">
        <v>1089.058042102545</v>
      </c>
      <c r="H659" s="6" t="n">
        <v>34.22086412921548</v>
      </c>
      <c r="I659" s="6" t="n">
        <v>103.1695792965261</v>
      </c>
    </row>
    <row r="660">
      <c r="A660" s="6" t="inlineStr">
        <is>
          <t>5 wt% Re | 200 C</t>
        </is>
      </c>
      <c r="B660" s="8" t="n">
        <v>0.264</v>
      </c>
      <c r="C660" s="6" t="n">
        <v>1523.71694791876</v>
      </c>
      <c r="D660" s="6" t="n">
        <v>42783.27279550995</v>
      </c>
      <c r="E660" s="8" t="n">
        <v>0.01219124771662299</v>
      </c>
      <c r="F660" s="8" t="n">
        <v>0.005452704312604241</v>
      </c>
      <c r="G660" s="6" t="n">
        <v>1090.884435415736</v>
      </c>
      <c r="H660" s="6" t="n">
        <v>34.27096067518635</v>
      </c>
      <c r="I660" s="6" t="n">
        <v>103.2954039078489</v>
      </c>
    </row>
    <row r="661">
      <c r="A661" s="6" t="inlineStr">
        <is>
          <t>5 wt% Re | 200 C</t>
        </is>
      </c>
      <c r="B661" s="8" t="n">
        <v>0.265</v>
      </c>
      <c r="C661" s="6" t="n">
        <v>1526.066068454368</v>
      </c>
      <c r="D661" s="6" t="n">
        <v>42722.70740564588</v>
      </c>
      <c r="E661" s="8" t="n">
        <v>0.01214961376707712</v>
      </c>
      <c r="F661" s="8" t="n">
        <v>0.005424976102206688</v>
      </c>
      <c r="G661" s="6" t="n">
        <v>1092.710828728927</v>
      </c>
      <c r="H661" s="6" t="n">
        <v>34.32105742466175</v>
      </c>
      <c r="I661" s="6" t="n">
        <v>103.4210965342289</v>
      </c>
    </row>
    <row r="662">
      <c r="A662" s="6" t="inlineStr">
        <is>
          <t>5 wt% Re | 200 C</t>
        </is>
      </c>
      <c r="B662" s="8" t="n">
        <v>0.266</v>
      </c>
      <c r="C662" s="6" t="n">
        <v>1528.415061029887</v>
      </c>
      <c r="D662" s="6" t="n">
        <v>42662.16693464151</v>
      </c>
      <c r="E662" s="8" t="n">
        <v>0.01210828938452559</v>
      </c>
      <c r="F662" s="8" t="n">
        <v>0.005397454063427373</v>
      </c>
      <c r="G662" s="6" t="n">
        <v>1094.537222042119</v>
      </c>
      <c r="H662" s="6" t="n">
        <v>34.37115437534653</v>
      </c>
      <c r="I662" s="6" t="n">
        <v>103.546657769421</v>
      </c>
    </row>
    <row r="663">
      <c r="A663" s="6" t="inlineStr">
        <is>
          <t>5 wt% Re | 200 C</t>
        </is>
      </c>
      <c r="B663" s="8" t="n">
        <v>0.267</v>
      </c>
      <c r="C663" s="6" t="n">
        <v>1530.763926217268</v>
      </c>
      <c r="D663" s="6" t="n">
        <v>42601.65110250968</v>
      </c>
      <c r="E663" s="8" t="n">
        <v>0.01206727112910375</v>
      </c>
      <c r="F663" s="8" t="n">
        <v>0.005370135905316429</v>
      </c>
      <c r="G663" s="6" t="n">
        <v>1096.36361535531</v>
      </c>
      <c r="H663" s="6" t="n">
        <v>34.42125152497988</v>
      </c>
      <c r="I663" s="6" t="n">
        <v>103.6720882022628</v>
      </c>
    </row>
    <row r="664">
      <c r="A664" s="6" t="inlineStr">
        <is>
          <t>5 wt% Re | 200 C</t>
        </is>
      </c>
      <c r="B664" s="8" t="n">
        <v>0.268</v>
      </c>
      <c r="C664" s="6" t="n">
        <v>1533.11266458376</v>
      </c>
      <c r="D664" s="6" t="n">
        <v>42541.1596334421</v>
      </c>
      <c r="E664" s="8" t="n">
        <v>0.01202655561172325</v>
      </c>
      <c r="F664" s="8" t="n">
        <v>0.005343019370741017</v>
      </c>
      <c r="G664" s="6" t="n">
        <v>1098.190008668501</v>
      </c>
      <c r="H664" s="6" t="n">
        <v>34.47134887133478</v>
      </c>
      <c r="I664" s="6" t="n">
        <v>103.7973884167331</v>
      </c>
    </row>
    <row r="665">
      <c r="A665" s="6" t="inlineStr">
        <is>
          <t>5 wt% Re | 200 C</t>
        </is>
      </c>
      <c r="B665" s="8" t="n">
        <v>0.269</v>
      </c>
      <c r="C665" s="6" t="n">
        <v>1535.461276691965</v>
      </c>
      <c r="D665" s="6" t="n">
        <v>42480.69225573172</v>
      </c>
      <c r="E665" s="8" t="n">
        <v>0.01198613949313862</v>
      </c>
      <c r="F665" s="8" t="n">
        <v>0.005316102235763648</v>
      </c>
      <c r="G665" s="6" t="n">
        <v>1100.016401981692</v>
      </c>
      <c r="H665" s="6" t="n">
        <v>34.52144641221732</v>
      </c>
      <c r="I665" s="6" t="n">
        <v>103.9225589920106</v>
      </c>
    </row>
    <row r="666">
      <c r="A666" s="6" t="inlineStr">
        <is>
          <t>5 wt% Re | 200 C</t>
        </is>
      </c>
      <c r="B666" s="8" t="n">
        <v>0.27</v>
      </c>
      <c r="C666" s="6" t="n">
        <v>1537.809763099894</v>
      </c>
      <c r="D666" s="6" t="n">
        <v>42420.2487016968</v>
      </c>
      <c r="E666" s="8" t="n">
        <v>0.01194601948303427</v>
      </c>
      <c r="F666" s="8" t="n">
        <v>0.005289382309034156</v>
      </c>
      <c r="G666" s="6" t="n">
        <v>1101.842795294883</v>
      </c>
      <c r="H666" s="6" t="n">
        <v>34.57154414546606</v>
      </c>
      <c r="I666" s="6" t="n">
        <v>104.0476005025308</v>
      </c>
    </row>
    <row r="667">
      <c r="A667" s="6" t="inlineStr">
        <is>
          <t>5 wt% Re | 200 C</t>
        </is>
      </c>
      <c r="B667" s="8" t="n">
        <v>0.271</v>
      </c>
      <c r="C667" s="6" t="n">
        <v>1540.15812436102</v>
      </c>
      <c r="D667" s="6" t="n">
        <v>42359.82870760664</v>
      </c>
      <c r="E667" s="8" t="n">
        <v>0.01190619233913167</v>
      </c>
      <c r="F667" s="8" t="n">
        <v>0.00526285743119502</v>
      </c>
      <c r="G667" s="6" t="n">
        <v>1103.669188608075</v>
      </c>
      <c r="H667" s="6" t="n">
        <v>34.62164206895152</v>
      </c>
      <c r="I667" s="6" t="n">
        <v>104.1725135180428</v>
      </c>
    </row>
    <row r="668">
      <c r="A668" s="6" t="inlineStr">
        <is>
          <t>5 wt% Re | 200 C</t>
        </is>
      </c>
      <c r="B668" s="8" t="n">
        <v>0.272</v>
      </c>
      <c r="C668" s="6" t="n">
        <v>1542.506361024335</v>
      </c>
      <c r="D668" s="6" t="n">
        <v>42299.43201360888</v>
      </c>
      <c r="E668" s="8" t="n">
        <v>0.01186665486631576</v>
      </c>
      <c r="F668" s="8" t="n">
        <v>0.005236525474299624</v>
      </c>
      <c r="G668" s="6" t="n">
        <v>1105.495581921266</v>
      </c>
      <c r="H668" s="6" t="n">
        <v>34.67174018057545</v>
      </c>
      <c r="I668" s="6" t="n">
        <v>104.2972986036641</v>
      </c>
    </row>
    <row r="669">
      <c r="A669" s="6" t="inlineStr">
        <is>
          <t>5 wt% Re | 200 C</t>
        </is>
      </c>
      <c r="B669" s="8" t="n">
        <v>0.273</v>
      </c>
      <c r="C669" s="6" t="n">
        <v>1544.854473634398</v>
      </c>
      <c r="D669" s="6" t="n">
        <v>42239.05836365856</v>
      </c>
      <c r="E669" s="8" t="n">
        <v>0.01182740391578057</v>
      </c>
      <c r="F669" s="8" t="n">
        <v>0.005210384341243188</v>
      </c>
      <c r="G669" s="6" t="n">
        <v>1107.321975234457</v>
      </c>
      <c r="H669" s="6" t="n">
        <v>34.72183847827044</v>
      </c>
      <c r="I669" s="6" t="n">
        <v>104.421956319936</v>
      </c>
    </row>
    <row r="670">
      <c r="A670" s="6" t="inlineStr">
        <is>
          <t>5 wt% Re | 200 C</t>
        </is>
      </c>
      <c r="B670" s="8" t="n">
        <v>0.274</v>
      </c>
      <c r="C670" s="6" t="n">
        <v>1547.202462731391</v>
      </c>
      <c r="D670" s="6" t="n">
        <v>42178.70750544859</v>
      </c>
      <c r="E670" s="8" t="n">
        <v>0.01178843638419323</v>
      </c>
      <c r="F670" s="8" t="n">
        <v>0.005184431965206021</v>
      </c>
      <c r="G670" s="6" t="n">
        <v>1109.148368547648</v>
      </c>
      <c r="H670" s="6" t="n">
        <v>34.77193695999919</v>
      </c>
      <c r="I670" s="6" t="n">
        <v>104.5464872228771</v>
      </c>
    </row>
    <row r="671">
      <c r="A671" s="6" t="inlineStr">
        <is>
          <t>5 wt% Re | 200 C</t>
        </is>
      </c>
      <c r="B671" s="8" t="n">
        <v>0.275</v>
      </c>
      <c r="C671" s="6" t="n">
        <v>1549.550328851167</v>
      </c>
      <c r="D671" s="6" t="n">
        <v>42118.3791903418</v>
      </c>
      <c r="E671" s="8" t="n">
        <v>0.01174974921287606</v>
      </c>
      <c r="F671" s="8" t="n">
        <v>0.005158666309108786</v>
      </c>
      <c r="G671" s="6" t="n">
        <v>1110.974761860839</v>
      </c>
      <c r="H671" s="6" t="n">
        <v>34.82203562375407</v>
      </c>
      <c r="I671" s="6" t="n">
        <v>104.670891864036</v>
      </c>
    </row>
    <row r="672">
      <c r="A672" s="6" t="inlineStr">
        <is>
          <t>5 wt% Re | 200 C</t>
        </is>
      </c>
      <c r="B672" s="8" t="n">
        <v>0.276</v>
      </c>
      <c r="C672" s="6" t="n">
        <v>1551.898072525303</v>
      </c>
      <c r="D672" s="6" t="n">
        <v>42058.07317330445</v>
      </c>
      <c r="E672" s="8" t="n">
        <v>0.01171133938700625</v>
      </c>
      <c r="F672" s="8" t="n">
        <v>0.005133085365079488</v>
      </c>
      <c r="G672" s="6" t="n">
        <v>1112.801155174031</v>
      </c>
      <c r="H672" s="6" t="n">
        <v>34.87213446755653</v>
      </c>
      <c r="I672" s="6" t="n">
        <v>104.7951707905439</v>
      </c>
    </row>
    <row r="673">
      <c r="A673" s="6" t="inlineStr">
        <is>
          <t>5 wt% Re | 200 C</t>
        </is>
      </c>
      <c r="B673" s="8" t="n">
        <v>0.277</v>
      </c>
      <c r="C673" s="6" t="n">
        <v>1554.245694281146</v>
      </c>
      <c r="D673" s="6" t="n">
        <v>41997.78921284123</v>
      </c>
      <c r="E673" s="8" t="n">
        <v>0.01167320393483265</v>
      </c>
      <c r="F673" s="8" t="n">
        <v>0.005107687153931876</v>
      </c>
      <c r="G673" s="6" t="n">
        <v>1114.627548487222</v>
      </c>
      <c r="H673" s="6" t="n">
        <v>34.92223348945661</v>
      </c>
      <c r="I673" s="6" t="n">
        <v>104.919324545166</v>
      </c>
    </row>
    <row r="674">
      <c r="A674" s="6" t="inlineStr">
        <is>
          <t>5 wt% Re | 200 C</t>
        </is>
      </c>
      <c r="B674" s="8" t="n">
        <v>0.278</v>
      </c>
      <c r="C674" s="6" t="n">
        <v>1556.593194641867</v>
      </c>
      <c r="D674" s="6" t="n">
        <v>41937.52707093154</v>
      </c>
      <c r="E674" s="8" t="n">
        <v>0.0116353399269094</v>
      </c>
      <c r="F674" s="8" t="n">
        <v>0.005082469724654991</v>
      </c>
      <c r="G674" s="6" t="n">
        <v>1116.453941800413</v>
      </c>
      <c r="H674" s="6" t="n">
        <v>34.97233268753237</v>
      </c>
      <c r="I674" s="6" t="n">
        <v>105.0433536663516</v>
      </c>
    </row>
    <row r="675">
      <c r="A675" s="6" t="inlineStr">
        <is>
          <t>5 wt% Re | 200 C</t>
        </is>
      </c>
      <c r="B675" s="8" t="n">
        <v>0.279</v>
      </c>
      <c r="C675" s="6" t="n">
        <v>1558.940574126503</v>
      </c>
      <c r="D675" s="6" t="n">
        <v>41877.28651296726</v>
      </c>
      <c r="E675" s="8" t="n">
        <v>0.01159774447534571</v>
      </c>
      <c r="F675" s="8" t="n">
        <v>0.00505743115391357</v>
      </c>
      <c r="G675" s="6" t="n">
        <v>1118.280335113604</v>
      </c>
      <c r="H675" s="6" t="n">
        <v>35.02243205988945</v>
      </c>
      <c r="I675" s="6" t="n">
        <v>105.1672586882845</v>
      </c>
    </row>
    <row r="676">
      <c r="A676" s="6" t="inlineStr">
        <is>
          <t>5 wt% Re | 200 C</t>
        </is>
      </c>
      <c r="B676" s="8" t="n">
        <v>0.28</v>
      </c>
      <c r="C676" s="6" t="n">
        <v>1561.28783325001</v>
      </c>
      <c r="D676" s="6" t="n">
        <v>41817.06730769187</v>
      </c>
      <c r="E676" s="8" t="n">
        <v>0.01156041473307165</v>
      </c>
      <c r="F676" s="8" t="n">
        <v>0.005032569545559046</v>
      </c>
      <c r="G676" s="6" t="n">
        <v>1120.106728426795</v>
      </c>
      <c r="H676" s="6" t="n">
        <v>35.07253160466057</v>
      </c>
      <c r="I676" s="6" t="n">
        <v>105.2910401409319</v>
      </c>
    </row>
    <row r="677">
      <c r="A677" s="6" t="inlineStr">
        <is>
          <t>5 wt% Re | 200 C</t>
        </is>
      </c>
      <c r="B677" s="8" t="n">
        <v>0.281</v>
      </c>
      <c r="C677" s="6" t="n">
        <v>1563.634972523305</v>
      </c>
      <c r="D677" s="6" t="n">
        <v>41756.86922714069</v>
      </c>
      <c r="E677" s="8" t="n">
        <v>0.01152334789311944</v>
      </c>
      <c r="F677" s="8" t="n">
        <v>0.005007883030150879</v>
      </c>
      <c r="G677" s="6" t="n">
        <v>1121.933121739987</v>
      </c>
      <c r="H677" s="6" t="n">
        <v>35.122631320005</v>
      </c>
      <c r="I677" s="6" t="n">
        <v>105.4146985500925</v>
      </c>
    </row>
    <row r="678">
      <c r="A678" s="6" t="inlineStr">
        <is>
          <t>5 wt% Re | 200 C</t>
        </is>
      </c>
      <c r="B678" s="8" t="n">
        <v>0.282</v>
      </c>
      <c r="C678" s="6" t="n">
        <v>1565.981992453314</v>
      </c>
      <c r="D678" s="6" t="n">
        <v>41696.69204658262</v>
      </c>
      <c r="E678" s="8" t="n">
        <v>0.01148654118791987</v>
      </c>
      <c r="F678" s="8" t="n">
        <v>0.004983369764487963</v>
      </c>
      <c r="G678" s="6" t="n">
        <v>1123.759515053178</v>
      </c>
      <c r="H678" s="6" t="n">
        <v>35.17273120410812</v>
      </c>
      <c r="I678" s="6" t="n">
        <v>105.5382344374445</v>
      </c>
    </row>
    <row r="679">
      <c r="A679" s="6" t="inlineStr">
        <is>
          <t>5 wt% Re | 200 C</t>
        </is>
      </c>
      <c r="B679" s="8" t="n">
        <v>0.283</v>
      </c>
      <c r="C679" s="6" t="n">
        <v>1568.328893543018</v>
      </c>
      <c r="D679" s="6" t="n">
        <v>41636.53554446298</v>
      </c>
      <c r="E679" s="8" t="n">
        <v>0.01144999188861341</v>
      </c>
      <c r="F679" s="8" t="n">
        <v>0.004959027931149864</v>
      </c>
      <c r="G679" s="6" t="n">
        <v>1125.585908366369</v>
      </c>
      <c r="H679" s="6" t="n">
        <v>35.22283125518099</v>
      </c>
      <c r="I679" s="6" t="n">
        <v>105.6616483205923</v>
      </c>
    </row>
    <row r="680">
      <c r="A680" s="6" t="inlineStr">
        <is>
          <t>5 wt% Re | 200 C</t>
        </is>
      </c>
      <c r="B680" s="8" t="n">
        <v>0.284</v>
      </c>
      <c r="C680" s="6" t="n">
        <v>1570.675676291499</v>
      </c>
      <c r="D680" s="6" t="n">
        <v>41576.39950234752</v>
      </c>
      <c r="E680" s="8" t="n">
        <v>0.01141369730437586</v>
      </c>
      <c r="F680" s="8" t="n">
        <v>0.00493485573804765</v>
      </c>
      <c r="G680" s="6" t="n">
        <v>1127.41230167956</v>
      </c>
      <c r="H680" s="6" t="n">
        <v>35.27293147145983</v>
      </c>
      <c r="I680" s="6" t="n">
        <v>105.7849407131129</v>
      </c>
    </row>
    <row r="681">
      <c r="A681" s="6" t="inlineStr">
        <is>
          <t>5 wt% Re | 200 C</t>
        </is>
      </c>
      <c r="B681" s="8" t="n">
        <v>0.285</v>
      </c>
      <c r="C681" s="6" t="n">
        <v>1573.022341193977</v>
      </c>
      <c r="D681" s="6" t="n">
        <v>41516.28370486781</v>
      </c>
      <c r="E681" s="8" t="n">
        <v>0.0113776547817579</v>
      </c>
      <c r="F681" s="8" t="n">
        <v>0.00491085141798409</v>
      </c>
      <c r="G681" s="6" t="n">
        <v>1129.238694992751</v>
      </c>
      <c r="H681" s="6" t="n">
        <v>35.32303185120563</v>
      </c>
      <c r="I681" s="6" t="n">
        <v>105.9081121246012</v>
      </c>
    </row>
    <row r="682">
      <c r="A682" s="6" t="inlineStr">
        <is>
          <t>5 wt% Re | 200 C</t>
        </is>
      </c>
      <c r="B682" s="8" t="n">
        <v>0.286</v>
      </c>
      <c r="C682" s="6" t="n">
        <v>1575.368888741861</v>
      </c>
      <c r="D682" s="6" t="n">
        <v>41456.18793966753</v>
      </c>
      <c r="E682" s="8" t="n">
        <v>0.01134186170403849</v>
      </c>
      <c r="F682" s="8" t="n">
        <v>0.004887013228222961</v>
      </c>
      <c r="G682" s="6" t="n">
        <v>1131.065088305942</v>
      </c>
      <c r="H682" s="6" t="n">
        <v>35.37313239270371</v>
      </c>
      <c r="I682" s="6" t="n">
        <v>106.0311630607153</v>
      </c>
    </row>
    <row r="683">
      <c r="A683" s="6" t="inlineStr">
        <is>
          <t>5 wt% Re | 200 C</t>
        </is>
      </c>
      <c r="B683" s="8" t="n">
        <v>0.287</v>
      </c>
      <c r="C683" s="6" t="n">
        <v>1577.715319422789</v>
      </c>
      <c r="D683" s="6" t="n">
        <v>41396.11199735001</v>
      </c>
      <c r="E683" s="8" t="n">
        <v>0.01130631549059153</v>
      </c>
      <c r="F683" s="8" t="n">
        <v>0.004863339450067292</v>
      </c>
      <c r="G683" s="6" t="n">
        <v>1132.891481619133</v>
      </c>
      <c r="H683" s="6" t="n">
        <v>35.42323309426327</v>
      </c>
      <c r="I683" s="6" t="n">
        <v>106.1540940232199</v>
      </c>
    </row>
    <row r="684">
      <c r="A684" s="6" t="inlineStr">
        <is>
          <t>5 wt% Re | 200 C</t>
        </is>
      </c>
      <c r="B684" s="8" t="n">
        <v>0.288</v>
      </c>
      <c r="C684" s="6" t="n">
        <v>1580.061633720668</v>
      </c>
      <c r="D684" s="6" t="n">
        <v>41336.0556714269</v>
      </c>
      <c r="E684" s="8" t="n">
        <v>0.01127101359626569</v>
      </c>
      <c r="F684" s="8" t="n">
        <v>0.004839828388446279</v>
      </c>
      <c r="G684" s="6" t="n">
        <v>1134.717874932325</v>
      </c>
      <c r="H684" s="6" t="n">
        <v>35.47333395421702</v>
      </c>
      <c r="I684" s="6" t="n">
        <v>106.2769055100309</v>
      </c>
    </row>
    <row r="685">
      <c r="A685" s="6" t="inlineStr">
        <is>
          <t>5 wt% Re | 200 C</t>
        </is>
      </c>
      <c r="B685" s="8" t="n">
        <v>0.289</v>
      </c>
      <c r="C685" s="6" t="n">
        <v>1582.407832115719</v>
      </c>
      <c r="D685" s="6" t="n">
        <v>41276.01875826783</v>
      </c>
      <c r="E685" s="8" t="n">
        <v>0.01123595351077687</v>
      </c>
      <c r="F685" s="8" t="n">
        <v>0.004816478371510723</v>
      </c>
      <c r="G685" s="6" t="n">
        <v>1136.544268245516</v>
      </c>
      <c r="H685" s="6" t="n">
        <v>35.5234349709207</v>
      </c>
      <c r="I685" s="6" t="n">
        <v>106.3995980152576</v>
      </c>
    </row>
    <row r="686">
      <c r="A686" s="6" t="inlineStr">
        <is>
          <t>5 wt% Re | 200 C</t>
        </is>
      </c>
      <c r="B686" s="8" t="n">
        <v>0.29</v>
      </c>
      <c r="C686" s="6" t="n">
        <v>1584.753915084514</v>
      </c>
      <c r="D686" s="6" t="n">
        <v>41216.00105705105</v>
      </c>
      <c r="E686" s="8" t="n">
        <v>0.01120113275811318</v>
      </c>
      <c r="F686" s="8" t="n">
        <v>0.004793287750236705</v>
      </c>
      <c r="G686" s="6" t="n">
        <v>1138.370661558707</v>
      </c>
      <c r="H686" s="6" t="n">
        <v>35.57353614275279</v>
      </c>
      <c r="I686" s="6" t="n">
        <v>106.5221720292451</v>
      </c>
    </row>
    <row r="687">
      <c r="A687" s="6" t="inlineStr">
        <is>
          <t>5 wt% Re | 200 C</t>
        </is>
      </c>
      <c r="B687" s="8" t="n">
        <v>0.291</v>
      </c>
      <c r="C687" s="6" t="n">
        <v>1587.099883100021</v>
      </c>
      <c r="D687" s="6" t="n">
        <v>41156.00236971534</v>
      </c>
      <c r="E687" s="8" t="n">
        <v>0.01116654889595206</v>
      </c>
      <c r="F687" s="8" t="n">
        <v>0.004770254898037404</v>
      </c>
      <c r="G687" s="6" t="n">
        <v>1140.197054871898</v>
      </c>
      <c r="H687" s="6" t="n">
        <v>35.623637468114</v>
      </c>
      <c r="I687" s="6" t="n">
        <v>106.6446280386163</v>
      </c>
    </row>
    <row r="688">
      <c r="A688" s="6" t="inlineStr">
        <is>
          <t>5 wt% Re | 200 C</t>
        </is>
      </c>
      <c r="B688" s="8" t="n">
        <v>0.292</v>
      </c>
      <c r="C688" s="6" t="n">
        <v>1589.445736631638</v>
      </c>
      <c r="D688" s="6" t="n">
        <v>41096.02250091261</v>
      </c>
      <c r="E688" s="8" t="n">
        <v>0.01113219951508924</v>
      </c>
      <c r="F688" s="8" t="n">
        <v>0.004747378210382764</v>
      </c>
      <c r="G688" s="6" t="n">
        <v>1142.02344818509</v>
      </c>
      <c r="H688" s="6" t="n">
        <v>35.67373894542701</v>
      </c>
      <c r="I688" s="6" t="n">
        <v>106.7669665263127</v>
      </c>
    </row>
    <row r="689">
      <c r="A689" s="6" t="inlineStr">
        <is>
          <t>5 wt% Re | 200 C</t>
        </is>
      </c>
      <c r="B689" s="8" t="n">
        <v>0.293</v>
      </c>
      <c r="C689" s="6" t="n">
        <v>1591.791476145236</v>
      </c>
      <c r="D689" s="6" t="n">
        <v>41036.06125796161</v>
      </c>
      <c r="E689" s="8" t="n">
        <v>0.01109808223887924</v>
      </c>
      <c r="F689" s="8" t="n">
        <v>0.004724656104426904</v>
      </c>
      <c r="G689" s="6" t="n">
        <v>1143.849841498281</v>
      </c>
      <c r="H689" s="6" t="n">
        <v>35.72384057313596</v>
      </c>
      <c r="I689" s="6" t="n">
        <v>106.8891879716351</v>
      </c>
    </row>
    <row r="690">
      <c r="A690" s="6" t="inlineStr">
        <is>
          <t>5 wt% Re | 200 C</t>
        </is>
      </c>
      <c r="B690" s="8" t="n">
        <v>0.294</v>
      </c>
      <c r="C690" s="6" t="n">
        <v>1594.137102103199</v>
      </c>
      <c r="D690" s="6" t="n">
        <v>40976.11845080263</v>
      </c>
      <c r="E690" s="8" t="n">
        <v>0.01106419472268723</v>
      </c>
      <c r="F690" s="8" t="n">
        <v>0.004702087018643027</v>
      </c>
      <c r="G690" s="6" t="n">
        <v>1145.676234811472</v>
      </c>
      <c r="H690" s="6" t="n">
        <v>35.77394234970624</v>
      </c>
      <c r="I690" s="6" t="n">
        <v>107.0112928502833</v>
      </c>
    </row>
    <row r="691">
      <c r="A691" s="6" t="inlineStr">
        <is>
          <t>5 wt% Re | 200 C</t>
        </is>
      </c>
      <c r="B691" s="8" t="n">
        <v>0.295</v>
      </c>
      <c r="C691" s="6" t="n">
        <v>1596.482614964455</v>
      </c>
      <c r="D691" s="6" t="n">
        <v>40916.19389195307</v>
      </c>
      <c r="E691" s="8" t="n">
        <v>0.01103053465335193</v>
      </c>
      <c r="F691" s="8" t="n">
        <v>0.004679669412465716</v>
      </c>
      <c r="G691" s="6" t="n">
        <v>1147.502628124663</v>
      </c>
      <c r="H691" s="6" t="n">
        <v>35.82404427362396</v>
      </c>
      <c r="I691" s="6" t="n">
        <v>107.1332816343956</v>
      </c>
    </row>
    <row r="692">
      <c r="A692" s="6" t="inlineStr">
        <is>
          <t>5 wt% Re | 200 C</t>
        </is>
      </c>
      <c r="B692" s="8" t="n">
        <v>0.296</v>
      </c>
      <c r="C692" s="6" t="n">
        <v>1598.828015184521</v>
      </c>
      <c r="D692" s="6" t="n">
        <v>40856.28739646381</v>
      </c>
      <c r="E692" s="8" t="n">
        <v>0.01099709974865922</v>
      </c>
      <c r="F692" s="8" t="n">
        <v>0.004657401765940368</v>
      </c>
      <c r="G692" s="6" t="n">
        <v>1149.329021437854</v>
      </c>
      <c r="H692" s="6" t="n">
        <v>35.87414634339578</v>
      </c>
      <c r="I692" s="6" t="n">
        <v>107.2551547925874</v>
      </c>
    </row>
    <row r="693">
      <c r="A693" s="6" t="inlineStr">
        <is>
          <t>5 wt% Re | 200 C</t>
        </is>
      </c>
      <c r="B693" s="8" t="n">
        <v>0.297</v>
      </c>
      <c r="C693" s="6" t="n">
        <v>1601.173303215537</v>
      </c>
      <c r="D693" s="6" t="n">
        <v>40796.39878187671</v>
      </c>
      <c r="E693" s="8" t="n">
        <v>0.01096388775682634</v>
      </c>
      <c r="F693" s="8" t="n">
        <v>0.004635282579379675</v>
      </c>
      <c r="G693" s="6" t="n">
        <v>1151.155414751045</v>
      </c>
      <c r="H693" s="6" t="n">
        <v>35.92424855754838</v>
      </c>
      <c r="I693" s="6" t="n">
        <v>107.3769127899899</v>
      </c>
    </row>
    <row r="694">
      <c r="A694" s="6" t="inlineStr">
        <is>
          <t>5 wt% Re | 200 C</t>
        </is>
      </c>
      <c r="B694" s="8" t="n">
        <v>0.298</v>
      </c>
      <c r="C694" s="6" t="n">
        <v>1603.518479506301</v>
      </c>
      <c r="D694" s="6" t="n">
        <v>40736.52786818264</v>
      </c>
      <c r="E694" s="8" t="n">
        <v>0.01093089645599639</v>
      </c>
      <c r="F694" s="8" t="n">
        <v>0.004613310373026924</v>
      </c>
      <c r="G694" s="6" t="n">
        <v>1152.981808064237</v>
      </c>
      <c r="H694" s="6" t="n">
        <v>35.97435091462831</v>
      </c>
      <c r="I694" s="6" t="n">
        <v>107.4985560882871</v>
      </c>
    </row>
    <row r="695">
      <c r="A695" s="6" t="inlineStr">
        <is>
          <t>5 wt% Re | 200 C</t>
        </is>
      </c>
      <c r="B695" s="8" t="n">
        <v>0.299</v>
      </c>
      <c r="C695" s="6" t="n">
        <v>1605.863544502306</v>
      </c>
      <c r="D695" s="6" t="n">
        <v>40676.6744777807</v>
      </c>
      <c r="E695" s="8" t="n">
        <v>0.01089812365374277</v>
      </c>
      <c r="F695" s="8" t="n">
        <v>0.004591483686726014</v>
      </c>
      <c r="G695" s="6" t="n">
        <v>1154.808201377428</v>
      </c>
      <c r="H695" s="6" t="n">
        <v>36.02445341320147</v>
      </c>
      <c r="I695" s="6" t="n">
        <v>107.6200851457535</v>
      </c>
    </row>
    <row r="696">
      <c r="A696" s="6" t="inlineStr">
        <is>
          <t>5 wt% Re | 200 C</t>
        </is>
      </c>
      <c r="B696" s="8" t="n">
        <v>0.3</v>
      </c>
      <c r="C696" s="6" t="n">
        <v>1608.208498645778</v>
      </c>
      <c r="D696" s="6" t="n">
        <v>40616.83843543794</v>
      </c>
      <c r="E696" s="8" t="n">
        <v>0.01086556718658356</v>
      </c>
      <c r="F696" s="8" t="n">
        <v>0.004569801079597985</v>
      </c>
      <c r="G696" s="6" t="n">
        <v>1156.634594690619</v>
      </c>
      <c r="H696" s="6" t="n">
        <v>36.07455605185297</v>
      </c>
      <c r="I696" s="6" t="n">
        <v>107.7415004172907</v>
      </c>
    </row>
    <row r="697">
      <c r="A697" s="6" t="inlineStr">
        <is>
          <t>5 wt% Re | 200 C</t>
        </is>
      </c>
      <c r="B697" s="8" t="n">
        <v>0.301</v>
      </c>
      <c r="C697" s="6" t="n">
        <v>1610.553342375704</v>
      </c>
      <c r="D697" s="6" t="n">
        <v>40557.01956825014</v>
      </c>
      <c r="E697" s="8" t="n">
        <v>0.01083322491950542</v>
      </c>
      <c r="F697" s="8" t="n">
        <v>0.004548261129723941</v>
      </c>
      <c r="G697" s="6" t="n">
        <v>1158.46098800381</v>
      </c>
      <c r="H697" s="6" t="n">
        <v>36.12465882918663</v>
      </c>
      <c r="I697" s="6" t="n">
        <v>107.862802354463</v>
      </c>
    </row>
    <row r="698">
      <c r="A698" s="6" t="inlineStr">
        <is>
          <t>5 wt% Re | 200 C</t>
        </is>
      </c>
      <c r="B698" s="8" t="n">
        <v>0.302</v>
      </c>
      <c r="C698" s="6" t="n">
        <v>1612.898076127876</v>
      </c>
      <c r="D698" s="6" t="n">
        <v>40497.21770560317</v>
      </c>
      <c r="E698" s="8" t="n">
        <v>0.01080109474549683</v>
      </c>
      <c r="F698" s="8" t="n">
        <v>0.004526862433834217</v>
      </c>
      <c r="G698" s="6" t="n">
        <v>1160.287381317001</v>
      </c>
      <c r="H698" s="6" t="n">
        <v>36.17476174382487</v>
      </c>
      <c r="I698" s="6" t="n">
        <v>107.9839914055339</v>
      </c>
    </row>
    <row r="699">
      <c r="A699" s="6" t="inlineStr">
        <is>
          <t>5 wt% Re | 200 C</t>
        </is>
      </c>
      <c r="B699" s="8" t="n">
        <v>0.303</v>
      </c>
      <c r="C699" s="6" t="n">
        <v>1615.242700334915</v>
      </c>
      <c r="D699" s="6" t="n">
        <v>40437.43267913524</v>
      </c>
      <c r="E699" s="8" t="n">
        <v>0.01076917458509054</v>
      </c>
      <c r="F699" s="8" t="n">
        <v>0.004505603607003631</v>
      </c>
      <c r="G699" s="6" t="n">
        <v>1162.113774630192</v>
      </c>
      <c r="H699" s="6" t="n">
        <v>36.22486479440821</v>
      </c>
      <c r="I699" s="6" t="n">
        <v>108.1050680155001</v>
      </c>
    </row>
    <row r="700">
      <c r="A700" s="6" t="inlineStr">
        <is>
          <t>5 wt% Re | 200 C</t>
        </is>
      </c>
      <c r="B700" s="8" t="n">
        <v>0.304</v>
      </c>
      <c r="C700" s="6" t="n">
        <v>1617.587215426313</v>
      </c>
      <c r="D700" s="6" t="n">
        <v>40377.66432269984</v>
      </c>
      <c r="E700" s="8" t="n">
        <v>0.01073746238591496</v>
      </c>
      <c r="F700" s="8" t="n">
        <v>0.004484483282352691</v>
      </c>
      <c r="G700" s="6" t="n">
        <v>1163.940167943384</v>
      </c>
      <c r="H700" s="6" t="n">
        <v>36.27496797959507</v>
      </c>
      <c r="I700" s="6" t="n">
        <v>108.2260326261273</v>
      </c>
    </row>
    <row r="701">
      <c r="A701" s="6" t="inlineStr">
        <is>
          <t>5 wt% Re | 200 C</t>
        </is>
      </c>
      <c r="B701" s="8" t="n">
        <v>0.305</v>
      </c>
      <c r="C701" s="6" t="n">
        <v>1619.931621828461</v>
      </c>
      <c r="D701" s="6" t="n">
        <v>40317.91247232946</v>
      </c>
      <c r="E701" s="8" t="n">
        <v>0.01070595612225422</v>
      </c>
      <c r="F701" s="8" t="n">
        <v>0.004463500110754643</v>
      </c>
      <c r="G701" s="6" t="n">
        <v>1165.766561256575</v>
      </c>
      <c r="H701" s="6" t="n">
        <v>36.32507129806151</v>
      </c>
      <c r="I701" s="6" t="n">
        <v>108.3468856759835</v>
      </c>
    </row>
    <row r="702">
      <c r="A702" s="6" t="inlineStr">
        <is>
          <t>5 wt% Re | 200 C</t>
        </is>
      </c>
      <c r="B702" s="8" t="n">
        <v>0.306</v>
      </c>
      <c r="C702" s="6" t="n">
        <v>1622.275919964681</v>
      </c>
      <c r="D702" s="6" t="n">
        <v>40258.17696619988</v>
      </c>
      <c r="E702" s="8" t="n">
        <v>0.01067465379461688</v>
      </c>
      <c r="F702" s="8" t="n">
        <v>0.004442652760548173</v>
      </c>
      <c r="G702" s="6" t="n">
        <v>1167.592954569766</v>
      </c>
      <c r="H702" s="6" t="n">
        <v>36.37517474850087</v>
      </c>
      <c r="I702" s="6" t="n">
        <v>108.4676276004732</v>
      </c>
    </row>
    <row r="703">
      <c r="A703" s="6" t="inlineStr">
        <is>
          <t>5 wt% Re | 200 C</t>
        </is>
      </c>
      <c r="B703" s="8" t="n">
        <v>0.307</v>
      </c>
      <c r="C703" s="6" t="n">
        <v>1624.620110255262</v>
      </c>
      <c r="D703" s="6" t="n">
        <v>40198.45764459546</v>
      </c>
      <c r="E703" s="8" t="n">
        <v>0.01064355342931288</v>
      </c>
      <c r="F703" s="8" t="n">
        <v>0.004421939917255709</v>
      </c>
      <c r="G703" s="6" t="n">
        <v>1169.419347882957</v>
      </c>
      <c r="H703" s="6" t="n">
        <v>36.42527832962347</v>
      </c>
      <c r="I703" s="6" t="n">
        <v>108.5882588318702</v>
      </c>
    </row>
    <row r="704">
      <c r="A704" s="6" t="inlineStr">
        <is>
          <t>5 wt% Re | 200 C</t>
        </is>
      </c>
      <c r="B704" s="8" t="n">
        <v>0.308</v>
      </c>
      <c r="C704" s="6" t="n">
        <v>1626.964193117489</v>
      </c>
      <c r="D704" s="6" t="n">
        <v>40138.75434987467</v>
      </c>
      <c r="E704" s="8" t="n">
        <v>0.01061265307803873</v>
      </c>
      <c r="F704" s="8" t="n">
        <v>0.004401360283307125</v>
      </c>
      <c r="G704" s="6" t="n">
        <v>1171.245741196148</v>
      </c>
      <c r="H704" s="6" t="n">
        <v>36.47538204015648</v>
      </c>
      <c r="I704" s="6" t="n">
        <v>108.7087797993507</v>
      </c>
    </row>
    <row r="705">
      <c r="A705" s="6" t="inlineStr">
        <is>
          <t>5 wt% Re | 200 C</t>
        </is>
      </c>
      <c r="B705" s="8" t="n">
        <v>0.309</v>
      </c>
      <c r="C705" s="6" t="n">
        <v>1629.308168965673</v>
      </c>
      <c r="D705" s="6" t="n">
        <v>40079.06692643673</v>
      </c>
      <c r="E705" s="8" t="n">
        <v>0.01058195081747064</v>
      </c>
      <c r="F705" s="8" t="n">
        <v>0.00438091257776878</v>
      </c>
      <c r="G705" s="6" t="n">
        <v>1173.072134509339</v>
      </c>
      <c r="H705" s="6" t="n">
        <v>36.52548587884343</v>
      </c>
      <c r="I705" s="6" t="n">
        <v>108.8291909290253</v>
      </c>
    </row>
    <row r="706">
      <c r="A706" s="6" t="inlineStr">
        <is>
          <t>5 wt% Re | 200 C</t>
        </is>
      </c>
      <c r="B706" s="8" t="n">
        <v>0.31</v>
      </c>
      <c r="C706" s="6" t="n">
        <v>1631.652038211187</v>
      </c>
      <c r="D706" s="6" t="n">
        <v>40019.39522068856</v>
      </c>
      <c r="E706" s="8" t="n">
        <v>0.01055144474886548</v>
      </c>
      <c r="F706" s="8" t="n">
        <v>0.004360595536077741</v>
      </c>
      <c r="G706" s="6" t="n">
        <v>1174.898527822531</v>
      </c>
      <c r="H706" s="6" t="n">
        <v>36.57558984444417</v>
      </c>
      <c r="I706" s="6" t="n">
        <v>108.9494926439714</v>
      </c>
    </row>
    <row r="707">
      <c r="A707" s="6" t="inlineStr">
        <is>
          <t>5 wt% Re | 200 C</t>
        </is>
      </c>
      <c r="B707" s="8" t="n">
        <v>0.311</v>
      </c>
      <c r="C707" s="6" t="n">
        <v>1633.995801262489</v>
      </c>
      <c r="D707" s="6" t="n">
        <v>39959.73908101259</v>
      </c>
      <c r="E707" s="8" t="n">
        <v>0.01052113299766931</v>
      </c>
      <c r="F707" s="8" t="n">
        <v>0.004340407909781092</v>
      </c>
      <c r="G707" s="6" t="n">
        <v>1176.724921135722</v>
      </c>
      <c r="H707" s="6" t="n">
        <v>36.62569393573443</v>
      </c>
      <c r="I707" s="6" t="n">
        <v>109.069685364264</v>
      </c>
    </row>
    <row r="708">
      <c r="A708" s="6" t="inlineStr">
        <is>
          <t>5 wt% Re | 200 C</t>
        </is>
      </c>
      <c r="B708" s="8" t="n">
        <v>0.312</v>
      </c>
      <c r="C708" s="6" t="n">
        <v>1636.33945852516</v>
      </c>
      <c r="D708" s="6" t="n">
        <v>39900.09835773503</v>
      </c>
      <c r="E708" s="8" t="n">
        <v>0.01049101371313343</v>
      </c>
      <c r="F708" s="8" t="n">
        <v>0.004320348466280196</v>
      </c>
      <c r="G708" s="6" t="n">
        <v>1178.551314448913</v>
      </c>
      <c r="H708" s="6" t="n">
        <v>36.67579815150565</v>
      </c>
      <c r="I708" s="6" t="n">
        <v>109.1897695070072</v>
      </c>
    </row>
    <row r="709">
      <c r="A709" s="6" t="inlineStr">
        <is>
          <t>5 wt% Re | 200 C</t>
        </is>
      </c>
      <c r="B709" s="8" t="n">
        <v>0.313</v>
      </c>
      <c r="C709" s="6" t="n">
        <v>1638.683010401925</v>
      </c>
      <c r="D709" s="6" t="n">
        <v>39840.47290309488</v>
      </c>
      <c r="E709" s="8" t="n">
        <v>0.01046108506793769</v>
      </c>
      <c r="F709" s="8" t="n">
        <v>0.004300415988579832</v>
      </c>
      <c r="G709" s="6" t="n">
        <v>1180.377707762104</v>
      </c>
      <c r="H709" s="6" t="n">
        <v>36.72590249056473</v>
      </c>
      <c r="I709" s="6" t="n">
        <v>109.3097454863644</v>
      </c>
    </row>
    <row r="710">
      <c r="A710" s="6" t="inlineStr">
        <is>
          <t>5 wt% Re | 200 C</t>
        </is>
      </c>
      <c r="B710" s="8" t="n">
        <v>0.314</v>
      </c>
      <c r="C710" s="6" t="n">
        <v>1641.026457292691</v>
      </c>
      <c r="D710" s="6" t="n">
        <v>39780.86257121345</v>
      </c>
      <c r="E710" s="8" t="n">
        <v>0.01043134525782092</v>
      </c>
      <c r="F710" s="8" t="n">
        <v>0.00428060927504206</v>
      </c>
      <c r="G710" s="6" t="n">
        <v>1182.204101075296</v>
      </c>
      <c r="H710" s="6" t="n">
        <v>36.77600695173376</v>
      </c>
      <c r="I710" s="6" t="n">
        <v>109.4296137135889</v>
      </c>
    </row>
    <row r="711">
      <c r="A711" s="6" t="inlineStr">
        <is>
          <t>5 wt% Re | 200 C</t>
        </is>
      </c>
      <c r="B711" s="8" t="n">
        <v>0.315</v>
      </c>
      <c r="C711" s="6" t="n">
        <v>1643.369799594568</v>
      </c>
      <c r="D711" s="6" t="n">
        <v>39721.26721806445</v>
      </c>
      <c r="E711" s="8" t="n">
        <v>0.01040179250121835</v>
      </c>
      <c r="F711" s="8" t="n">
        <v>0.004260927139144755</v>
      </c>
      <c r="G711" s="6" t="n">
        <v>1184.030494388486</v>
      </c>
      <c r="H711" s="6" t="n">
        <v>36.82611153384978</v>
      </c>
      <c r="I711" s="6" t="n">
        <v>109.5493745970534</v>
      </c>
    </row>
    <row r="712">
      <c r="A712" s="6" t="inlineStr">
        <is>
          <t>5 wt% Re | 200 C</t>
        </is>
      </c>
      <c r="B712" s="8" t="n">
        <v>0.316</v>
      </c>
      <c r="C712" s="6" t="n">
        <v>1645.713037701902</v>
      </c>
      <c r="D712" s="6" t="n">
        <v>39661.68670144474</v>
      </c>
      <c r="E712" s="8" t="n">
        <v>0.01037242503890588</v>
      </c>
      <c r="F712" s="8" t="n">
        <v>0.004241368409244648</v>
      </c>
      <c r="G712" s="6" t="n">
        <v>1185.856887701678</v>
      </c>
      <c r="H712" s="6" t="n">
        <v>36.87621623576459</v>
      </c>
      <c r="I712" s="6" t="n">
        <v>109.6690285422796</v>
      </c>
    </row>
    <row r="713">
      <c r="A713" s="6" t="inlineStr">
        <is>
          <t>5 wt% Re | 200 C</t>
        </is>
      </c>
      <c r="B713" s="8" t="n">
        <v>0.317</v>
      </c>
      <c r="C713" s="6" t="n">
        <v>1648.056172006302</v>
      </c>
      <c r="D713" s="6" t="n">
        <v>39602.12088094551</v>
      </c>
      <c r="E713" s="8" t="n">
        <v>0.01034324113365094</v>
      </c>
      <c r="F713" s="8" t="n">
        <v>0.004221931928344853</v>
      </c>
      <c r="G713" s="6" t="n">
        <v>1187.683281014869</v>
      </c>
      <c r="H713" s="6" t="n">
        <v>36.9263210563444</v>
      </c>
      <c r="I713" s="6" t="n">
        <v>109.7885759519667</v>
      </c>
    </row>
    <row r="714">
      <c r="A714" s="6" t="inlineStr">
        <is>
          <t>5 wt% Re | 200 C</t>
        </is>
      </c>
      <c r="B714" s="8" t="n">
        <v>0.318</v>
      </c>
      <c r="C714" s="6" t="n">
        <v>1650.399202896669</v>
      </c>
      <c r="D714" s="6" t="n">
        <v>39542.56961792412</v>
      </c>
      <c r="E714" s="8" t="n">
        <v>0.01031423906986993</v>
      </c>
      <c r="F714" s="8" t="n">
        <v>0.004202616553866699</v>
      </c>
      <c r="G714" s="6" t="n">
        <v>1189.50967432806</v>
      </c>
      <c r="H714" s="6" t="n">
        <v>36.97642599446976</v>
      </c>
      <c r="I714" s="6" t="n">
        <v>109.9080172260208</v>
      </c>
    </row>
    <row r="715">
      <c r="A715" s="6" t="inlineStr">
        <is>
          <t>5 wt% Re | 200 C</t>
        </is>
      </c>
      <c r="B715" s="8" t="n">
        <v>0.319</v>
      </c>
      <c r="C715" s="6" t="n">
        <v>1652.742130759218</v>
      </c>
      <c r="D715" s="6" t="n">
        <v>39483.03277547639</v>
      </c>
      <c r="E715" s="8" t="n">
        <v>0.01028541715329206</v>
      </c>
      <c r="F715" s="8" t="n">
        <v>0.004183421157425844</v>
      </c>
      <c r="G715" s="6" t="n">
        <v>1191.336067641251</v>
      </c>
      <c r="H715" s="6" t="n">
        <v>37.02653104903522</v>
      </c>
      <c r="I715" s="6" t="n">
        <v>110.0273527615824</v>
      </c>
    </row>
    <row r="716">
      <c r="A716" s="6" t="inlineStr">
        <is>
          <t>5 wt% Re | 200 C</t>
        </is>
      </c>
      <c r="B716" s="8" t="n">
        <v>0.32</v>
      </c>
      <c r="C716" s="6" t="n">
        <v>1655.084955977513</v>
      </c>
      <c r="D716" s="6" t="n">
        <v>39423.51021840944</v>
      </c>
      <c r="E716" s="8" t="n">
        <v>0.01025677371062942</v>
      </c>
      <c r="F716" s="8" t="n">
        <v>0.004164344624612526</v>
      </c>
      <c r="G716" s="6" t="n">
        <v>1193.162460954443</v>
      </c>
      <c r="H716" s="6" t="n">
        <v>37.07663621894916</v>
      </c>
      <c r="I716" s="6" t="n">
        <v>110.1465829530546</v>
      </c>
    </row>
    <row r="717">
      <c r="A717" s="6" t="inlineStr">
        <is>
          <t>5 wt% Re | 200 C</t>
        </is>
      </c>
      <c r="B717" s="8" t="n">
        <v>0.321</v>
      </c>
      <c r="C717" s="6" t="n">
        <v>1657.427678932486</v>
      </c>
      <c r="D717" s="6" t="n">
        <v>39364.00181321506</v>
      </c>
      <c r="E717" s="8" t="n">
        <v>0.01022830708925312</v>
      </c>
      <c r="F717" s="8" t="n">
        <v>0.004145385854775907</v>
      </c>
      <c r="G717" s="6" t="n">
        <v>1194.988854267634</v>
      </c>
      <c r="H717" s="6" t="n">
        <v>37.12674150313354</v>
      </c>
      <c r="I717" s="6" t="n">
        <v>110.2657081921305</v>
      </c>
    </row>
    <row r="718">
      <c r="A718" s="6" t="inlineStr">
        <is>
          <t>5 wt% Re | 200 C</t>
        </is>
      </c>
      <c r="B718" s="8" t="n">
        <v>0.322</v>
      </c>
      <c r="C718" s="6" t="n">
        <v>1659.770300002469</v>
      </c>
      <c r="D718" s="6" t="n">
        <v>39304.50742804347</v>
      </c>
      <c r="E718" s="8" t="n">
        <v>0.01020001565687544</v>
      </c>
      <c r="F718" s="8" t="n">
        <v>0.004126543760812373</v>
      </c>
      <c r="G718" s="6" t="n">
        <v>1196.815247580825</v>
      </c>
      <c r="H718" s="6" t="n">
        <v>37.17684690052374</v>
      </c>
      <c r="I718" s="6" t="n">
        <v>110.3847288678204</v>
      </c>
    </row>
    <row r="719">
      <c r="A719" s="6" t="inlineStr">
        <is>
          <t>5 wt% Re | 200 C</t>
        </is>
      </c>
      <c r="B719" s="8" t="n">
        <v>0.323</v>
      </c>
      <c r="C719" s="6" t="n">
        <v>1662.112819563215</v>
      </c>
      <c r="D719" s="6" t="n">
        <v>39245.02693267777</v>
      </c>
      <c r="E719" s="8" t="n">
        <v>0.01017189780123787</v>
      </c>
      <c r="F719" s="8" t="n">
        <v>0.004107817268957749</v>
      </c>
      <c r="G719" s="6" t="n">
        <v>1198.641640894016</v>
      </c>
      <c r="H719" s="6" t="n">
        <v>37.22695241006831</v>
      </c>
      <c r="I719" s="6" t="n">
        <v>110.5036453664786</v>
      </c>
    </row>
    <row r="720">
      <c r="A720" s="6" t="inlineStr">
        <is>
          <t>5 wt% Re | 200 C</t>
        </is>
      </c>
      <c r="B720" s="8" t="n">
        <v>0.324</v>
      </c>
      <c r="C720" s="6" t="n">
        <v>1664.455237987927</v>
      </c>
      <c r="D720" s="6" t="n">
        <v>39185.56019850862</v>
      </c>
      <c r="E720" s="8" t="n">
        <v>0.01014395192980479</v>
      </c>
      <c r="F720" s="8" t="n">
        <v>0.004089205318583317</v>
      </c>
      <c r="G720" s="6" t="n">
        <v>1200.468034207208</v>
      </c>
      <c r="H720" s="6" t="n">
        <v>37.2770580307288</v>
      </c>
      <c r="I720" s="6" t="n">
        <v>110.6224580718296</v>
      </c>
    </row>
    <row r="721">
      <c r="A721" s="6" t="inlineStr">
        <is>
          <t>5 wt% Re | 200 C</t>
        </is>
      </c>
      <c r="B721" s="8" t="n">
        <v>0.325</v>
      </c>
      <c r="C721" s="6" t="n">
        <v>1666.797555647283</v>
      </c>
      <c r="D721" s="6" t="n">
        <v>39126.1070985096</v>
      </c>
      <c r="E721" s="8" t="n">
        <v>0.01011617646946283</v>
      </c>
      <c r="F721" s="8" t="n">
        <v>0.004070706861995579</v>
      </c>
      <c r="G721" s="6" t="n">
        <v>1202.294427520398</v>
      </c>
      <c r="H721" s="6" t="n">
        <v>37.3271637614795</v>
      </c>
      <c r="I721" s="6" t="n">
        <v>110.7411673649943</v>
      </c>
    </row>
    <row r="722">
      <c r="A722" s="6" t="inlineStr">
        <is>
          <t>5 wt% Re | 200 C</t>
        </is>
      </c>
      <c r="B722" s="8" t="n">
        <v>0.326</v>
      </c>
      <c r="C722" s="6" t="n">
        <v>1669.13977290946</v>
      </c>
      <c r="D722" s="6" t="n">
        <v>39066.66750721289</v>
      </c>
      <c r="E722" s="8" t="n">
        <v>0.0100885698662257</v>
      </c>
      <c r="F722" s="8" t="n">
        <v>0.004052320864239645</v>
      </c>
      <c r="G722" s="6" t="n">
        <v>1204.12082083359</v>
      </c>
      <c r="H722" s="6" t="n">
        <v>37.37726960130731</v>
      </c>
      <c r="I722" s="6" t="n">
        <v>110.8597736245158</v>
      </c>
    </row>
    <row r="723">
      <c r="A723" s="6" t="inlineStr">
        <is>
          <t>5 wt% Re | 200 C</t>
        </is>
      </c>
      <c r="B723" s="8" t="n">
        <v>0.327</v>
      </c>
      <c r="C723" s="6" t="n">
        <v>1671.481890140157</v>
      </c>
      <c r="D723" s="6" t="n">
        <v>39007.24130068546</v>
      </c>
      <c r="E723" s="8" t="n">
        <v>0.0100611305849443</v>
      </c>
      <c r="F723" s="8" t="n">
        <v>0.004034046302906233</v>
      </c>
      <c r="G723" s="6" t="n">
        <v>1205.947214146781</v>
      </c>
      <c r="H723" s="6" t="n">
        <v>37.42737554921153</v>
      </c>
      <c r="I723" s="6" t="n">
        <v>110.9782772263849</v>
      </c>
    </row>
    <row r="724">
      <c r="A724" s="6" t="inlineStr">
        <is>
          <t>5 wt% Re | 200 C</t>
        </is>
      </c>
      <c r="B724" s="8" t="n">
        <v>0.328</v>
      </c>
      <c r="C724" s="6" t="n">
        <v>1673.823907702623</v>
      </c>
      <c r="D724" s="6" t="n">
        <v>38947.8283565056</v>
      </c>
      <c r="E724" s="8" t="n">
        <v>0.01003385710902223</v>
      </c>
      <c r="F724" s="8" t="n">
        <v>0.004015882167942131</v>
      </c>
      <c r="G724" s="6" t="n">
        <v>1207.773607459972</v>
      </c>
      <c r="H724" s="6" t="n">
        <v>37.47748160420367</v>
      </c>
      <c r="I724" s="6" t="n">
        <v>111.0966785440649</v>
      </c>
    </row>
    <row r="725">
      <c r="A725" s="6" t="inlineStr">
        <is>
          <t>5 wt% Re | 200 C</t>
        </is>
      </c>
      <c r="B725" s="8" t="n">
        <v>0.329</v>
      </c>
      <c r="C725" s="6" t="n">
        <v>1676.165825957676</v>
      </c>
      <c r="D725" s="6" t="n">
        <v>38888.42855374008</v>
      </c>
      <c r="E725" s="8" t="n">
        <v>0.01000674794013631</v>
      </c>
      <c r="F725" s="8" t="n">
        <v>0.003997827461464115</v>
      </c>
      <c r="G725" s="6" t="n">
        <v>1209.600000773163</v>
      </c>
      <c r="H725" s="6" t="n">
        <v>37.52758776530723</v>
      </c>
      <c r="I725" s="6" t="n">
        <v>111.2149779485165</v>
      </c>
    </row>
    <row r="726">
      <c r="A726" s="6" t="inlineStr">
        <is>
          <t>5 wt% Re | 200 C</t>
        </is>
      </c>
      <c r="B726" s="8" t="n">
        <v>0.33</v>
      </c>
      <c r="C726" s="6" t="n">
        <v>1678.507645263734</v>
      </c>
      <c r="D726" s="6" t="n">
        <v>38829.04177292148</v>
      </c>
      <c r="E726" s="8" t="n">
        <v>0.009979801597962254</v>
      </c>
      <c r="F726" s="8" t="n">
        <v>0.003979881197576191</v>
      </c>
      <c r="G726" s="6" t="n">
        <v>1211.426394086355</v>
      </c>
      <c r="H726" s="6" t="n">
        <v>37.57769403155757</v>
      </c>
      <c r="I726" s="6" t="n">
        <v>111.3331758082222</v>
      </c>
    </row>
    <row r="727">
      <c r="A727" s="6" t="inlineStr">
        <is>
          <t>5 wt% Re | 200 C</t>
        </is>
      </c>
      <c r="B727" s="8" t="n">
        <v>0.331</v>
      </c>
      <c r="C727" s="6" t="n">
        <v>1680.849365976829</v>
      </c>
      <c r="D727" s="6" t="n">
        <v>38769.66789602613</v>
      </c>
      <c r="E727" s="8" t="n">
        <v>0.009953016619905143</v>
      </c>
      <c r="F727" s="8" t="n">
        <v>0.003962042402190156</v>
      </c>
      <c r="G727" s="6" t="n">
        <v>1213.252787399545</v>
      </c>
      <c r="H727" s="6" t="n">
        <v>37.62780040200168</v>
      </c>
      <c r="I727" s="6" t="n">
        <v>111.4512724892106</v>
      </c>
    </row>
    <row r="728">
      <c r="A728" s="6" t="inlineStr">
        <is>
          <t>5 wt% Re | 200 C</t>
        </is>
      </c>
      <c r="B728" s="8" t="n">
        <v>0.332</v>
      </c>
      <c r="C728" s="6" t="n">
        <v>1683.190988450638</v>
      </c>
      <c r="D728" s="6" t="n">
        <v>38710.3068064523</v>
      </c>
      <c r="E728" s="8" t="n">
        <v>0.009926391560834833</v>
      </c>
      <c r="F728" s="8" t="n">
        <v>0.003944310112849329</v>
      </c>
      <c r="G728" s="6" t="n">
        <v>1215.079180712737</v>
      </c>
      <c r="H728" s="6" t="n">
        <v>37.67790687569807</v>
      </c>
      <c r="I728" s="6" t="n">
        <v>111.56926835508</v>
      </c>
    </row>
    <row r="729">
      <c r="A729" s="6" t="inlineStr">
        <is>
          <t>5 wt% Re | 200 C</t>
        </is>
      </c>
      <c r="B729" s="8" t="n">
        <v>0.333</v>
      </c>
      <c r="C729" s="6" t="n">
        <v>1685.532513036501</v>
      </c>
      <c r="D729" s="6" t="n">
        <v>38650.95838899889</v>
      </c>
      <c r="E729" s="8" t="n">
        <v>0.009899924992826046</v>
      </c>
      <c r="F729" s="8" t="n">
        <v>0.003926683378555478</v>
      </c>
      <c r="G729" s="6" t="n">
        <v>1216.905574025928</v>
      </c>
      <c r="H729" s="6" t="n">
        <v>37.72801345171651</v>
      </c>
      <c r="I729" s="6" t="n">
        <v>111.687163767022</v>
      </c>
    </row>
    <row r="730">
      <c r="A730" s="6" t="inlineStr">
        <is>
          <t>5 wt% Re | 200 C</t>
        </is>
      </c>
      <c r="B730" s="8" t="n">
        <v>0.334</v>
      </c>
      <c r="C730" s="6" t="n">
        <v>1687.873940083446</v>
      </c>
      <c r="D730" s="6" t="n">
        <v>38591.62252984448</v>
      </c>
      <c r="E730" s="8" t="n">
        <v>0.009873615504903087</v>
      </c>
      <c r="F730" s="8" t="n">
        <v>0.003909161259598785</v>
      </c>
      <c r="G730" s="6" t="n">
        <v>1218.731967339119</v>
      </c>
      <c r="H730" s="6" t="n">
        <v>37.778120129138</v>
      </c>
      <c r="I730" s="6" t="n">
        <v>111.8049590838447</v>
      </c>
    </row>
    <row r="731">
      <c r="A731" s="6" t="inlineStr">
        <is>
          <t>5 wt% Re | 200 C</t>
        </is>
      </c>
      <c r="B731" s="8" t="n">
        <v>0.335</v>
      </c>
      <c r="C731" s="6" t="n">
        <v>1690.21526993821</v>
      </c>
      <c r="D731" s="6" t="n">
        <v>38532.29911652667</v>
      </c>
      <c r="E731" s="8" t="n">
        <v>0.00984746170278908</v>
      </c>
      <c r="F731" s="8" t="n">
        <v>0.003891742827390859</v>
      </c>
      <c r="G731" s="6" t="n">
        <v>1220.55836065231</v>
      </c>
      <c r="H731" s="6" t="n">
        <v>37.82822690705437</v>
      </c>
      <c r="I731" s="6" t="n">
        <v>111.9226546619956</v>
      </c>
    </row>
    <row r="732">
      <c r="A732" s="6" t="inlineStr">
        <is>
          <t>5 wt% Re | 200 C</t>
        </is>
      </c>
      <c r="B732" s="8" t="n">
        <v>0.336</v>
      </c>
      <c r="C732" s="6" t="n">
        <v>1692.556502945261</v>
      </c>
      <c r="D732" s="6" t="n">
        <v>38472.98803792193</v>
      </c>
      <c r="E732" s="8" t="n">
        <v>0.009821462208659695</v>
      </c>
      <c r="F732" s="8" t="n">
        <v>0.003874427164300687</v>
      </c>
      <c r="G732" s="6" t="n">
        <v>1222.384753965502</v>
      </c>
      <c r="H732" s="6" t="n">
        <v>37.87833378456841</v>
      </c>
      <c r="I732" s="6" t="n">
        <v>112.0402508555845</v>
      </c>
    </row>
    <row r="733">
      <c r="A733" s="6" t="inlineStr">
        <is>
          <t>5 wt% Re | 200 C</t>
        </is>
      </c>
      <c r="B733" s="8" t="n">
        <v>0.337</v>
      </c>
      <c r="C733" s="6" t="n">
        <v>1694.897639446819</v>
      </c>
      <c r="D733" s="6" t="n">
        <v>38413.6891842257</v>
      </c>
      <c r="E733" s="8" t="n">
        <v>0.00979561566090115</v>
      </c>
      <c r="F733" s="8" t="n">
        <v>0.003857213363493497</v>
      </c>
      <c r="G733" s="6" t="n">
        <v>1224.211147278693</v>
      </c>
      <c r="H733" s="6" t="n">
        <v>37.92844076079346</v>
      </c>
      <c r="I733" s="6" t="n">
        <v>112.1577480164054</v>
      </c>
    </row>
    <row r="734">
      <c r="A734" s="6" t="inlineStr">
        <is>
          <t>5 wt% Re | 200 C</t>
        </is>
      </c>
      <c r="B734" s="8" t="n">
        <v>0.338</v>
      </c>
      <c r="C734" s="6" t="n">
        <v>1697.238679782882</v>
      </c>
      <c r="D734" s="6" t="n">
        <v>38354.40244693284</v>
      </c>
      <c r="E734" s="8" t="n">
        <v>0.009769920713872535</v>
      </c>
      <c r="F734" s="8" t="n">
        <v>0.003840100528772438</v>
      </c>
      <c r="G734" s="6" t="n">
        <v>1226.037540591884</v>
      </c>
      <c r="H734" s="6" t="n">
        <v>37.97854783485342</v>
      </c>
      <c r="I734" s="6" t="n">
        <v>112.2751464939589</v>
      </c>
    </row>
    <row r="735">
      <c r="A735" s="6" t="inlineStr">
        <is>
          <t>5 wt% Re | 200 C</t>
        </is>
      </c>
      <c r="B735" s="8" t="n">
        <v>0.339</v>
      </c>
      <c r="C735" s="6" t="n">
        <v>1699.579624291236</v>
      </c>
      <c r="D735" s="6" t="n">
        <v>38295.12771881858</v>
      </c>
      <c r="E735" s="8" t="n">
        <v>0.009744376037672257</v>
      </c>
      <c r="F735" s="8" t="n">
        <v>0.003823087774423054</v>
      </c>
      <c r="G735" s="6" t="n">
        <v>1227.863933905075</v>
      </c>
      <c r="H735" s="6" t="n">
        <v>38.02865500588245</v>
      </c>
      <c r="I735" s="6" t="n">
        <v>112.3924466354738</v>
      </c>
    </row>
    <row r="736">
      <c r="A736" s="6" t="inlineStr">
        <is>
          <t>5 wt% Re | 200 C</t>
        </is>
      </c>
      <c r="B736" s="8" t="n">
        <v>0.34</v>
      </c>
      <c r="C736" s="6" t="n">
        <v>1701.920473307491</v>
      </c>
      <c r="D736" s="6" t="n">
        <v>38235.86489391956</v>
      </c>
      <c r="E736" s="8" t="n">
        <v>0.009718980317908608</v>
      </c>
      <c r="F736" s="8" t="n">
        <v>0.003806174225060461</v>
      </c>
      <c r="G736" s="6" t="n">
        <v>1229.690327218267</v>
      </c>
      <c r="H736" s="6" t="n">
        <v>38.07876227302496</v>
      </c>
      <c r="I736" s="6" t="n">
        <v>112.5096487859289</v>
      </c>
    </row>
    <row r="737">
      <c r="A737" s="6" t="inlineStr">
        <is>
          <t>5 wt% Re | 200 C</t>
        </is>
      </c>
      <c r="B737" s="8" t="n">
        <v>0.341</v>
      </c>
      <c r="C737" s="6" t="n">
        <v>1704.261227165088</v>
      </c>
      <c r="D737" s="6" t="n">
        <v>38176.61386751543</v>
      </c>
      <c r="E737" s="8" t="n">
        <v>0.0096937322554743</v>
      </c>
      <c r="F737" s="8" t="n">
        <v>0.003789359015479214</v>
      </c>
      <c r="G737" s="6" t="n">
        <v>1231.516720531457</v>
      </c>
      <c r="H737" s="6" t="n">
        <v>38.12886963543541</v>
      </c>
      <c r="I737" s="6" t="n">
        <v>112.6267532880739</v>
      </c>
    </row>
    <row r="738">
      <c r="A738" s="6" t="inlineStr">
        <is>
          <t>5 wt% Re | 200 C</t>
        </is>
      </c>
      <c r="B738" s="8" t="n">
        <v>0.342</v>
      </c>
      <c r="C738" s="6" t="n">
        <v>1706.601886195328</v>
      </c>
      <c r="D738" s="6" t="n">
        <v>38117.3745361106</v>
      </c>
      <c r="E738" s="8" t="n">
        <v>0.009668630566324965</v>
      </c>
      <c r="F738" s="8" t="n">
        <v>0.003772641290505757</v>
      </c>
      <c r="G738" s="6" t="n">
        <v>1233.343113844649</v>
      </c>
      <c r="H738" s="6" t="n">
        <v>38.17897709227806</v>
      </c>
      <c r="I738" s="6" t="n">
        <v>112.7437604824509</v>
      </c>
    </row>
    <row r="739">
      <c r="A739" s="6" t="inlineStr">
        <is>
          <t>5 wt% Re | 200 C</t>
        </is>
      </c>
      <c r="B739" s="8" t="n">
        <v>0.343</v>
      </c>
      <c r="C739" s="6" t="n">
        <v>1708.942450727388</v>
      </c>
      <c r="D739" s="6" t="n">
        <v>38058.14679741646</v>
      </c>
      <c r="E739" s="8" t="n">
        <v>0.009643673981261452</v>
      </c>
      <c r="F739" s="8" t="n">
        <v>0.003756020204853459</v>
      </c>
      <c r="G739" s="6" t="n">
        <v>1235.16950715784</v>
      </c>
      <c r="H739" s="6" t="n">
        <v>38.229084642727</v>
      </c>
      <c r="I739" s="6" t="n">
        <v>112.8606707074143</v>
      </c>
    </row>
    <row r="740">
      <c r="A740" s="6" t="inlineStr">
        <is>
          <t>5 wt% Re | 200 C</t>
        </is>
      </c>
      <c r="B740" s="8" t="n">
        <v>0.344</v>
      </c>
      <c r="C740" s="6" t="n">
        <v>1711.282921088341</v>
      </c>
      <c r="D740" s="6" t="n">
        <v>37998.93055033377</v>
      </c>
      <c r="E740" s="8" t="n">
        <v>0.009618861245715916</v>
      </c>
      <c r="F740" s="8" t="n">
        <v>0.00373949492298013</v>
      </c>
      <c r="G740" s="6" t="n">
        <v>1236.995900471031</v>
      </c>
      <c r="H740" s="6" t="n">
        <v>38.27919228596591</v>
      </c>
      <c r="I740" s="6" t="n">
        <v>112.9774842991524</v>
      </c>
    </row>
    <row r="741">
      <c r="A741" s="6" t="inlineStr">
        <is>
          <t>5 wt% Re | 200 C</t>
        </is>
      </c>
      <c r="B741" s="8" t="n">
        <v>0.345</v>
      </c>
      <c r="C741" s="6" t="n">
        <v>1713.623297603179</v>
      </c>
      <c r="D741" s="6" t="n">
        <v>37939.7256949355</v>
      </c>
      <c r="E741" s="8" t="n">
        <v>0.009594191119541576</v>
      </c>
      <c r="F741" s="8" t="n">
        <v>0.003723064618948019</v>
      </c>
      <c r="G741" s="6" t="n">
        <v>1238.822293784222</v>
      </c>
      <c r="H741" s="6" t="n">
        <v>38.32930002118789</v>
      </c>
      <c r="I741" s="6" t="n">
        <v>113.0942015917065</v>
      </c>
    </row>
    <row r="742">
      <c r="A742" s="6" t="inlineStr">
        <is>
          <t>5 wt% Re | 200 C</t>
        </is>
      </c>
      <c r="B742" s="8" t="n">
        <v>0.346</v>
      </c>
      <c r="C742" s="6" t="n">
        <v>1715.963580594826</v>
      </c>
      <c r="D742" s="6" t="n">
        <v>37880.5321324498</v>
      </c>
      <c r="E742" s="8" t="n">
        <v>0.009569662376806114</v>
      </c>
      <c r="F742" s="8" t="n">
        <v>0.003706728476286203</v>
      </c>
      <c r="G742" s="6" t="n">
        <v>1240.648687097413</v>
      </c>
      <c r="H742" s="6" t="n">
        <v>38.37940784759542</v>
      </c>
      <c r="I742" s="6" t="n">
        <v>113.2108229169918</v>
      </c>
    </row>
    <row r="743">
      <c r="A743" s="6" t="inlineStr">
        <is>
          <t>5 wt% Re | 200 C</t>
        </is>
      </c>
      <c r="B743" s="8" t="n">
        <v>0.347</v>
      </c>
      <c r="C743" s="6" t="n">
        <v>1718.303770384166</v>
      </c>
      <c r="D743" s="6" t="n">
        <v>37821.34976524342</v>
      </c>
      <c r="E743" s="8" t="n">
        <v>0.009545273805588603</v>
      </c>
      <c r="F743" s="8" t="n">
        <v>0.003690485687855338</v>
      </c>
      <c r="G743" s="6" t="n">
        <v>1242.475080410605</v>
      </c>
      <c r="H743" s="6" t="n">
        <v>38.42951576440015</v>
      </c>
      <c r="I743" s="6" t="n">
        <v>113.3273486048165</v>
      </c>
    </row>
    <row r="744">
      <c r="A744" s="6" t="inlineStr">
        <is>
          <t>5 wt% Re | 200 C</t>
        </is>
      </c>
      <c r="B744" s="8" t="n">
        <v>0.348</v>
      </c>
      <c r="C744" s="6" t="n">
        <v>1720.64386729005</v>
      </c>
      <c r="D744" s="6" t="n">
        <v>37762.17849680535</v>
      </c>
      <c r="E744" s="8" t="n">
        <v>0.009521024207779871</v>
      </c>
      <c r="F744" s="8" t="n">
        <v>0.003674335455714726</v>
      </c>
      <c r="G744" s="6" t="n">
        <v>1244.301473723795</v>
      </c>
      <c r="H744" s="6" t="n">
        <v>38.47962377082278</v>
      </c>
      <c r="I744" s="6" t="n">
        <v>113.4437789829018</v>
      </c>
    </row>
    <row r="745">
      <c r="A745" s="6" t="inlineStr">
        <is>
          <t>5 wt% Re | 200 C</t>
        </is>
      </c>
      <c r="B745" s="8" t="n">
        <v>0.349</v>
      </c>
      <c r="C745" s="6" t="n">
        <v>1722.983871629329</v>
      </c>
      <c r="D745" s="6" t="n">
        <v>37703.01823173068</v>
      </c>
      <c r="E745" s="8" t="n">
        <v>0.009496912398886356</v>
      </c>
      <c r="F745" s="8" t="n">
        <v>0.003658276990991644</v>
      </c>
      <c r="G745" s="6" t="n">
        <v>1246.127867036987</v>
      </c>
      <c r="H745" s="6" t="n">
        <v>38.52973186609298</v>
      </c>
      <c r="I745" s="6" t="n">
        <v>113.5601143769006</v>
      </c>
    </row>
    <row r="746">
      <c r="A746" s="6" t="inlineStr">
        <is>
          <t>5 wt% Re | 200 C</t>
        </is>
      </c>
      <c r="B746" s="8" t="n">
        <v>0.35</v>
      </c>
      <c r="C746" s="6" t="n">
        <v>1725.323783716858</v>
      </c>
      <c r="D746" s="6" t="n">
        <v>37643.86887570489</v>
      </c>
      <c r="E746" s="8" t="n">
        <v>0.009472937207837186</v>
      </c>
      <c r="F746" s="8" t="n">
        <v>0.003642309513752896</v>
      </c>
      <c r="G746" s="6" t="n">
        <v>1247.954260350178</v>
      </c>
      <c r="H746" s="6" t="n">
        <v>38.57984004944917</v>
      </c>
      <c r="I746" s="6" t="n">
        <v>113.6763551104171</v>
      </c>
    </row>
    <row r="747">
      <c r="A747" s="6" t="inlineStr">
        <is>
          <t>5 wt% Re | 200 C</t>
        </is>
      </c>
      <c r="B747" s="8" t="n">
        <v>0.351</v>
      </c>
      <c r="C747" s="6" t="n">
        <v>1727.663603865526</v>
      </c>
      <c r="D747" s="6" t="n">
        <v>37584.73033548823</v>
      </c>
      <c r="E747" s="8" t="n">
        <v>0.009449097476794618</v>
      </c>
      <c r="F747" s="8" t="n">
        <v>0.003626432252878546</v>
      </c>
      <c r="G747" s="6" t="n">
        <v>1249.780653663369</v>
      </c>
      <c r="H747" s="6" t="n">
        <v>38.6299483201385</v>
      </c>
      <c r="I747" s="6" t="n">
        <v>113.7925015050253</v>
      </c>
    </row>
    <row r="748">
      <c r="A748" s="6" t="inlineStr">
        <is>
          <t>5 wt% Re | 200 C</t>
        </is>
      </c>
      <c r="B748" s="8" t="n">
        <v>0.352</v>
      </c>
      <c r="C748" s="6" t="n">
        <v>1730.003332386267</v>
      </c>
      <c r="D748" s="6" t="n">
        <v>37525.60251890052</v>
      </c>
      <c r="E748" s="8" t="n">
        <v>0.009425392060967631</v>
      </c>
      <c r="F748" s="8" t="n">
        <v>0.003610644445937773</v>
      </c>
      <c r="G748" s="6" t="n">
        <v>1251.60704697656</v>
      </c>
      <c r="H748" s="6" t="n">
        <v>38.68005667741666</v>
      </c>
      <c r="I748" s="6" t="n">
        <v>113.9085538802876</v>
      </c>
    </row>
    <row r="749">
      <c r="A749" s="6" t="inlineStr">
        <is>
          <t>5 wt% Re | 200 C</t>
        </is>
      </c>
      <c r="B749" s="8" t="n">
        <v>0.353</v>
      </c>
      <c r="C749" s="6" t="n">
        <v>1732.34296958808</v>
      </c>
      <c r="D749" s="6" t="n">
        <v>37466.48533480609</v>
      </c>
      <c r="E749" s="8" t="n">
        <v>0.009401819828428686</v>
      </c>
      <c r="F749" s="8" t="n">
        <v>0.003594945339066836</v>
      </c>
      <c r="G749" s="6" t="n">
        <v>1253.433440289752</v>
      </c>
      <c r="H749" s="6" t="n">
        <v>38.73016512054775</v>
      </c>
      <c r="I749" s="6" t="n">
        <v>114.024512553773</v>
      </c>
    </row>
    <row r="750">
      <c r="A750" s="6" t="inlineStr">
        <is>
          <t>5 wt% Re | 200 C</t>
        </is>
      </c>
      <c r="B750" s="8" t="n">
        <v>0.354</v>
      </c>
      <c r="C750" s="6" t="n">
        <v>1734.682515778045</v>
      </c>
      <c r="D750" s="6" t="n">
        <v>37407.37869309908</v>
      </c>
      <c r="E750" s="8" t="n">
        <v>0.00937837965993355</v>
      </c>
      <c r="F750" s="8" t="n">
        <v>0.003579334186849074</v>
      </c>
      <c r="G750" s="6" t="n">
        <v>1255.259833602943</v>
      </c>
      <c r="H750" s="6" t="n">
        <v>38.7802736488042</v>
      </c>
      <c r="I750" s="6" t="n">
        <v>114.1403778410757</v>
      </c>
    </row>
    <row r="751">
      <c r="A751" s="6" t="inlineStr">
        <is>
          <t>5 wt% Re | 200 C</t>
        </is>
      </c>
      <c r="B751" s="8" t="n">
        <v>0.355</v>
      </c>
      <c r="C751" s="6" t="n">
        <v>1737.021971261345</v>
      </c>
      <c r="D751" s="6" t="n">
        <v>37348.28250468888</v>
      </c>
      <c r="E751" s="8" t="n">
        <v>0.009355070448744137</v>
      </c>
      <c r="F751" s="8" t="n">
        <v>0.003563810252196927</v>
      </c>
      <c r="G751" s="6" t="n">
        <v>1257.086226916134</v>
      </c>
      <c r="H751" s="6" t="n">
        <v>38.83038226146665</v>
      </c>
      <c r="I751" s="6" t="n">
        <v>114.2561500558326</v>
      </c>
    </row>
    <row r="752">
      <c r="A752" s="6" t="inlineStr">
        <is>
          <t>5 wt% Re | 200 C</t>
        </is>
      </c>
      <c r="B752" s="8" t="n">
        <v>0.356</v>
      </c>
      <c r="C752" s="6" t="n">
        <v>1739.361336341276</v>
      </c>
      <c r="D752" s="6" t="n">
        <v>37289.19668148591</v>
      </c>
      <c r="E752" s="8" t="n">
        <v>0.009331891100454345</v>
      </c>
      <c r="F752" s="8" t="n">
        <v>0.003548372806235924</v>
      </c>
      <c r="G752" s="6" t="n">
        <v>1258.912620229325</v>
      </c>
      <c r="H752" s="6" t="n">
        <v>38.88049095782381</v>
      </c>
      <c r="I752" s="6" t="n">
        <v>114.371829509741</v>
      </c>
    </row>
    <row r="753">
      <c r="A753" s="6" t="inlineStr">
        <is>
          <t>5 wt% Re | 200 C</t>
        </is>
      </c>
      <c r="B753" s="8" t="n">
        <v>0.357</v>
      </c>
      <c r="C753" s="6" t="n">
        <v>1741.700611319272</v>
      </c>
      <c r="D753" s="6" t="n">
        <v>37230.12113638759</v>
      </c>
      <c r="E753" s="8" t="n">
        <v>0.009308840532818736</v>
      </c>
      <c r="F753" s="8" t="n">
        <v>0.003533021128190609</v>
      </c>
      <c r="G753" s="6" t="n">
        <v>1260.739013542516</v>
      </c>
      <c r="H753" s="6" t="n">
        <v>38.93059973717236</v>
      </c>
      <c r="I753" s="6" t="n">
        <v>114.4874165125763</v>
      </c>
    </row>
    <row r="754">
      <c r="A754" s="6" t="inlineStr">
        <is>
          <t>5 wt% Re | 200 C</t>
        </is>
      </c>
      <c r="B754" s="8" t="n">
        <v>0.358</v>
      </c>
      <c r="C754" s="6" t="n">
        <v>1744.039796494914</v>
      </c>
      <c r="D754" s="6" t="n">
        <v>37171.05578326457</v>
      </c>
      <c r="E754" s="8" t="n">
        <v>0.00928591767558413</v>
      </c>
      <c r="F754" s="8" t="n">
        <v>0.003517754505272359</v>
      </c>
      <c r="G754" s="6" t="n">
        <v>1262.565406855707</v>
      </c>
      <c r="H754" s="6" t="n">
        <v>38.98070859881685</v>
      </c>
      <c r="I754" s="6" t="n">
        <v>114.6029113722093</v>
      </c>
    </row>
    <row r="755">
      <c r="A755" s="6" t="inlineStr">
        <is>
          <t>5 wt% Re | 200 C</t>
        </is>
      </c>
      <c r="B755" s="8" t="n">
        <v>0.359</v>
      </c>
      <c r="C755" s="6" t="n">
        <v>1746.37889216595</v>
      </c>
      <c r="D755" s="6" t="n">
        <v>37112.00053694711</v>
      </c>
      <c r="E755" s="8" t="n">
        <v>0.009263121470323927</v>
      </c>
      <c r="F755" s="8" t="n">
        <v>0.003502572232569065</v>
      </c>
      <c r="G755" s="6" t="n">
        <v>1264.391800168899</v>
      </c>
      <c r="H755" s="6" t="n">
        <v>39.03081754206957</v>
      </c>
      <c r="I755" s="6" t="n">
        <v>114.7183143946231</v>
      </c>
    </row>
    <row r="756">
      <c r="A756" s="6" t="inlineStr">
        <is>
          <t>5 wt% Re | 200 C</t>
        </is>
      </c>
      <c r="B756" s="8" t="n">
        <v>0.36</v>
      </c>
      <c r="C756" s="6" t="n">
        <v>1748.717898628315</v>
      </c>
      <c r="D756" s="6" t="n">
        <v>37052.95531321185</v>
      </c>
      <c r="E756" s="8" t="n">
        <v>0.009240450870275228</v>
      </c>
      <c r="F756" s="8" t="n">
        <v>0.003487473612936632</v>
      </c>
      <c r="G756" s="6" t="n">
        <v>1266.21819348209</v>
      </c>
      <c r="H756" s="6" t="n">
        <v>39.08092656625045</v>
      </c>
      <c r="I756" s="6" t="n">
        <v>114.8336258839299</v>
      </c>
    </row>
    <row r="757">
      <c r="A757" s="6" t="inlineStr">
        <is>
          <t>5 wt% Re | 200 C</t>
        </is>
      </c>
      <c r="B757" s="8" t="n">
        <v>0.361</v>
      </c>
      <c r="C757" s="6" t="n">
        <v>1751.05681617614</v>
      </c>
      <c r="D757" s="6" t="n">
        <v>36993.92002876862</v>
      </c>
      <c r="E757" s="8" t="n">
        <v>0.009217904840178589</v>
      </c>
      <c r="F757" s="8" t="n">
        <v>0.00347245795689227</v>
      </c>
      <c r="G757" s="6" t="n">
        <v>1268.044586795281</v>
      </c>
      <c r="H757" s="6" t="n">
        <v>39.13103567068696</v>
      </c>
      <c r="I757" s="6" t="n">
        <v>114.9488461423882</v>
      </c>
    </row>
    <row r="758">
      <c r="A758" s="6" t="inlineStr">
        <is>
          <t>5 wt% Re | 200 C</t>
        </is>
      </c>
      <c r="B758" s="8" t="n">
        <v>0.362</v>
      </c>
      <c r="C758" s="6" t="n">
        <v>1753.395645101772</v>
      </c>
      <c r="D758" s="6" t="n">
        <v>36934.89460124762</v>
      </c>
      <c r="E758" s="8" t="n">
        <v>0.009195482356120438</v>
      </c>
      <c r="F758" s="8" t="n">
        <v>0.003457524582509542</v>
      </c>
      <c r="G758" s="6" t="n">
        <v>1269.870980108472</v>
      </c>
      <c r="H758" s="6" t="n">
        <v>39.18114485471398</v>
      </c>
      <c r="I758" s="6" t="n">
        <v>115.0639754704186</v>
      </c>
    </row>
    <row r="759">
      <c r="A759" s="6" t="inlineStr">
        <is>
          <t>5 wt% Re | 200 C</t>
        </is>
      </c>
      <c r="B759" s="8" t="n">
        <v>0.363</v>
      </c>
      <c r="C759" s="6" t="n">
        <v>1755.734385695791</v>
      </c>
      <c r="D759" s="6" t="n">
        <v>36875.87894918666</v>
      </c>
      <c r="E759" s="8" t="n">
        <v>0.00917318240537808</v>
      </c>
      <c r="F759" s="8" t="n">
        <v>0.003442672815315132</v>
      </c>
      <c r="G759" s="6" t="n">
        <v>1271.697373421663</v>
      </c>
      <c r="H759" s="6" t="n">
        <v>39.23125411767376</v>
      </c>
      <c r="I759" s="6" t="n">
        <v>115.1790141666205</v>
      </c>
    </row>
    <row r="760">
      <c r="A760" s="6" t="inlineStr">
        <is>
          <t>5 wt% Re | 200 C</t>
        </is>
      </c>
      <c r="B760" s="8" t="n">
        <v>0.364</v>
      </c>
      <c r="C760" s="6" t="n">
        <v>1758.073038247024</v>
      </c>
      <c r="D760" s="6" t="n">
        <v>36816.87299201875</v>
      </c>
      <c r="E760" s="8" t="n">
        <v>0.009151003986267206</v>
      </c>
      <c r="F760" s="8" t="n">
        <v>0.00342790198818729</v>
      </c>
      <c r="G760" s="6" t="n">
        <v>1273.523766734854</v>
      </c>
      <c r="H760" s="6" t="n">
        <v>39.28136345891573</v>
      </c>
      <c r="I760" s="6" t="n">
        <v>115.2939625277884</v>
      </c>
    </row>
    <row r="761">
      <c r="A761" s="6" t="inlineStr">
        <is>
          <t>5 wt% Re | 200 C</t>
        </is>
      </c>
      <c r="B761" s="8" t="n">
        <v>0.365</v>
      </c>
      <c r="C761" s="6" t="n">
        <v>1760.411603042558</v>
      </c>
      <c r="D761" s="6" t="n">
        <v>36757.87665005988</v>
      </c>
      <c r="E761" s="8" t="n">
        <v>0.009128946107991922</v>
      </c>
      <c r="F761" s="8" t="n">
        <v>0.00341321144125595</v>
      </c>
      <c r="G761" s="6" t="n">
        <v>1275.350160048046</v>
      </c>
      <c r="H761" s="6" t="n">
        <v>39.3314728777965</v>
      </c>
      <c r="I761" s="6" t="n">
        <v>115.4088208489272</v>
      </c>
    </row>
    <row r="762">
      <c r="A762" s="6" t="inlineStr">
        <is>
          <t>5 wt% Re | 200 C</t>
        </is>
      </c>
      <c r="B762" s="8" t="n">
        <v>0.366</v>
      </c>
      <c r="C762" s="6" t="n">
        <v>1762.750080367761</v>
      </c>
      <c r="D762" s="6" t="n">
        <v>36698.88984449682</v>
      </c>
      <c r="E762" s="8" t="n">
        <v>0.009107007790497196</v>
      </c>
      <c r="F762" s="8" t="n">
        <v>0.003398600521804462</v>
      </c>
      <c r="G762" s="6" t="n">
        <v>1277.176553361237</v>
      </c>
      <c r="H762" s="6" t="n">
        <v>39.38158237367968</v>
      </c>
      <c r="I762" s="6" t="n">
        <v>115.5235894232685</v>
      </c>
    </row>
    <row r="763">
      <c r="A763" s="6" t="inlineStr">
        <is>
          <t>5 wt% Re | 200 C</t>
        </is>
      </c>
      <c r="B763" s="8" t="n">
        <v>0.367</v>
      </c>
      <c r="C763" s="6" t="n">
        <v>1765.08847050629</v>
      </c>
      <c r="D763" s="6" t="n">
        <v>36639.91249737541</v>
      </c>
      <c r="E763" s="8" t="n">
        <v>0.009085188064323704</v>
      </c>
      <c r="F763" s="8" t="n">
        <v>0.003384068584172917</v>
      </c>
      <c r="G763" s="6" t="n">
        <v>1279.002946674428</v>
      </c>
      <c r="H763" s="6" t="n">
        <v>39.43169194593582</v>
      </c>
      <c r="I763" s="6" t="n">
        <v>115.6382685422858</v>
      </c>
    </row>
    <row r="764">
      <c r="A764" s="6" t="inlineStr">
        <is>
          <t>5 wt% Re | 200 C</t>
        </is>
      </c>
      <c r="B764" s="8" t="n">
        <v>0.368</v>
      </c>
      <c r="C764" s="6" t="n">
        <v>1767.426773740111</v>
      </c>
      <c r="D764" s="6" t="n">
        <v>36580.94453158877</v>
      </c>
      <c r="E764" s="8" t="n">
        <v>0.009063485970465031</v>
      </c>
      <c r="F764" s="8" t="n">
        <v>0.003369614989663041</v>
      </c>
      <c r="G764" s="6" t="n">
        <v>1280.829339987619</v>
      </c>
      <c r="H764" s="6" t="n">
        <v>39.48180159394231</v>
      </c>
      <c r="I764" s="6" t="n">
        <v>115.7528584957102</v>
      </c>
    </row>
    <row r="765">
      <c r="A765" s="6" t="inlineStr">
        <is>
          <t>5 wt% Re | 200 C</t>
        </is>
      </c>
      <c r="B765" s="8" t="n">
        <v>0.369</v>
      </c>
      <c r="C765" s="6" t="n">
        <v>1769.764990349514</v>
      </c>
      <c r="D765" s="6" t="n">
        <v>36521.98587086589</v>
      </c>
      <c r="E765" s="8" t="n">
        <v>0.009041900560227157</v>
      </c>
      <c r="F765" s="8" t="n">
        <v>0.003355239106444616</v>
      </c>
      <c r="G765" s="6" t="n">
        <v>1282.655733300811</v>
      </c>
      <c r="H765" s="6" t="n">
        <v>39.5319113170833</v>
      </c>
      <c r="I765" s="6" t="n">
        <v>115.8673595715452</v>
      </c>
    </row>
    <row r="766">
      <c r="A766" s="6" t="inlineStr">
        <is>
          <t>5 wt% Re | 200 C</t>
        </is>
      </c>
      <c r="B766" s="8" t="n">
        <v>0.37</v>
      </c>
      <c r="C766" s="6" t="n">
        <v>1772.103120613123</v>
      </c>
      <c r="D766" s="6" t="n">
        <v>36463.03643976032</v>
      </c>
      <c r="E766" s="8" t="n">
        <v>0.00902043089509022</v>
      </c>
      <c r="F766" s="8" t="n">
        <v>0.003340940309463417</v>
      </c>
      <c r="G766" s="6" t="n">
        <v>1284.482126614002</v>
      </c>
      <c r="H766" s="6" t="n">
        <v>39.58202111474958</v>
      </c>
      <c r="I766" s="6" t="n">
        <v>115.9817720560821</v>
      </c>
    </row>
    <row r="767">
      <c r="A767" s="6" t="inlineStr">
        <is>
          <t>5 wt% Re | 200 C</t>
        </is>
      </c>
      <c r="B767" s="8" t="n">
        <v>0.371</v>
      </c>
      <c r="C767" s="6" t="n">
        <v>1774.441164807916</v>
      </c>
      <c r="D767" s="6" t="n">
        <v>36404.09616363901</v>
      </c>
      <c r="E767" s="8" t="n">
        <v>0.008999076046572499</v>
      </c>
      <c r="F767" s="8" t="n">
        <v>0.003326717980350614</v>
      </c>
      <c r="G767" s="6" t="n">
        <v>1286.308519927193</v>
      </c>
      <c r="H767" s="6" t="n">
        <v>39.63213098633853</v>
      </c>
      <c r="I767" s="6" t="n">
        <v>116.0960962339147</v>
      </c>
    </row>
    <row r="768">
      <c r="A768" s="6" t="inlineStr">
        <is>
          <t>5 wt% Re | 200 C</t>
        </is>
      </c>
      <c r="B768" s="8" t="n">
        <v>0.372</v>
      </c>
      <c r="C768" s="6" t="n">
        <v>1776.779123209234</v>
      </c>
      <c r="D768" s="6" t="n">
        <v>36345.16496867147</v>
      </c>
      <c r="E768" s="8" t="n">
        <v>0.008977835096096546</v>
      </c>
      <c r="F768" s="8" t="n">
        <v>0.003312571507333628</v>
      </c>
      <c r="G768" s="6" t="n">
        <v>1288.134913240384</v>
      </c>
      <c r="H768" s="6" t="n">
        <v>39.68224093125399</v>
      </c>
      <c r="I768" s="6" t="n">
        <v>116.2103323879538</v>
      </c>
    </row>
    <row r="769">
      <c r="A769" s="6" t="inlineStr">
        <is>
          <t>5 wt% Re | 200 C</t>
        </is>
      </c>
      <c r="B769" s="8" t="n">
        <v>0.373</v>
      </c>
      <c r="C769" s="6" t="n">
        <v>1779.116996090799</v>
      </c>
      <c r="D769" s="6" t="n">
        <v>36286.24278181891</v>
      </c>
      <c r="E769" s="8" t="n">
        <v>0.008956707134857489</v>
      </c>
      <c r="F769" s="8" t="n">
        <v>0.003298500285148418</v>
      </c>
      <c r="G769" s="6" t="n">
        <v>1289.961306553575</v>
      </c>
      <c r="H769" s="6" t="n">
        <v>39.73235094890623</v>
      </c>
      <c r="I769" s="6" t="n">
        <v>116.3244807994421</v>
      </c>
    </row>
    <row r="770">
      <c r="A770" s="6" t="inlineStr">
        <is>
          <t>5 wt% Re | 200 C</t>
        </is>
      </c>
      <c r="B770" s="8" t="n">
        <v>0.374</v>
      </c>
      <c r="C770" s="6" t="n">
        <v>1781.454783724726</v>
      </c>
      <c r="D770" s="6" t="n">
        <v>36227.32953082374</v>
      </c>
      <c r="E770" s="8" t="n">
        <v>0.008935691263693419</v>
      </c>
      <c r="F770" s="8" t="n">
        <v>0.003284503714953148</v>
      </c>
      <c r="G770" s="6" t="n">
        <v>1291.787699866767</v>
      </c>
      <c r="H770" s="6" t="n">
        <v>39.78246103871177</v>
      </c>
      <c r="I770" s="6" t="n">
        <v>116.4385417479682</v>
      </c>
    </row>
    <row r="771">
      <c r="A771" s="6" t="inlineStr">
        <is>
          <t>5 wt% Re | 200 C</t>
        </is>
      </c>
      <c r="B771" s="8" t="n">
        <v>0.375</v>
      </c>
      <c r="C771" s="6" t="n">
        <v>1783.792486381537</v>
      </c>
      <c r="D771" s="6" t="n">
        <v>36168.42514419908</v>
      </c>
      <c r="E771" s="8" t="n">
        <v>0.008914786592957821</v>
      </c>
      <c r="F771" s="8" t="n">
        <v>0.003270581204243239</v>
      </c>
      <c r="G771" s="6" t="n">
        <v>1293.614093179958</v>
      </c>
      <c r="H771" s="6" t="n">
        <v>39.83257120009339</v>
      </c>
      <c r="I771" s="6" t="n">
        <v>116.5525155114809</v>
      </c>
    </row>
    <row r="772">
      <c r="A772" s="6" t="inlineStr">
        <is>
          <t>5 wt% Re | 200 C</t>
        </is>
      </c>
      <c r="B772" s="8" t="n">
        <v>0.376</v>
      </c>
      <c r="C772" s="6" t="n">
        <v>1786.130104330176</v>
      </c>
      <c r="D772" s="6" t="n">
        <v>36109.52955121858</v>
      </c>
      <c r="E772" s="8" t="n">
        <v>0.008893992242394035</v>
      </c>
      <c r="F772" s="8" t="n">
        <v>0.003256732166767758</v>
      </c>
      <c r="G772" s="6" t="n">
        <v>1295.440486493149</v>
      </c>
      <c r="H772" s="6" t="n">
        <v>39.88268143248001</v>
      </c>
      <c r="I772" s="6" t="n">
        <v>116.6664023663034</v>
      </c>
    </row>
    <row r="773">
      <c r="A773" s="6" t="inlineStr">
        <is>
          <t>5 wt% Re | 200 C</t>
        </is>
      </c>
      <c r="B773" s="8" t="n">
        <v>0.377</v>
      </c>
      <c r="C773" s="6" t="n">
        <v>1788.467637838018</v>
      </c>
      <c r="D773" s="6" t="n">
        <v>36050.6426819063</v>
      </c>
      <c r="E773" s="8" t="n">
        <v>0.008873307341011712</v>
      </c>
      <c r="F773" s="8" t="n">
        <v>0.003242956022447131</v>
      </c>
      <c r="G773" s="6" t="n">
        <v>1297.26687980634</v>
      </c>
      <c r="H773" s="6" t="n">
        <v>39.93279173530659</v>
      </c>
      <c r="I773" s="6" t="n">
        <v>116.780202587147</v>
      </c>
    </row>
    <row r="774">
      <c r="A774" s="6" t="inlineStr">
        <is>
          <t>5 wt% Re | 200 C</t>
        </is>
      </c>
      <c r="B774" s="8" t="n">
        <v>0.378</v>
      </c>
      <c r="C774" s="6" t="n">
        <v>1790.80508717089</v>
      </c>
      <c r="D774" s="6" t="n">
        <v>35991.76446702676</v>
      </c>
      <c r="E774" s="8" t="n">
        <v>0.008852731026965186</v>
      </c>
      <c r="F774" s="8" t="n">
        <v>0.003229252197292145</v>
      </c>
      <c r="G774" s="6" t="n">
        <v>1299.093273119531</v>
      </c>
      <c r="H774" s="6" t="n">
        <v>39.9829021080141</v>
      </c>
      <c r="I774" s="6" t="n">
        <v>116.8939164471248</v>
      </c>
    </row>
    <row r="775">
      <c r="A775" s="6" t="inlineStr">
        <is>
          <t>5 wt% Re | 200 C</t>
        </is>
      </c>
      <c r="B775" s="8" t="n">
        <v>0.379</v>
      </c>
      <c r="C775" s="6" t="n">
        <v>1793.142452593076</v>
      </c>
      <c r="D775" s="6" t="n">
        <v>35932.89483807523</v>
      </c>
      <c r="E775" s="8" t="n">
        <v>0.008832262447433788</v>
      </c>
      <c r="F775" s="8" t="n">
        <v>0.003215620123324233</v>
      </c>
      <c r="G775" s="6" t="n">
        <v>1300.919666432722</v>
      </c>
      <c r="H775" s="6" t="n">
        <v>40.03301255004939</v>
      </c>
      <c r="I775" s="6" t="n">
        <v>117.0075442177653</v>
      </c>
    </row>
    <row r="776">
      <c r="A776" s="6" t="inlineStr">
        <is>
          <t>5 wt% Re | 200 C</t>
        </is>
      </c>
      <c r="B776" s="8" t="n">
        <v>0.38</v>
      </c>
      <c r="C776" s="6" t="n">
        <v>1795.479734367335</v>
      </c>
      <c r="D776" s="6" t="n">
        <v>35874.03372726807</v>
      </c>
      <c r="E776" s="8" t="n">
        <v>0.008811900758504011</v>
      </c>
      <c r="F776" s="8" t="n">
        <v>0.003202059238497001</v>
      </c>
      <c r="G776" s="6" t="n">
        <v>1302.746059745913</v>
      </c>
      <c r="H776" s="6" t="n">
        <v>40.08312306086515</v>
      </c>
      <c r="I776" s="6" t="n">
        <v>117.1210861690259</v>
      </c>
    </row>
    <row r="777">
      <c r="A777" s="6" t="inlineStr">
        <is>
          <t>5 wt% Re | 200 C</t>
        </is>
      </c>
      <c r="B777" s="8" t="n">
        <v>0.381</v>
      </c>
      <c r="C777" s="6" t="n">
        <v>1797.816932754913</v>
      </c>
      <c r="D777" s="6" t="n">
        <v>35815.18106753326</v>
      </c>
      <c r="E777" s="8" t="n">
        <v>0.008791645125053529</v>
      </c>
      <c r="F777" s="8" t="n">
        <v>0.003188568986618981</v>
      </c>
      <c r="G777" s="6" t="n">
        <v>1304.572453059104</v>
      </c>
      <c r="H777" s="6" t="n">
        <v>40.13323363991974</v>
      </c>
      <c r="I777" s="6" t="n">
        <v>117.2345425693062</v>
      </c>
    </row>
    <row r="778">
      <c r="A778" s="6" t="inlineStr">
        <is>
          <t>5 wt% Re | 200 C</t>
        </is>
      </c>
      <c r="B778" s="8" t="n">
        <v>0.382</v>
      </c>
      <c r="C778" s="6" t="n">
        <v>1800.154048015556</v>
      </c>
      <c r="D778" s="6" t="n">
        <v>35756.33679250113</v>
      </c>
      <c r="E778" s="8" t="n">
        <v>0.008771494720637029</v>
      </c>
      <c r="F778" s="8" t="n">
        <v>0.003175148817277591</v>
      </c>
      <c r="G778" s="6" t="n">
        <v>1306.398846372296</v>
      </c>
      <c r="H778" s="6" t="n">
        <v>40.18334428667734</v>
      </c>
      <c r="I778" s="6" t="n">
        <v>117.3479136854606</v>
      </c>
    </row>
    <row r="779">
      <c r="A779" s="6" t="inlineStr">
        <is>
          <t>5 wt% Re | 200 C</t>
        </is>
      </c>
      <c r="B779" s="8" t="n">
        <v>0.383</v>
      </c>
      <c r="C779" s="6" t="n">
        <v>1802.491080407518</v>
      </c>
      <c r="D779" s="6" t="n">
        <v>35697.50083649517</v>
      </c>
      <c r="E779" s="8" t="n">
        <v>0.008751448727373785</v>
      </c>
      <c r="F779" s="8" t="n">
        <v>0.003161798185764272</v>
      </c>
      <c r="G779" s="6" t="n">
        <v>1308.225239685487</v>
      </c>
      <c r="H779" s="6" t="n">
        <v>40.23345500060757</v>
      </c>
      <c r="I779" s="6" t="n">
        <v>117.4611997828121</v>
      </c>
    </row>
    <row r="780">
      <c r="A780" s="6" t="inlineStr">
        <is>
          <t>5 wt% Re | 200 C</t>
        </is>
      </c>
      <c r="B780" s="8" t="n">
        <v>0.384</v>
      </c>
      <c r="C780" s="6" t="n">
        <v>1804.828030187581</v>
      </c>
      <c r="D780" s="6" t="n">
        <v>35638.67313452299</v>
      </c>
      <c r="E780" s="8" t="n">
        <v>0.008731506335837037</v>
      </c>
      <c r="F780" s="8" t="n">
        <v>0.003148516553000797</v>
      </c>
      <c r="G780" s="6" t="n">
        <v>1310.051632998678</v>
      </c>
      <c r="H780" s="6" t="n">
        <v>40.28356578118568</v>
      </c>
      <c r="I780" s="6" t="n">
        <v>117.5744011251646</v>
      </c>
    </row>
    <row r="781">
      <c r="A781" s="6" t="inlineStr">
        <is>
          <t>5 wt% Re | 200 C</t>
        </is>
      </c>
      <c r="B781" s="8" t="n">
        <v>0.385</v>
      </c>
      <c r="C781" s="6" t="n">
        <v>1807.164897611062</v>
      </c>
      <c r="D781" s="6" t="n">
        <v>35579.85362226739</v>
      </c>
      <c r="E781" s="8" t="n">
        <v>0.008711666744945003</v>
      </c>
      <c r="F781" s="8" t="n">
        <v>0.003135303385466703</v>
      </c>
      <c r="G781" s="6" t="n">
        <v>1311.878026311869</v>
      </c>
      <c r="H781" s="6" t="n">
        <v>40.33367662789232</v>
      </c>
      <c r="I781" s="6" t="n">
        <v>117.6875179748156</v>
      </c>
    </row>
    <row r="782">
      <c r="A782" s="6" t="inlineStr">
        <is>
          <t>5 wt% Re | 200 C</t>
        </is>
      </c>
      <c r="B782" s="8" t="n">
        <v>0.386</v>
      </c>
      <c r="C782" s="6" t="n">
        <v>1809.501682931828</v>
      </c>
      <c r="D782" s="6" t="n">
        <v>35521.0422360778</v>
      </c>
      <c r="E782" s="8" t="n">
        <v>0.008691929161853639</v>
      </c>
      <c r="F782" s="8" t="n">
        <v>0.003122158155127853</v>
      </c>
      <c r="G782" s="6" t="n">
        <v>1313.704419625061</v>
      </c>
      <c r="H782" s="6" t="n">
        <v>40.38378754021355</v>
      </c>
      <c r="I782" s="6" t="n">
        <v>117.800550592569</v>
      </c>
    </row>
    <row r="783">
      <c r="A783" s="6" t="inlineStr">
        <is>
          <t>5 wt% Re | 200 C</t>
        </is>
      </c>
      <c r="B783" s="8" t="n">
        <v>0.387</v>
      </c>
      <c r="C783" s="6" t="n">
        <v>1811.838386402304</v>
      </c>
      <c r="D783" s="6" t="n">
        <v>35462.23891296142</v>
      </c>
      <c r="E783" s="8" t="n">
        <v>0.008672292801851007</v>
      </c>
      <c r="F783" s="8" t="n">
        <v>0.003109080339366101</v>
      </c>
      <c r="G783" s="6" t="n">
        <v>1315.530812938252</v>
      </c>
      <c r="H783" s="6" t="n">
        <v>40.43389851764071</v>
      </c>
      <c r="I783" s="6" t="n">
        <v>117.9134992377471</v>
      </c>
    </row>
    <row r="784">
      <c r="A784" s="6" t="inlineStr">
        <is>
          <t>5 wt% Re | 200 C</t>
        </is>
      </c>
      <c r="B784" s="8" t="n">
        <v>0.388</v>
      </c>
      <c r="C784" s="6" t="n">
        <v>1814.175008273491</v>
      </c>
      <c r="D784" s="6" t="n">
        <v>35403.4435905749</v>
      </c>
      <c r="E784" s="8" t="n">
        <v>0.008652756888253297</v>
      </c>
      <c r="F784" s="8" t="n">
        <v>0.003096069420910026</v>
      </c>
      <c r="G784" s="6" t="n">
        <v>1317.357206251443</v>
      </c>
      <c r="H784" s="6" t="n">
        <v>40.48400955967043</v>
      </c>
      <c r="I784" s="6" t="n">
        <v>118.0263641682033</v>
      </c>
    </row>
    <row r="785">
      <c r="A785" s="6" t="inlineStr">
        <is>
          <t>5 wt% Re | 200 C</t>
        </is>
      </c>
      <c r="B785" s="8" t="n">
        <v>0.389</v>
      </c>
      <c r="C785" s="6" t="n">
        <v>1816.511548794971</v>
      </c>
      <c r="D785" s="6" t="n">
        <v>35344.65620721596</v>
      </c>
      <c r="E785" s="8" t="n">
        <v>0.008633320652302399</v>
      </c>
      <c r="F785" s="8" t="n">
        <v>0.003083124887766729</v>
      </c>
      <c r="G785" s="6" t="n">
        <v>1319.183599564634</v>
      </c>
      <c r="H785" s="6" t="n">
        <v>40.53412066580448</v>
      </c>
      <c r="I785" s="6" t="n">
        <v>118.1391456403341</v>
      </c>
    </row>
    <row r="786">
      <c r="A786" s="6" t="inlineStr">
        <is>
          <t>5 wt% Re | 200 C</t>
        </is>
      </c>
      <c r="B786" s="8" t="n">
        <v>0.39</v>
      </c>
      <c r="C786" s="6" t="n">
        <v>1818.848008214926</v>
      </c>
      <c r="D786" s="6" t="n">
        <v>35285.87670181515</v>
      </c>
      <c r="E786" s="8" t="n">
        <v>0.008613983333065085</v>
      </c>
      <c r="F786" s="8" t="n">
        <v>0.003070246233154677</v>
      </c>
      <c r="G786" s="6" t="n">
        <v>1321.009992877825</v>
      </c>
      <c r="H786" s="6" t="n">
        <v>40.58423183554972</v>
      </c>
      <c r="I786" s="6" t="n">
        <v>118.2518439090911</v>
      </c>
    </row>
    <row r="787">
      <c r="A787" s="6" t="inlineStr">
        <is>
          <t>5 wt% Re | 200 C</t>
        </is>
      </c>
      <c r="B787" s="8" t="n">
        <v>0.391</v>
      </c>
      <c r="C787" s="6" t="n">
        <v>1821.184386780141</v>
      </c>
      <c r="D787" s="6" t="n">
        <v>35227.10501392779</v>
      </c>
      <c r="E787" s="8" t="n">
        <v>0.008594744177333684</v>
      </c>
      <c r="F787" s="8" t="n">
        <v>0.003057432955437564</v>
      </c>
      <c r="G787" s="6" t="n">
        <v>1322.836386191017</v>
      </c>
      <c r="H787" s="6" t="n">
        <v>40.63434306841812</v>
      </c>
      <c r="I787" s="6" t="n">
        <v>118.3644592279926</v>
      </c>
    </row>
    <row r="788">
      <c r="A788" s="6" t="inlineStr">
        <is>
          <t>5 wt% Re | 200 C</t>
        </is>
      </c>
      <c r="B788" s="8" t="n">
        <v>0.392</v>
      </c>
      <c r="C788" s="6" t="n">
        <v>1823.520684736023</v>
      </c>
      <c r="D788" s="6" t="n">
        <v>35168.34108372597</v>
      </c>
      <c r="E788" s="8" t="n">
        <v>0.008575602439528301</v>
      </c>
      <c r="F788" s="8" t="n">
        <v>0.003044684558059179</v>
      </c>
      <c r="G788" s="6" t="n">
        <v>1324.662779504208</v>
      </c>
      <c r="H788" s="6" t="n">
        <v>40.68445436392659</v>
      </c>
      <c r="I788" s="6" t="n">
        <v>118.4769918491361</v>
      </c>
    </row>
    <row r="789">
      <c r="A789" s="6" t="inlineStr">
        <is>
          <t>5 wt% Re | 200 C</t>
        </is>
      </c>
      <c r="B789" s="8" t="n">
        <v>0.393</v>
      </c>
      <c r="C789" s="6" t="n">
        <v>1825.85690232661</v>
      </c>
      <c r="D789" s="6" t="n">
        <v>35109.58485199069</v>
      </c>
      <c r="E789" s="8" t="n">
        <v>0.008556557381600499</v>
      </c>
      <c r="F789" s="8" t="n">
        <v>0.003032000549479261</v>
      </c>
      <c r="G789" s="6" t="n">
        <v>1326.489172817399</v>
      </c>
      <c r="H789" s="6" t="n">
        <v>40.73456572159697</v>
      </c>
      <c r="I789" s="6" t="n">
        <v>118.5894420232088</v>
      </c>
    </row>
    <row r="790">
      <c r="A790" s="6" t="inlineStr">
        <is>
          <t>5 wt% Re | 200 C</t>
        </is>
      </c>
      <c r="B790" s="8" t="n">
        <v>0.394</v>
      </c>
      <c r="C790" s="6" t="n">
        <v>1828.193039794577</v>
      </c>
      <c r="D790" s="6" t="n">
        <v>35050.83626010422</v>
      </c>
      <c r="E790" s="8" t="n">
        <v>0.008537608272938424</v>
      </c>
      <c r="F790" s="8" t="n">
        <v>0.003019380443110321</v>
      </c>
      <c r="G790" s="6" t="n">
        <v>1328.31556613059</v>
      </c>
      <c r="H790" s="6" t="n">
        <v>40.78467714095591</v>
      </c>
      <c r="I790" s="6" t="n">
        <v>118.7018099995003</v>
      </c>
    </row>
    <row r="791">
      <c r="A791" s="6" t="inlineStr">
        <is>
          <t>5 wt% Re | 200 C</t>
        </is>
      </c>
      <c r="B791" s="8" t="n">
        <v>0.395</v>
      </c>
      <c r="C791" s="6" t="n">
        <v>1830.529097381256</v>
      </c>
      <c r="D791" s="6" t="n">
        <v>34992.09525004238</v>
      </c>
      <c r="E791" s="8" t="n">
        <v>0.008518754390273411</v>
      </c>
      <c r="F791" s="8" t="n">
        <v>0.003006823757255421</v>
      </c>
      <c r="G791" s="6" t="n">
        <v>1330.141959443782</v>
      </c>
      <c r="H791" s="6" t="n">
        <v>40.83478862153492</v>
      </c>
      <c r="I791" s="6" t="n">
        <v>118.8140960259131</v>
      </c>
    </row>
    <row r="792">
      <c r="A792" s="6" t="inlineStr">
        <is>
          <t>5 wt% Re | 200 C</t>
        </is>
      </c>
      <c r="B792" s="8" t="n">
        <v>0.396</v>
      </c>
      <c r="C792" s="6" t="n">
        <v>1832.865075326639</v>
      </c>
      <c r="D792" s="6" t="n">
        <v>34933.3617643671</v>
      </c>
      <c r="E792" s="8" t="n">
        <v>0.00849999501758792</v>
      </c>
      <c r="F792" s="8" t="n">
        <v>0.002994330015046884</v>
      </c>
      <c r="G792" s="6" t="n">
        <v>1331.968352756973</v>
      </c>
      <c r="H792" s="6" t="n">
        <v>40.8849001628702</v>
      </c>
      <c r="I792" s="6" t="n">
        <v>118.9263003489743</v>
      </c>
    </row>
    <row r="793">
      <c r="A793" s="6" t="inlineStr">
        <is>
          <t>5 wt% Re | 200 C</t>
        </is>
      </c>
      <c r="B793" s="8" t="n">
        <v>0.397</v>
      </c>
      <c r="C793" s="6" t="n">
        <v>1835.200973869396</v>
      </c>
      <c r="D793" s="6" t="n">
        <v>34874.63574621904</v>
      </c>
      <c r="E793" s="8" t="n">
        <v>0.008481329446024919</v>
      </c>
      <c r="F793" s="8" t="n">
        <v>0.002981898744385927</v>
      </c>
      <c r="G793" s="6" t="n">
        <v>1333.794746070164</v>
      </c>
      <c r="H793" s="6" t="n">
        <v>40.93501176450266</v>
      </c>
      <c r="I793" s="6" t="n">
        <v>119.0384232138464</v>
      </c>
    </row>
    <row r="794">
      <c r="A794" s="6" t="inlineStr">
        <is>
          <t>5 wt% Re | 200 C</t>
        </is>
      </c>
      <c r="B794" s="8" t="n">
        <v>0.398</v>
      </c>
      <c r="C794" s="6" t="n">
        <v>1837.536793246877</v>
      </c>
      <c r="D794" s="6" t="n">
        <v>34815.9171393103</v>
      </c>
      <c r="E794" s="8" t="n">
        <v>0.008462756973798594</v>
      </c>
      <c r="F794" s="8" t="n">
        <v>0.002969529477883193</v>
      </c>
      <c r="G794" s="6" t="n">
        <v>1335.621139383355</v>
      </c>
      <c r="H794" s="6" t="n">
        <v>40.98512342597775</v>
      </c>
      <c r="I794" s="6" t="n">
        <v>119.1504648643389</v>
      </c>
    </row>
    <row r="795">
      <c r="A795" s="6" t="inlineStr">
        <is>
          <t>5 wt% Re | 200 C</t>
        </is>
      </c>
      <c r="B795" s="8" t="n">
        <v>0.399</v>
      </c>
      <c r="C795" s="6" t="n">
        <v>1839.872533695131</v>
      </c>
      <c r="D795" s="6" t="n">
        <v>34757.20588791728</v>
      </c>
      <c r="E795" s="8" t="n">
        <v>0.00844427690610638</v>
      </c>
      <c r="F795" s="8" t="n">
        <v>0.002957221752800179</v>
      </c>
      <c r="G795" s="6" t="n">
        <v>1337.447532696546</v>
      </c>
      <c r="H795" s="6" t="n">
        <v>41.03523514684557</v>
      </c>
      <c r="I795" s="6" t="n">
        <v>119.2624255429184</v>
      </c>
    </row>
    <row r="796">
      <c r="A796" s="6" t="inlineStr">
        <is>
          <t>5 wt% Re | 200 C</t>
        </is>
      </c>
      <c r="B796" s="8" t="n">
        <v>0.4</v>
      </c>
      <c r="C796" s="6" t="n">
        <v>1842.208195448911</v>
      </c>
      <c r="D796" s="6" t="n">
        <v>34698.50193687362</v>
      </c>
      <c r="E796" s="8" t="n">
        <v>0.008425888555042333</v>
      </c>
      <c r="F796" s="8" t="n">
        <v>0.002944975110991524</v>
      </c>
      <c r="G796" s="6" t="n">
        <v>1339.273926009737</v>
      </c>
      <c r="H796" s="6" t="n">
        <v>41.08534692666065</v>
      </c>
      <c r="I796" s="6" t="n">
        <v>119.3743054907199</v>
      </c>
    </row>
    <row r="797">
      <c r="A797" s="6" t="inlineStr">
        <is>
          <t>1 wt% Re | 250 C</t>
        </is>
      </c>
      <c r="B797" s="8" t="n">
        <v>0.005</v>
      </c>
      <c r="C797" s="6" t="n">
        <v>903.9162574393256</v>
      </c>
      <c r="D797" s="6" t="n">
        <v>136844.5975577627</v>
      </c>
      <c r="E797" s="8" t="n">
        <v>0.29341610093796</v>
      </c>
      <c r="F797" s="8" t="n">
        <v>0.06468069012013913</v>
      </c>
      <c r="G797" s="6" t="n">
        <v>611.1487593998469</v>
      </c>
      <c r="H797" s="6" t="n">
        <v>21.90428380303617</v>
      </c>
      <c r="I797" s="6" t="n">
        <v>65.54480199307106</v>
      </c>
    </row>
    <row r="798">
      <c r="A798" s="6" t="inlineStr">
        <is>
          <t>1 wt% Re | 250 C</t>
        </is>
      </c>
      <c r="B798" s="8" t="n">
        <v>0.006</v>
      </c>
      <c r="C798" s="6" t="n">
        <v>907.6016049737775</v>
      </c>
      <c r="D798" s="6" t="n">
        <v>129075.9195925236</v>
      </c>
      <c r="E798" s="8" t="n">
        <v>0.2572652521513555</v>
      </c>
      <c r="F798" s="8" t="n">
        <v>0.05660133935105237</v>
      </c>
      <c r="G798" s="6" t="n">
        <v>614.0459499479487</v>
      </c>
      <c r="H798" s="6" t="n">
        <v>21.92325849190713</v>
      </c>
      <c r="I798" s="6" t="n">
        <v>65.76193085570381</v>
      </c>
    </row>
    <row r="799">
      <c r="A799" s="6" t="inlineStr">
        <is>
          <t>1 wt% Re | 250 C</t>
        </is>
      </c>
      <c r="B799" s="8" t="n">
        <v>0.007</v>
      </c>
      <c r="C799" s="6" t="n">
        <v>911.3617829843034</v>
      </c>
      <c r="D799" s="6" t="n">
        <v>123500.7299016125</v>
      </c>
      <c r="E799" s="8" t="n">
        <v>0.2290925187042742</v>
      </c>
      <c r="F799" s="8" t="n">
        <v>0.05030501704375166</v>
      </c>
      <c r="G799" s="6" t="n">
        <v>616.9431404960504</v>
      </c>
      <c r="H799" s="6" t="n">
        <v>21.95994468086966</v>
      </c>
      <c r="I799" s="6" t="n">
        <v>66.03559079160227</v>
      </c>
    </row>
    <row r="800">
      <c r="A800" s="6" t="inlineStr">
        <is>
          <t>1 wt% Re | 250 C</t>
        </is>
      </c>
      <c r="B800" s="8" t="n">
        <v>0.008</v>
      </c>
      <c r="C800" s="6" t="n">
        <v>915.1656799539245</v>
      </c>
      <c r="D800" s="6" t="n">
        <v>119296.4703821564</v>
      </c>
      <c r="E800" s="8" t="n">
        <v>0.2065193328574045</v>
      </c>
      <c r="F800" s="8" t="n">
        <v>0.04526013725381364</v>
      </c>
      <c r="G800" s="6" t="n">
        <v>619.8403310441522</v>
      </c>
      <c r="H800" s="6" t="n">
        <v>22.00770055738942</v>
      </c>
      <c r="I800" s="6" t="n">
        <v>66.34145623761668</v>
      </c>
    </row>
    <row r="801">
      <c r="A801" s="6" t="inlineStr">
        <is>
          <t>1 wt% Re | 250 C</t>
        </is>
      </c>
      <c r="B801" s="8" t="n">
        <v>0.008999999999999999</v>
      </c>
      <c r="C801" s="6" t="n">
        <v>918.9962025643842</v>
      </c>
      <c r="D801" s="6" t="n">
        <v>116006.164310337</v>
      </c>
      <c r="E801" s="8" t="n">
        <v>0.1880271736974991</v>
      </c>
      <c r="F801" s="8" t="n">
        <v>0.0411273258442509</v>
      </c>
      <c r="G801" s="6" t="n">
        <v>622.7375215922541</v>
      </c>
      <c r="H801" s="6" t="n">
        <v>22.062836225614</v>
      </c>
      <c r="I801" s="6" t="n">
        <v>66.66620862566715</v>
      </c>
    </row>
    <row r="802">
      <c r="A802" s="6" t="inlineStr">
        <is>
          <t>1 wt% Re | 250 C</t>
        </is>
      </c>
      <c r="B802" s="8" t="n">
        <v>0.01</v>
      </c>
      <c r="C802" s="6" t="n">
        <v>922.8432992837995</v>
      </c>
      <c r="D802" s="6" t="n">
        <v>113355.6256518632</v>
      </c>
      <c r="E802" s="8" t="n">
        <v>0.1726010711448324</v>
      </c>
      <c r="F802" s="8" t="n">
        <v>0.03767974722006433</v>
      </c>
      <c r="G802" s="6" t="n">
        <v>625.6347121403562</v>
      </c>
      <c r="H802" s="6" t="n">
        <v>22.12313774803195</v>
      </c>
      <c r="I802" s="6" t="n">
        <v>67.00206639014667</v>
      </c>
    </row>
    <row r="803">
      <c r="A803" s="6" t="inlineStr">
        <is>
          <t>1 wt% Re | 250 C</t>
        </is>
      </c>
      <c r="B803" s="8" t="n">
        <v>0.011</v>
      </c>
      <c r="C803" s="6" t="n">
        <v>926.700752086439</v>
      </c>
      <c r="D803" s="6" t="n">
        <v>111170.3723849135</v>
      </c>
      <c r="E803" s="8" t="n">
        <v>0.1595368592731743</v>
      </c>
      <c r="F803" s="8" t="n">
        <v>0.03476002738566019</v>
      </c>
      <c r="G803" s="6" t="n">
        <v>628.531902688458</v>
      </c>
      <c r="H803" s="6" t="n">
        <v>22.18719625531781</v>
      </c>
      <c r="I803" s="6" t="n">
        <v>67.34426049350527</v>
      </c>
    </row>
    <row r="804">
      <c r="A804" s="6" t="inlineStr">
        <is>
          <t>1 wt% Re | 250 C</t>
        </is>
      </c>
      <c r="B804" s="8" t="n">
        <v>0.012</v>
      </c>
      <c r="C804" s="6" t="n">
        <v>930.5645626032981</v>
      </c>
      <c r="D804" s="6" t="n">
        <v>109334.083161607</v>
      </c>
      <c r="E804" s="8" t="n">
        <v>0.1483306681932234</v>
      </c>
      <c r="F804" s="8" t="n">
        <v>0.03225555649329532</v>
      </c>
      <c r="G804" s="6" t="n">
        <v>631.4290932365598</v>
      </c>
      <c r="H804" s="6" t="n">
        <v>22.25407250125459</v>
      </c>
      <c r="I804" s="6" t="n">
        <v>67.68976223676796</v>
      </c>
    </row>
    <row r="805">
      <c r="A805" s="6" t="inlineStr">
        <is>
          <t>1 wt% Re | 250 C</t>
        </is>
      </c>
      <c r="B805" s="8" t="n">
        <v>0.013</v>
      </c>
      <c r="C805" s="6" t="n">
        <v>934.4320818067018</v>
      </c>
      <c r="D805" s="6" t="n">
        <v>107766.2278180258</v>
      </c>
      <c r="E805" s="8" t="n">
        <v>0.1386124357567033</v>
      </c>
      <c r="F805" s="8" t="n">
        <v>0.03008362937828781</v>
      </c>
      <c r="G805" s="6" t="n">
        <v>634.3262837846614</v>
      </c>
      <c r="H805" s="6" t="n">
        <v>22.32311623846133</v>
      </c>
      <c r="I805" s="6" t="n">
        <v>68.03659688186336</v>
      </c>
    </row>
    <row r="806">
      <c r="A806" s="6" t="inlineStr">
        <is>
          <t>1 wt% Re | 250 C</t>
        </is>
      </c>
      <c r="B806" s="8" t="n">
        <v>0.014</v>
      </c>
      <c r="C806" s="6" t="n">
        <v>938.3015138196436</v>
      </c>
      <c r="D806" s="6" t="n">
        <v>106409.2848085147</v>
      </c>
      <c r="E806" s="8" t="n">
        <v>0.1301042553501336</v>
      </c>
      <c r="F806" s="8" t="n">
        <v>0.02818213671024239</v>
      </c>
      <c r="G806" s="6" t="n">
        <v>637.2234743327633</v>
      </c>
      <c r="H806" s="6" t="n">
        <v>22.39386300452302</v>
      </c>
      <c r="I806" s="6" t="n">
        <v>68.38345259656714</v>
      </c>
    </row>
    <row r="807">
      <c r="A807" s="6" t="inlineStr">
        <is>
          <t>1 wt% Re | 250 C</t>
        </is>
      </c>
      <c r="B807" s="8" t="n">
        <v>0.015</v>
      </c>
      <c r="C807" s="6" t="n">
        <v>942.1716198610178</v>
      </c>
      <c r="D807" s="6" t="n">
        <v>105221.0716662596</v>
      </c>
      <c r="E807" s="8" t="n">
        <v>0.1225933706153257</v>
      </c>
      <c r="F807" s="8" t="n">
        <v>0.02650352958494639</v>
      </c>
      <c r="G807" s="6" t="n">
        <v>640.120664880865</v>
      </c>
      <c r="H807" s="6" t="n">
        <v>22.46597219366867</v>
      </c>
      <c r="I807" s="6" t="n">
        <v>68.72944752262541</v>
      </c>
    </row>
    <row r="808">
      <c r="A808" s="6" t="inlineStr">
        <is>
          <t>1 wt% Re | 250 C</t>
        </is>
      </c>
      <c r="B808" s="8" t="n">
        <v>0.016</v>
      </c>
      <c r="C808" s="6" t="n">
        <v>946.0415347896471</v>
      </c>
      <c r="D808" s="6" t="n">
        <v>104169.9515411499</v>
      </c>
      <c r="E808" s="8" t="n">
        <v>0.1159141407800552</v>
      </c>
      <c r="F808" s="8" t="n">
        <v>0.02501078895733224</v>
      </c>
      <c r="G808" s="6" t="n">
        <v>643.0178554289672</v>
      </c>
      <c r="H808" s="6" t="n">
        <v>22.53918835157006</v>
      </c>
      <c r="I808" s="6" t="n">
        <v>69.07398581108376</v>
      </c>
    </row>
    <row r="809">
      <c r="A809" s="6" t="inlineStr">
        <is>
          <t>1 wt% Re | 250 C</t>
        </is>
      </c>
      <c r="B809" s="8" t="n">
        <v>0.017</v>
      </c>
      <c r="C809" s="6" t="n">
        <v>949.9106497327317</v>
      </c>
      <c r="D809" s="6" t="n">
        <v>103231.7315478072</v>
      </c>
      <c r="E809" s="8" t="n">
        <v>0.1099356824737985</v>
      </c>
      <c r="F809" s="8" t="n">
        <v>0.02367466371170575</v>
      </c>
      <c r="G809" s="6" t="n">
        <v>645.915045977069</v>
      </c>
      <c r="H809" s="6" t="n">
        <v>22.61331613079969</v>
      </c>
      <c r="I809" s="6" t="n">
        <v>69.416665837344</v>
      </c>
    </row>
    <row r="810">
      <c r="A810" s="6" t="inlineStr">
        <is>
          <t>1 wt% Re | 250 C</t>
        </is>
      </c>
      <c r="B810" s="8" t="n">
        <v>0.018</v>
      </c>
      <c r="C810" s="6" t="n">
        <v>953.7785349185664</v>
      </c>
      <c r="D810" s="6" t="n">
        <v>102387.5949976035</v>
      </c>
      <c r="E810" s="8" t="n">
        <v>0.1045532074484134</v>
      </c>
      <c r="F810" s="8" t="n">
        <v>0.02247173472952237</v>
      </c>
      <c r="G810" s="6" t="n">
        <v>648.8122365251708</v>
      </c>
      <c r="H810" s="6" t="n">
        <v>22.68820359446951</v>
      </c>
      <c r="I810" s="6" t="n">
        <v>69.75722011865115</v>
      </c>
    </row>
    <row r="811">
      <c r="A811" s="6" t="inlineStr">
        <is>
          <t>1 wt% Re | 250 C</t>
        </is>
      </c>
      <c r="B811" s="8" t="n">
        <v>0.019</v>
      </c>
      <c r="C811" s="6" t="n">
        <v>957.6448877366576</v>
      </c>
      <c r="D811" s="6" t="n">
        <v>101622.6866100433</v>
      </c>
      <c r="E811" s="8" t="n">
        <v>0.09968182789133982</v>
      </c>
      <c r="F811" s="8" t="n">
        <v>0.02138303043925021</v>
      </c>
      <c r="G811" s="6" t="n">
        <v>651.7094270732724</v>
      </c>
      <c r="H811" s="6" t="n">
        <v>22.76373079240476</v>
      </c>
      <c r="I811" s="6" t="n">
        <v>70.09547508528429</v>
      </c>
    </row>
    <row r="812">
      <c r="A812" s="6" t="inlineStr">
        <is>
          <t>1 wt% Re | 250 C</t>
        </is>
      </c>
      <c r="B812" s="8" t="n">
        <v>0.02</v>
      </c>
      <c r="C812" s="6" t="n">
        <v>961.5094970585285</v>
      </c>
      <c r="D812" s="6" t="n">
        <v>100925.12216073</v>
      </c>
      <c r="E812" s="8" t="n">
        <v>0.09525204641256982</v>
      </c>
      <c r="F812" s="8" t="n">
        <v>0.02039301887386067</v>
      </c>
      <c r="G812" s="6" t="n">
        <v>654.6066176213743</v>
      </c>
      <c r="H812" s="6" t="n">
        <v>22.83980176446564</v>
      </c>
      <c r="I812" s="6" t="n">
        <v>70.43132361609202</v>
      </c>
    </row>
    <row r="813">
      <c r="A813" s="6" t="inlineStr">
        <is>
          <t>1 wt% Re | 250 C</t>
        </is>
      </c>
      <c r="B813" s="8" t="n">
        <v>0.021</v>
      </c>
      <c r="C813" s="6" t="n">
        <v>965.372218289117</v>
      </c>
      <c r="D813" s="6" t="n">
        <v>100285.2810870568</v>
      </c>
      <c r="E813" s="8" t="n">
        <v>0.09120641936816706</v>
      </c>
      <c r="F813" s="8" t="n">
        <v>0.0194888619572257</v>
      </c>
      <c r="G813" s="6" t="n">
        <v>657.503808169476</v>
      </c>
      <c r="H813" s="6" t="n">
        <v>22.9163388286342</v>
      </c>
      <c r="I813" s="6" t="n">
        <v>70.76470597098596</v>
      </c>
    </row>
    <row r="814">
      <c r="A814" s="6" t="inlineStr">
        <is>
          <t>1 wt% Re | 250 C</t>
        </is>
      </c>
      <c r="B814" s="8" t="n">
        <v>0.022</v>
      </c>
      <c r="C814" s="6" t="n">
        <v>969.2329556479316</v>
      </c>
      <c r="D814" s="6" t="n">
        <v>99695.2920196184</v>
      </c>
      <c r="E814" s="8" t="n">
        <v>0.08749705218611449</v>
      </c>
      <c r="F814" s="8" t="n">
        <v>0.01865985573465958</v>
      </c>
      <c r="G814" s="6" t="n">
        <v>660.400998717578</v>
      </c>
      <c r="H814" s="6" t="n">
        <v>22.99327842689573</v>
      </c>
      <c r="I814" s="6" t="n">
        <v>71.09559635990028</v>
      </c>
    </row>
    <row r="815">
      <c r="A815" s="6" t="inlineStr">
        <is>
          <t>1 wt% Re | 250 C</t>
        </is>
      </c>
      <c r="B815" s="8" t="n">
        <v>0.023</v>
      </c>
      <c r="C815" s="6" t="n">
        <v>973.0916494117907</v>
      </c>
      <c r="D815" s="6" t="n">
        <v>99148.65252281891</v>
      </c>
      <c r="E815" s="8" t="n">
        <v>0.08408369431482006</v>
      </c>
      <c r="F815" s="8" t="n">
        <v>0.01789700461308841</v>
      </c>
      <c r="G815" s="6" t="n">
        <v>663.2981892656799</v>
      </c>
      <c r="H815" s="6" t="n">
        <v>23.07056805480335</v>
      </c>
      <c r="I815" s="6" t="n">
        <v>71.42399336327448</v>
      </c>
    </row>
    <row r="816">
      <c r="A816" s="6" t="inlineStr">
        <is>
          <t>1 wt% Re | 250 C</t>
        </is>
      </c>
      <c r="B816" s="8" t="n">
        <v>0.024</v>
      </c>
      <c r="C816" s="6" t="n">
        <v>976.9482666189587</v>
      </c>
      <c r="D816" s="6" t="n">
        <v>98639.94390032841</v>
      </c>
      <c r="E816" s="8" t="n">
        <v>0.08093227274457088</v>
      </c>
      <c r="F816" s="8" t="n">
        <v>0.01719269361785823</v>
      </c>
      <c r="G816" s="6" t="n">
        <v>666.1953798137816</v>
      </c>
      <c r="H816" s="6" t="n">
        <v>23.14816395865129</v>
      </c>
      <c r="I816" s="6" t="n">
        <v>71.7499130262977</v>
      </c>
    </row>
    <row r="817">
      <c r="A817" s="6" t="inlineStr">
        <is>
          <t>1 wt% Re | 250 C</t>
        </is>
      </c>
      <c r="B817" s="8" t="n">
        <v>0.025</v>
      </c>
      <c r="C817" s="6" t="n">
        <v>980.8027942238306</v>
      </c>
      <c r="D817" s="6" t="n">
        <v>98164.61444722989</v>
      </c>
      <c r="E817" s="8" t="n">
        <v>0.07801375066044798</v>
      </c>
      <c r="F817" s="8" t="n">
        <v>0.01654043331315156</v>
      </c>
      <c r="G817" s="6" t="n">
        <v>669.0925703618834</v>
      </c>
      <c r="H817" s="6" t="n">
        <v>23.22602938532671</v>
      </c>
      <c r="I817" s="6" t="n">
        <v>72.07338383557449</v>
      </c>
    </row>
    <row r="818">
      <c r="A818" s="6" t="inlineStr">
        <is>
          <t>1 wt% Re | 250 C</t>
        </is>
      </c>
      <c r="B818" s="8" t="n">
        <v>0.026</v>
      </c>
      <c r="C818" s="6" t="n">
        <v>984.655234009595</v>
      </c>
      <c r="D818" s="6" t="n">
        <v>97718.81272090114</v>
      </c>
      <c r="E818" s="8" t="n">
        <v>0.07530323012487791</v>
      </c>
      <c r="F818" s="8" t="n">
        <v>0.01593465926057114</v>
      </c>
      <c r="G818" s="6" t="n">
        <v>671.9897609099852</v>
      </c>
      <c r="H818" s="6" t="n">
        <v>23.30413323604181</v>
      </c>
      <c r="I818" s="6" t="n">
        <v>72.39444303777168</v>
      </c>
    </row>
    <row r="819">
      <c r="A819" s="6" t="inlineStr">
        <is>
          <t>1 wt% Re | 250 C</t>
        </is>
      </c>
      <c r="B819" s="8" t="n">
        <v>0.027</v>
      </c>
      <c r="C819" s="6" t="n">
        <v>988.5055987771174</v>
      </c>
      <c r="D819" s="6" t="n">
        <v>97299.25786281226</v>
      </c>
      <c r="E819" s="8" t="n">
        <v>0.07277924001279701</v>
      </c>
      <c r="F819" s="8" t="n">
        <v>0.0153705728798175</v>
      </c>
      <c r="G819" s="6" t="n">
        <v>674.886951458087</v>
      </c>
      <c r="H819" s="6" t="n">
        <v>23.38244901923665</v>
      </c>
      <c r="I819" s="6" t="n">
        <v>72.71313392568804</v>
      </c>
    </row>
    <row r="820">
      <c r="A820" s="6" t="inlineStr">
        <is>
          <t>1 wt% Re | 250 C</t>
        </is>
      </c>
      <c r="B820" s="8" t="n">
        <v>0.028</v>
      </c>
      <c r="C820" s="6" t="n">
        <v>992.3539094702852</v>
      </c>
      <c r="D820" s="6" t="n">
        <v>96903.13770850889</v>
      </c>
      <c r="E820" s="8" t="n">
        <v>0.07042316606368965</v>
      </c>
      <c r="F820" s="8" t="n">
        <v>0.01484401407105725</v>
      </c>
      <c r="G820" s="6" t="n">
        <v>677.7841420061891</v>
      </c>
      <c r="H820" s="6" t="n">
        <v>23.46095402785982</v>
      </c>
      <c r="I820" s="6" t="n">
        <v>73.02950382867739</v>
      </c>
    </row>
    <row r="821">
      <c r="A821" s="6" t="inlineStr">
        <is>
          <t>1 wt% Re | 250 C</t>
        </is>
      </c>
      <c r="B821" s="8" t="n">
        <v>0.029</v>
      </c>
      <c r="C821" s="6" t="n">
        <v>996.2001929952061</v>
      </c>
      <c r="D821" s="6" t="n">
        <v>96528.02797828913</v>
      </c>
      <c r="E821" s="8" t="n">
        <v>0.06821879102416632</v>
      </c>
      <c r="F821" s="8" t="n">
        <v>0.01435135844141882</v>
      </c>
      <c r="G821" s="6" t="n">
        <v>680.6813325542909</v>
      </c>
      <c r="H821" s="6" t="n">
        <v>23.53962868686702</v>
      </c>
      <c r="I821" s="6" t="n">
        <v>73.34360262041737</v>
      </c>
    </row>
    <row r="822">
      <c r="A822" s="6" t="inlineStr">
        <is>
          <t>1 wt% Re | 250 C</t>
        </is>
      </c>
      <c r="B822" s="8" t="n">
        <v>0.03</v>
      </c>
      <c r="C822" s="6" t="n">
        <v>1000.044480557995</v>
      </c>
      <c r="D822" s="6" t="n">
        <v>96171.82762974463</v>
      </c>
      <c r="E822" s="8" t="n">
        <v>0.06615192084572287</v>
      </c>
      <c r="F822" s="8" t="n">
        <v>0.01388943376395462</v>
      </c>
      <c r="G822" s="6" t="n">
        <v>683.5785231023926</v>
      </c>
      <c r="H822" s="6" t="n">
        <v>23.61845603121981</v>
      </c>
      <c r="I822" s="6" t="n">
        <v>73.65548160961885</v>
      </c>
    </row>
    <row r="823">
      <c r="A823" s="6" t="inlineStr">
        <is>
          <t>1 wt% Re | 250 C</t>
        </is>
      </c>
      <c r="B823" s="8" t="n">
        <v>0.031</v>
      </c>
      <c r="C823" s="6" t="n">
        <v>1003.886806393231</v>
      </c>
      <c r="D823" s="6" t="n">
        <v>95832.70672271325</v>
      </c>
      <c r="E823" s="8" t="n">
        <v>0.06421007871805963</v>
      </c>
      <c r="F823" s="8" t="n">
        <v>0.01345545159716813</v>
      </c>
      <c r="G823" s="6" t="n">
        <v>686.4757136504943</v>
      </c>
      <c r="H823" s="6" t="n">
        <v>23.69742128491704</v>
      </c>
      <c r="I823" s="6" t="n">
        <v>73.96519271611142</v>
      </c>
    </row>
    <row r="824">
      <c r="A824" s="6" t="inlineStr">
        <is>
          <t>1 wt% Re | 250 C</t>
        </is>
      </c>
      <c r="B824" s="8" t="n">
        <v>0.032</v>
      </c>
      <c r="C824" s="6" t="n">
        <v>1007.727206788802</v>
      </c>
      <c r="D824" s="6" t="n">
        <v>95509.06405955311</v>
      </c>
      <c r="E824" s="8" t="n">
        <v>0.06238225299744381</v>
      </c>
      <c r="F824" s="8" t="n">
        <v>0.01304695094954057</v>
      </c>
      <c r="G824" s="6" t="n">
        <v>689.3729041985962</v>
      </c>
      <c r="H824" s="6" t="n">
        <v>23.77651151895766</v>
      </c>
      <c r="I824" s="6" t="n">
        <v>74.27278786083758</v>
      </c>
    </row>
    <row r="825">
      <c r="A825" s="6" t="inlineStr">
        <is>
          <t>1 wt% Re | 250 C</t>
        </is>
      </c>
      <c r="B825" s="8" t="n">
        <v>0.033</v>
      </c>
      <c r="C825" s="6" t="n">
        <v>1011.565719337035</v>
      </c>
      <c r="D825" s="6" t="n">
        <v>95199.49252718502</v>
      </c>
      <c r="E825" s="8" t="n">
        <v>0.06065868827032104</v>
      </c>
      <c r="F825" s="8" t="n">
        <v>0.01266175158435139</v>
      </c>
      <c r="G825" s="6" t="n">
        <v>692.270094746698</v>
      </c>
      <c r="H825" s="6" t="n">
        <v>23.85571537149226</v>
      </c>
      <c r="I825" s="6" t="n">
        <v>74.57831851697155</v>
      </c>
    </row>
    <row r="826">
      <c r="A826" s="6" t="inlineStr">
        <is>
          <t>1 wt% Re | 250 C</t>
        </is>
      </c>
      <c r="B826" s="8" t="n">
        <v>0.034</v>
      </c>
      <c r="C826" s="6" t="n">
        <v>1015.402382359584</v>
      </c>
      <c r="D826" s="6" t="n">
        <v>94902.75055524503</v>
      </c>
      <c r="E826" s="8" t="n">
        <v>0.05903071117930371</v>
      </c>
      <c r="F826" s="8" t="n">
        <v>0.01229791509354013</v>
      </c>
      <c r="G826" s="6" t="n">
        <v>695.1672852947997</v>
      </c>
      <c r="H826" s="6" t="n">
        <v>23.93502281735963</v>
      </c>
      <c r="I826" s="6" t="n">
        <v>74.88183538288652</v>
      </c>
    </row>
    <row r="827">
      <c r="A827" s="6" t="inlineStr">
        <is>
          <t>1 wt% Re | 250 C</t>
        </is>
      </c>
      <c r="B827" s="8" t="n">
        <v>0.035</v>
      </c>
      <c r="C827" s="6" t="n">
        <v>1019.23723446637</v>
      </c>
      <c r="D827" s="6" t="n">
        <v>94617.73846712496</v>
      </c>
      <c r="E827" s="8" t="n">
        <v>0.05749058444596132</v>
      </c>
      <c r="F827" s="8" t="n">
        <v>0.01195371227326965</v>
      </c>
      <c r="G827" s="6" t="n">
        <v>698.0644758429019</v>
      </c>
      <c r="H827" s="6" t="n">
        <v>24.01442497713123</v>
      </c>
      <c r="I827" s="6" t="n">
        <v>75.18338814754625</v>
      </c>
    </row>
    <row r="828">
      <c r="A828" s="6" t="inlineStr">
        <is>
          <t>1 wt% Re | 250 C</t>
        </is>
      </c>
      <c r="B828" s="8" t="n">
        <v>0.036</v>
      </c>
      <c r="C828" s="6" t="n">
        <v>1023.070314218421</v>
      </c>
      <c r="D828" s="6" t="n">
        <v>94343.4787725065</v>
      </c>
      <c r="E828" s="8" t="n">
        <v>0.05603138390479435</v>
      </c>
      <c r="F828" s="8" t="n">
        <v>0.01162759564225717</v>
      </c>
      <c r="G828" s="6" t="n">
        <v>700.9616663910036</v>
      </c>
      <c r="H828" s="6" t="n">
        <v>24.09391395798171</v>
      </c>
      <c r="I828" s="6" t="n">
        <v>75.48302532614392</v>
      </c>
    </row>
    <row r="829">
      <c r="A829" s="6" t="inlineStr">
        <is>
          <t>1 wt% Re | 250 C</t>
        </is>
      </c>
      <c r="B829" s="8" t="n">
        <v>0.037</v>
      </c>
      <c r="C829" s="6" t="n">
        <v>1026.901659871526</v>
      </c>
      <c r="D829" s="6" t="n">
        <v>94079.09965570031</v>
      </c>
      <c r="E829" s="8" t="n">
        <v>0.05464689442478837</v>
      </c>
      <c r="F829" s="8" t="n">
        <v>0.01131817618128939</v>
      </c>
      <c r="G829" s="6" t="n">
        <v>703.8588569391054</v>
      </c>
      <c r="H829" s="6" t="n">
        <v>24.17348272036412</v>
      </c>
      <c r="I829" s="6" t="n">
        <v>75.78079414918199</v>
      </c>
    </row>
    <row r="830">
      <c r="A830" s="6" t="inlineStr">
        <is>
          <t>1 wt% Re | 250 C</t>
        </is>
      </c>
      <c r="B830" s="8" t="n">
        <v>0.038</v>
      </c>
      <c r="C830" s="6" t="n">
        <v>1030.731309182922</v>
      </c>
      <c r="D830" s="6" t="n">
        <v>93823.82107108968</v>
      </c>
      <c r="E830" s="8" t="n">
        <v>0.0533315214183781</v>
      </c>
      <c r="F830" s="8" t="n">
        <v>0.01102420355636682</v>
      </c>
      <c r="G830" s="6" t="n">
        <v>706.7560474872072</v>
      </c>
      <c r="H830" s="6" t="n">
        <v>24.2531249657365</v>
      </c>
      <c r="I830" s="6" t="n">
        <v>76.07674049219577</v>
      </c>
    </row>
    <row r="831">
      <c r="A831" s="6" t="inlineStr">
        <is>
          <t>1 wt% Re | 250 C</t>
        </is>
      </c>
      <c r="B831" s="8" t="n">
        <v>0.039</v>
      </c>
      <c r="C831" s="6" t="n">
        <v>1034.559299267284</v>
      </c>
      <c r="D831" s="6" t="n">
        <v>93576.94297773641</v>
      </c>
      <c r="E831" s="8" t="n">
        <v>0.05208021528060765</v>
      </c>
      <c r="F831" s="8" t="n">
        <v>0.01074454923161678</v>
      </c>
      <c r="G831" s="6" t="n">
        <v>709.653238035309</v>
      </c>
      <c r="H831" s="6" t="n">
        <v>24.33283504156112</v>
      </c>
      <c r="I831" s="6" t="n">
        <v>76.37090883633428</v>
      </c>
    </row>
    <row r="832">
      <c r="A832" s="6" t="inlineStr">
        <is>
          <t>1 wt% Re | 250 C</t>
        </is>
      </c>
      <c r="B832" s="8" t="n">
        <v>0.04</v>
      </c>
      <c r="C832" s="6" t="n">
        <v>1038.38566649132</v>
      </c>
      <c r="D832" s="6" t="n">
        <v>93337.83533879629</v>
      </c>
      <c r="E832" s="8" t="n">
        <v>0.05088840660665613</v>
      </c>
      <c r="F832" s="8" t="n">
        <v>0.01047819199106252</v>
      </c>
      <c r="G832" s="6" t="n">
        <v>712.5504285834108</v>
      </c>
      <c r="H832" s="6" t="n">
        <v>24.41260786055409</v>
      </c>
      <c r="I832" s="6" t="n">
        <v>76.66334225228934</v>
      </c>
    </row>
    <row r="833">
      <c r="A833" s="6" t="inlineStr">
        <is>
          <t>1 wt% Re | 250 C</t>
        </is>
      </c>
      <c r="B833" s="8" t="n">
        <v>0.041</v>
      </c>
      <c r="C833" s="6" t="n">
        <v>1042.21044639864</v>
      </c>
      <c r="D833" s="6" t="n">
        <v>93105.92958443415</v>
      </c>
      <c r="E833" s="8" t="n">
        <v>0.04975195043565805</v>
      </c>
      <c r="F833" s="8" t="n">
        <v>0.01022420547767838</v>
      </c>
      <c r="G833" s="6" t="n">
        <v>715.447619131513</v>
      </c>
      <c r="H833" s="6" t="n">
        <v>24.49243883175187</v>
      </c>
      <c r="I833" s="6" t="n">
        <v>76.95408240179199</v>
      </c>
    </row>
    <row r="834">
      <c r="A834" s="6" t="inlineStr">
        <is>
          <t>1 wt% Re | 250 C</t>
        </is>
      </c>
      <c r="B834" s="8" t="n">
        <v>0.042</v>
      </c>
      <c r="C834" s="6" t="n">
        <v>1046.033673658353</v>
      </c>
      <c r="D834" s="6" t="n">
        <v>92880.71129432302</v>
      </c>
      <c r="E834" s="8" t="n">
        <v>0.04866707808685408</v>
      </c>
      <c r="F834" s="8" t="n">
        <v>0.009981747429254407</v>
      </c>
      <c r="G834" s="6" t="n">
        <v>718.3448096796146</v>
      </c>
      <c r="H834" s="6" t="n">
        <v>24.57232380142554</v>
      </c>
      <c r="I834" s="6" t="n">
        <v>77.24316955221728</v>
      </c>
    </row>
    <row r="835">
      <c r="A835" s="6" t="inlineStr">
        <is>
          <t>1 wt% Re | 250 C</t>
        </is>
      </c>
      <c r="B835" s="8" t="n">
        <v>0.043</v>
      </c>
      <c r="C835" s="6" t="n">
        <v>1049.855382032254</v>
      </c>
      <c r="D835" s="6" t="n">
        <v>92661.71390118956</v>
      </c>
      <c r="E835" s="8" t="n">
        <v>0.04763035540868076</v>
      </c>
      <c r="F835" s="8" t="n">
        <v>0.009750050347488154</v>
      </c>
      <c r="G835" s="6" t="n">
        <v>721.2420002277164</v>
      </c>
      <c r="H835" s="6" t="n">
        <v>24.65225900223955</v>
      </c>
      <c r="I835" s="6" t="n">
        <v>77.53064260085134</v>
      </c>
    </row>
    <row r="836">
      <c r="A836" s="6" t="inlineStr">
        <is>
          <t>1 wt% Re | 250 C</t>
        </is>
      </c>
      <c r="B836" s="8" t="n">
        <v>0.044</v>
      </c>
      <c r="C836" s="6" t="n">
        <v>1053.675604356535</v>
      </c>
      <c r="D836" s="6" t="n">
        <v>92448.5132529671</v>
      </c>
      <c r="E836" s="8" t="n">
        <v>0.04663864646624182</v>
      </c>
      <c r="F836" s="8" t="n">
        <v>0.009528413382500125</v>
      </c>
      <c r="G836" s="6" t="n">
        <v>724.1391907758182</v>
      </c>
      <c r="H836" s="6" t="n">
        <v>24.73224100934345</v>
      </c>
      <c r="I836" s="6" t="n">
        <v>77.81653910615573</v>
      </c>
    </row>
    <row r="837">
      <c r="A837" s="6" t="inlineStr">
        <is>
          <t>1 wt% Re | 250 C</t>
        </is>
      </c>
      <c r="B837" s="8" t="n">
        <v>0.045</v>
      </c>
      <c r="C837" s="6" t="n">
        <v>1057.494372534818</v>
      </c>
      <c r="D837" s="6" t="n">
        <v>92240.72289999493</v>
      </c>
      <c r="E837" s="8" t="n">
        <v>0.04568908185826493</v>
      </c>
      <c r="F837" s="8" t="n">
        <v>0.009316195251992539</v>
      </c>
      <c r="G837" s="6" t="n">
        <v>727.03638132392</v>
      </c>
      <c r="H837" s="6" t="n">
        <v>24.81226670231792</v>
      </c>
      <c r="I837" s="6" t="n">
        <v>78.10089532396771</v>
      </c>
    </row>
    <row r="838">
      <c r="A838" s="6" t="inlineStr">
        <is>
          <t>1 wt% Re | 250 C</t>
        </is>
      </c>
      <c r="B838" s="8" t="n">
        <v>0.046</v>
      </c>
      <c r="C838" s="6" t="n">
        <v>1061.311717539972</v>
      </c>
      <c r="D838" s="6" t="n">
        <v>92037.98999693064</v>
      </c>
      <c r="E838" s="8" t="n">
        <v>0.04477903098928829</v>
      </c>
      <c r="F838" s="8" t="n">
        <v>0.009112808044362191</v>
      </c>
      <c r="G838" s="6" t="n">
        <v>729.9335718720217</v>
      </c>
      <c r="H838" s="6" t="n">
        <v>24.89233323208443</v>
      </c>
      <c r="I838" s="6" t="n">
        <v>78.38374624704295</v>
      </c>
    </row>
    <row r="839">
      <c r="A839" s="6" t="inlineStr">
        <is>
          <t>1 wt% Re | 250 C</t>
        </is>
      </c>
      <c r="B839" s="8" t="n">
        <v>0.047</v>
      </c>
      <c r="C839" s="6" t="n">
        <v>1065.127669422671</v>
      </c>
      <c r="D839" s="6" t="n">
        <v>91839.99172782265</v>
      </c>
      <c r="E839" s="8" t="n">
        <v>0.04390607773276455</v>
      </c>
      <c r="F839" s="8" t="n">
        <v>0.008917711779649165</v>
      </c>
      <c r="G839" s="6" t="n">
        <v>732.830762420124</v>
      </c>
      <c r="H839" s="6" t="n">
        <v>24.97243799203923</v>
      </c>
      <c r="I839" s="6" t="n">
        <v>78.66512564671262</v>
      </c>
    </row>
    <row r="840">
      <c r="A840" s="6" t="inlineStr">
        <is>
          <t>1 wt% Re | 250 C</t>
        </is>
      </c>
      <c r="B840" s="8" t="n">
        <v>0.048</v>
      </c>
      <c r="C840" s="6" t="n">
        <v>1068.942257325117</v>
      </c>
      <c r="D840" s="6" t="n">
        <v>91646.43217804871</v>
      </c>
      <c r="E840" s="8" t="n">
        <v>0.04306799901094588</v>
      </c>
      <c r="F840" s="8" t="n">
        <v>0.008730409622356803</v>
      </c>
      <c r="G840" s="6" t="n">
        <v>735.7279529682256</v>
      </c>
      <c r="H840" s="6" t="n">
        <v>25.05257859279556</v>
      </c>
      <c r="I840" s="6" t="n">
        <v>78.94506611570958</v>
      </c>
    </row>
    <row r="841">
      <c r="A841" s="6" t="inlineStr">
        <is>
          <t>1 wt% Re | 250 C</t>
        </is>
      </c>
      <c r="B841" s="8" t="n">
        <v>0.049</v>
      </c>
      <c r="C841" s="6" t="n">
        <v>1072.755509498627</v>
      </c>
      <c r="D841" s="6" t="n">
        <v>91457.03958928221</v>
      </c>
      <c r="E841" s="8" t="n">
        <v>0.04226274589169812</v>
      </c>
      <c r="F841" s="8" t="n">
        <v>0.008550443656779955</v>
      </c>
      <c r="G841" s="6" t="n">
        <v>738.6251435163275</v>
      </c>
      <c r="H841" s="6" t="n">
        <v>25.13275284001862</v>
      </c>
      <c r="I841" s="6" t="n">
        <v>79.22359911144119</v>
      </c>
    </row>
    <row r="842">
      <c r="A842" s="6" t="inlineStr">
        <is>
          <t>1 wt% Re | 250 C</t>
        </is>
      </c>
      <c r="B842" s="8" t="n">
        <v>0.05</v>
      </c>
      <c r="C842" s="6" t="n">
        <v>1076.567453324077</v>
      </c>
      <c r="D842" s="6" t="n">
        <v>91271.56394386273</v>
      </c>
      <c r="E842" s="8" t="n">
        <v>0.04148842686383299</v>
      </c>
      <c r="F842" s="8" t="n">
        <v>0.008377391149210101</v>
      </c>
      <c r="G842" s="6" t="n">
        <v>741.5223340644292</v>
      </c>
      <c r="H842" s="6" t="n">
        <v>25.21295871492042</v>
      </c>
      <c r="I842" s="6" t="n">
        <v>79.50075499916029</v>
      </c>
    </row>
    <row r="843">
      <c r="A843" s="6" t="inlineStr">
        <is>
          <t>1 wt% Re | 250 C</t>
        </is>
      </c>
      <c r="B843" s="8" t="n">
        <v>0.051</v>
      </c>
      <c r="C843" s="6" t="n">
        <v>1080.378115334393</v>
      </c>
      <c r="D843" s="6" t="n">
        <v>91089.77483335811</v>
      </c>
      <c r="E843" s="8" t="n">
        <v>0.04074329300356893</v>
      </c>
      <c r="F843" s="8" t="n">
        <v>0.008210861232788668</v>
      </c>
      <c r="G843" s="6" t="n">
        <v>744.4195246125309</v>
      </c>
      <c r="H843" s="6" t="n">
        <v>25.29319435704928</v>
      </c>
      <c r="I843" s="6" t="n">
        <v>79.7765630946204</v>
      </c>
    </row>
    <row r="844">
      <c r="A844" s="6" t="inlineStr">
        <is>
          <t>1 wt% Re | 250 C</t>
        </is>
      </c>
      <c r="B844" s="8" t="n">
        <v>0.052</v>
      </c>
      <c r="C844" s="6" t="n">
        <v>1084.187521238447</v>
      </c>
      <c r="D844" s="6" t="n">
        <v>90911.45957306167</v>
      </c>
      <c r="E844" s="8" t="n">
        <v>0.04002572478725717</v>
      </c>
      <c r="F844" s="8" t="n">
        <v>0.008050491960284095</v>
      </c>
      <c r="G844" s="6" t="n">
        <v>747.3167151606327</v>
      </c>
      <c r="H844" s="6" t="n">
        <v>25.37345804906513</v>
      </c>
      <c r="I844" s="6" t="n">
        <v>80.05105170590956</v>
      </c>
    </row>
    <row r="845">
      <c r="A845" s="6" t="inlineStr">
        <is>
          <t>1 wt% Re | 250 C</t>
        </is>
      </c>
      <c r="B845" s="8" t="n">
        <v>0.053</v>
      </c>
      <c r="C845" s="6" t="n">
        <v>1087.995695945852</v>
      </c>
      <c r="D845" s="6" t="n">
        <v>90736.42152994279</v>
      </c>
      <c r="E845" s="8" t="n">
        <v>0.03933422034108678</v>
      </c>
      <c r="F845" s="8" t="n">
        <v>0.007895947678019167</v>
      </c>
      <c r="G845" s="6" t="n">
        <v>750.2139057087348</v>
      </c>
      <c r="H845" s="6" t="n">
        <v>25.45374820323859</v>
      </c>
      <c r="I845" s="6" t="n">
        <v>80.32424817423944</v>
      </c>
    </row>
    <row r="846">
      <c r="A846" s="6" t="inlineStr">
        <is>
          <t>1 wt% Re | 250 C</t>
        </is>
      </c>
      <c r="B846" s="8" t="n">
        <v>0.054</v>
      </c>
      <c r="C846" s="6" t="n">
        <v>1091.802663592243</v>
      </c>
      <c r="D846" s="6" t="n">
        <v>90564.47863638053</v>
      </c>
      <c r="E846" s="8" t="n">
        <v>0.03866738494834603</v>
      </c>
      <c r="F846" s="8" t="n">
        <v>0.007746916680849587</v>
      </c>
      <c r="G846" s="6" t="n">
        <v>753.1110962568365</v>
      </c>
      <c r="H846" s="6" t="n">
        <v>25.53406334944972</v>
      </c>
      <c r="I846" s="6" t="n">
        <v>80.59617891353199</v>
      </c>
    </row>
    <row r="847">
      <c r="A847" s="6" t="inlineStr">
        <is>
          <t>1 wt% Re | 250 C</t>
        </is>
      </c>
      <c r="B847" s="8" t="n">
        <v>0.055</v>
      </c>
      <c r="C847" s="6" t="n">
        <v>1095.608447564745</v>
      </c>
      <c r="D847" s="6" t="n">
        <v>90395.46206603537</v>
      </c>
      <c r="E847" s="8" t="n">
        <v>0.03802392165997293</v>
      </c>
      <c r="F847" s="8" t="n">
        <v>0.007603109113716541</v>
      </c>
      <c r="G847" s="6" t="n">
        <v>756.0082868049384</v>
      </c>
      <c r="H847" s="6" t="n">
        <v>25.61440212449651</v>
      </c>
      <c r="I847" s="6" t="n">
        <v>80.86686944869683</v>
      </c>
    </row>
    <row r="848">
      <c r="A848" s="6" t="inlineStr">
        <is>
          <t>1 wt% Re | 250 C</t>
        </is>
      </c>
      <c r="B848" s="8" t="n">
        <v>0.056</v>
      </c>
      <c r="C848" s="6" t="n">
        <v>1099.413070527364</v>
      </c>
      <c r="D848" s="6" t="n">
        <v>90229.21505159212</v>
      </c>
      <c r="E848" s="8" t="n">
        <v>0.03740262287538245</v>
      </c>
      <c r="F848" s="8" t="n">
        <v>0.007464255090046321</v>
      </c>
      <c r="G848" s="6" t="n">
        <v>758.9054773530402</v>
      </c>
      <c r="H848" s="6" t="n">
        <v>25.69476326254847</v>
      </c>
      <c r="I848" s="6" t="n">
        <v>81.13634445253226</v>
      </c>
    </row>
    <row r="849">
      <c r="A849" s="6" t="inlineStr">
        <is>
          <t>1 wt% Re | 250 C</t>
        </is>
      </c>
      <c r="B849" s="8" t="n">
        <v>0.057</v>
      </c>
      <c r="C849" s="6" t="n">
        <v>1103.216554446116</v>
      </c>
      <c r="D849" s="6" t="n">
        <v>90065.59182695071</v>
      </c>
      <c r="E849" s="8" t="n">
        <v>0.03680236277857468</v>
      </c>
      <c r="F849" s="8" t="n">
        <v>0.007330103001296665</v>
      </c>
      <c r="G849" s="6" t="n">
        <v>761.8026679011419</v>
      </c>
      <c r="H849" s="6" t="n">
        <v>25.77514558660531</v>
      </c>
      <c r="I849" s="6" t="n">
        <v>81.40462778121361</v>
      </c>
    </row>
    <row r="850">
      <c r="A850" s="6" t="inlineStr">
        <is>
          <t>1 wt% Re | 250 C</t>
        </is>
      </c>
      <c r="B850" s="8" t="n">
        <v>0.058</v>
      </c>
      <c r="C850" s="6" t="n">
        <v>1107.018920613756</v>
      </c>
      <c r="D850" s="6" t="n">
        <v>89904.45667884554</v>
      </c>
      <c r="E850" s="8" t="n">
        <v>0.03622209052984513</v>
      </c>
      <c r="F850" s="8" t="n">
        <v>0.007200417995372544</v>
      </c>
      <c r="G850" s="6" t="n">
        <v>764.6998584492437</v>
      </c>
      <c r="H850" s="6" t="n">
        <v>25.85554800083921</v>
      </c>
      <c r="I850" s="6" t="n">
        <v>81.67174250835582</v>
      </c>
    </row>
    <row r="851">
      <c r="A851" s="6" t="inlineStr">
        <is>
          <t>1 wt% Re | 250 C</t>
        </is>
      </c>
      <c r="B851" s="8" t="n">
        <v>0.059</v>
      </c>
      <c r="C851" s="6" t="n">
        <v>1110.820189673974</v>
      </c>
      <c r="D851" s="6" t="n">
        <v>89745.68309491036</v>
      </c>
      <c r="E851" s="8" t="n">
        <v>0.03566082412647734</v>
      </c>
      <c r="F851" s="8" t="n">
        <v>0.007074980604552763</v>
      </c>
      <c r="G851" s="6" t="n">
        <v>767.5970489973454</v>
      </c>
      <c r="H851" s="6" t="n">
        <v>25.93596948371575</v>
      </c>
      <c r="I851" s="6" t="n">
        <v>81.93771095765611</v>
      </c>
    </row>
    <row r="852">
      <c r="A852" s="6" t="inlineStr">
        <is>
          <t>1 wt% Re | 250 C</t>
        </is>
      </c>
      <c r="B852" s="8" t="n">
        <v>0.06</v>
      </c>
      <c r="C852" s="6" t="n">
        <v>1114.620381645</v>
      </c>
      <c r="D852" s="6" t="n">
        <v>89589.15299693658</v>
      </c>
      <c r="E852" s="8" t="n">
        <v>0.03511764485696372</v>
      </c>
      <c r="F852" s="8" t="n">
        <v>0.006953585506064148</v>
      </c>
      <c r="G852" s="6" t="n">
        <v>770.4942395454475</v>
      </c>
      <c r="H852" s="6" t="n">
        <v>26.01640908180277</v>
      </c>
      <c r="I852" s="6" t="n">
        <v>82.20255473413522</v>
      </c>
    </row>
    <row r="853">
      <c r="A853" s="6" t="inlineStr">
        <is>
          <t>1 wt% Re | 250 C</t>
        </is>
      </c>
      <c r="B853" s="8" t="n">
        <v>0.061</v>
      </c>
      <c r="C853" s="6" t="n">
        <v>1118.419515942534</v>
      </c>
      <c r="D853" s="6" t="n">
        <v>89434.75604954919</v>
      </c>
      <c r="E853" s="8" t="n">
        <v>0.03459169228287227</v>
      </c>
      <c r="F853" s="8" t="n">
        <v>0.006836040400579281</v>
      </c>
      <c r="G853" s="6" t="n">
        <v>773.3914300935489</v>
      </c>
      <c r="H853" s="6" t="n">
        <v>26.09686590418831</v>
      </c>
      <c r="I853" s="6" t="n">
        <v>82.46629475400708</v>
      </c>
    </row>
    <row r="854">
      <c r="A854" s="6" t="inlineStr">
        <is>
          <t>1 wt% Re | 250 C</t>
        </is>
      </c>
      <c r="B854" s="8" t="n">
        <v>0.062</v>
      </c>
      <c r="C854" s="6" t="n">
        <v>1122.217611401992</v>
      </c>
      <c r="D854" s="6" t="n">
        <v>89282.3890357842</v>
      </c>
      <c r="E854" s="8" t="n">
        <v>0.03408215969070439</v>
      </c>
      <c r="F854" s="8" t="n">
        <v>0.006722164995752499</v>
      </c>
      <c r="G854" s="6" t="n">
        <v>776.2886206416512</v>
      </c>
      <c r="H854" s="6" t="n">
        <v>26.17733911743856</v>
      </c>
      <c r="I854" s="6" t="n">
        <v>82.72895127321304</v>
      </c>
    </row>
    <row r="855">
      <c r="A855" s="6" t="inlineStr">
        <is>
          <t>1 wt% Re | 250 C</t>
        </is>
      </c>
      <c r="B855" s="8" t="n">
        <v>0.063</v>
      </c>
      <c r="C855" s="6" t="n">
        <v>1126.014686300005</v>
      </c>
      <c r="D855" s="6" t="n">
        <v>89131.95529213586</v>
      </c>
      <c r="E855" s="8" t="n">
        <v>0.03358828996317776</v>
      </c>
      <c r="F855" s="8" t="n">
        <v>0.006611790083493193</v>
      </c>
      <c r="G855" s="6" t="n">
        <v>779.1858111897525</v>
      </c>
      <c r="H855" s="6" t="n">
        <v>26.25782794103613</v>
      </c>
      <c r="I855" s="6" t="n">
        <v>82.99054391466274</v>
      </c>
    </row>
    <row r="856">
      <c r="A856" s="6" t="inlineStr">
        <is>
          <t>1 wt% Re | 250 C</t>
        </is>
      </c>
      <c r="B856" s="8" t="n">
        <v>0.064</v>
      </c>
      <c r="C856" s="6" t="n">
        <v>1129.81075837519</v>
      </c>
      <c r="D856" s="6" t="n">
        <v>88983.36419656743</v>
      </c>
      <c r="E856" s="8" t="n">
        <v>0.03310937182549219</v>
      </c>
      <c r="F856" s="8" t="n">
        <v>0.006504756701044001</v>
      </c>
      <c r="G856" s="6" t="n">
        <v>782.0830017378547</v>
      </c>
      <c r="H856" s="6" t="n">
        <v>26.33833164324603</v>
      </c>
      <c r="I856" s="6" t="n">
        <v>83.25109169422741</v>
      </c>
    </row>
    <row r="857">
      <c r="A857" s="6" t="inlineStr">
        <is>
          <t>1 wt% Re | 250 C</t>
        </is>
      </c>
      <c r="B857" s="8" t="n">
        <v>0.065</v>
      </c>
      <c r="C857" s="6" t="n">
        <v>1133.605844848161</v>
      </c>
      <c r="D857" s="6" t="n">
        <v>88836.53070378293</v>
      </c>
      <c r="E857" s="8" t="n">
        <v>0.03264473642743729</v>
      </c>
      <c r="F857" s="8" t="n">
        <v>0.006400915367116297</v>
      </c>
      <c r="G857" s="6" t="n">
        <v>784.9801922859564</v>
      </c>
      <c r="H857" s="6" t="n">
        <v>26.41884953736304</v>
      </c>
      <c r="I857" s="6" t="n">
        <v>83.51061304553275</v>
      </c>
    </row>
    <row r="858">
      <c r="A858" s="6" t="inlineStr">
        <is>
          <t>1 wt% Re | 250 C</t>
        </is>
      </c>
      <c r="B858" s="8" t="n">
        <v>0.066</v>
      </c>
      <c r="C858" s="6" t="n">
        <v>1137.399962440811</v>
      </c>
      <c r="D858" s="6" t="n">
        <v>88691.37492274671</v>
      </c>
      <c r="E858" s="8" t="n">
        <v>0.03219375422680205</v>
      </c>
      <c r="F858" s="8" t="n">
        <v>0.006300125385363586</v>
      </c>
      <c r="G858" s="6" t="n">
        <v>787.8773828340586</v>
      </c>
      <c r="H858" s="6" t="n">
        <v>26.49938097830049</v>
      </c>
      <c r="I858" s="6" t="n">
        <v>83.76912584360076</v>
      </c>
    </row>
    <row r="859">
      <c r="A859" s="6" t="inlineStr">
        <is>
          <t>1 wt% Re | 250 C</t>
        </is>
      </c>
      <c r="B859" s="8" t="n">
        <v>0.067</v>
      </c>
      <c r="C859" s="6" t="n">
        <v>1141.193127394847</v>
      </c>
      <c r="D859" s="6" t="n">
        <v>88547.82173203719</v>
      </c>
      <c r="E859" s="8" t="n">
        <v>0.03175583214354696</v>
      </c>
      <c r="F859" s="8" t="n">
        <v>0.00620225420836765</v>
      </c>
      <c r="G859" s="6" t="n">
        <v>790.77457338216</v>
      </c>
      <c r="H859" s="6" t="n">
        <v>26.57992535948432</v>
      </c>
      <c r="I859" s="6" t="n">
        <v>84.02664742738939</v>
      </c>
    </row>
    <row r="860">
      <c r="A860" s="6" t="inlineStr">
        <is>
          <t>1 wt% Re | 250 C</t>
        </is>
      </c>
      <c r="B860" s="8" t="n">
        <v>0.068</v>
      </c>
      <c r="C860" s="6" t="n">
        <v>1144.985355489605</v>
      </c>
      <c r="D860" s="6" t="n">
        <v>88405.80042913997</v>
      </c>
      <c r="E860" s="8" t="n">
        <v>0.03133041095768661</v>
      </c>
      <c r="F860" s="8" t="n">
        <v>0.006107176856091479</v>
      </c>
      <c r="G860" s="6" t="n">
        <v>793.6717639302622</v>
      </c>
      <c r="H860" s="6" t="n">
        <v>26.66048211002133</v>
      </c>
      <c r="I860" s="6" t="n">
        <v>84.28319462127925</v>
      </c>
    </row>
    <row r="861">
      <c r="A861" s="6" t="inlineStr">
        <is>
          <t>1 wt% Re | 250 C</t>
        </is>
      </c>
      <c r="B861" s="8" t="n">
        <v>0.06900000000000001</v>
      </c>
      <c r="C861" s="6" t="n">
        <v>1148.776662059161</v>
      </c>
      <c r="D861" s="6" t="n">
        <v>88265.24441023717</v>
      </c>
      <c r="E861" s="8" t="n">
        <v>0.03091696292687622</v>
      </c>
      <c r="F861" s="8" t="n">
        <v>0.006014775383433855</v>
      </c>
      <c r="G861" s="6" t="n">
        <v>796.5689544783635</v>
      </c>
      <c r="H861" s="6" t="n">
        <v>26.74105069211353</v>
      </c>
      <c r="I861" s="6" t="n">
        <v>84.53878375555526</v>
      </c>
    </row>
    <row r="862">
      <c r="A862" s="6" t="inlineStr">
        <is>
          <t>1 wt% Re | 250 C</t>
        </is>
      </c>
      <c r="B862" s="8" t="n">
        <v>0.07000000000000001</v>
      </c>
      <c r="C862" s="6" t="n">
        <v>1152.567062008751</v>
      </c>
      <c r="D862" s="6" t="n">
        <v>88126.09087744323</v>
      </c>
      <c r="E862" s="8" t="n">
        <v>0.03051498960236026</v>
      </c>
      <c r="F862" s="8" t="n">
        <v>0.005924938392115859</v>
      </c>
      <c r="G862" s="6" t="n">
        <v>799.4661450264657</v>
      </c>
      <c r="H862" s="6" t="n">
        <v>26.82163059869428</v>
      </c>
      <c r="I862" s="6" t="n">
        <v>84.79343068593104</v>
      </c>
    </row>
    <row r="863">
      <c r="A863" s="6" t="inlineStr">
        <is>
          <t>1 wt% Re | 250 C</t>
        </is>
      </c>
      <c r="B863" s="8" t="n">
        <v>0.07099999999999999</v>
      </c>
      <c r="C863" s="6" t="n">
        <v>1156.35656983052</v>
      </c>
      <c r="D863" s="6" t="n">
        <v>87988.2805707818</v>
      </c>
      <c r="E863" s="8" t="n">
        <v>0.03012401982427878</v>
      </c>
      <c r="F863" s="8" t="n">
        <v>0.005837560582652011</v>
      </c>
      <c r="G863" s="6" t="n">
        <v>802.3633355745675</v>
      </c>
      <c r="H863" s="6" t="n">
        <v>26.90222135126407</v>
      </c>
      <c r="I863" s="6" t="n">
        <v>85.04715081216104</v>
      </c>
    </row>
    <row r="864">
      <c r="A864" s="6" t="inlineStr">
        <is>
          <t>1 wt% Re | 250 C</t>
        </is>
      </c>
      <c r="B864" s="8" t="n">
        <v>0.07199999999999999</v>
      </c>
      <c r="C864" s="6" t="n">
        <v>1160.14519961864</v>
      </c>
      <c r="D864" s="6" t="n">
        <v>87851.75752249733</v>
      </c>
      <c r="E864" s="8" t="n">
        <v>0.02974360787937904</v>
      </c>
      <c r="F864" s="8" t="n">
        <v>0.005752542342617372</v>
      </c>
      <c r="G864" s="6" t="n">
        <v>805.2605261226694</v>
      </c>
      <c r="H864" s="6" t="n">
        <v>26.98282249790668</v>
      </c>
      <c r="I864" s="6" t="n">
        <v>85.29995909578555</v>
      </c>
    </row>
    <row r="865">
      <c r="A865" s="6" t="inlineStr">
        <is>
          <t>1 wt% Re | 250 C</t>
        </is>
      </c>
      <c r="B865" s="8" t="n">
        <v>0.073</v>
      </c>
      <c r="C865" s="6" t="n">
        <v>1163.932965083781</v>
      </c>
      <c r="D865" s="6" t="n">
        <v>87716.46883156059</v>
      </c>
      <c r="E865" s="8" t="n">
        <v>0.02937333180598777</v>
      </c>
      <c r="F865" s="8" t="n">
        <v>0.005669789367825901</v>
      </c>
      <c r="G865" s="6" t="n">
        <v>808.1577166707708</v>
      </c>
      <c r="H865" s="6" t="n">
        <v>27.06343361146844</v>
      </c>
      <c r="I865" s="6" t="n">
        <v>85.55187007705071</v>
      </c>
    </row>
    <row r="866">
      <c r="A866" s="6" t="inlineStr">
        <is>
          <t>1 wt% Re | 250 C</t>
        </is>
      </c>
      <c r="B866" s="8" t="n">
        <v>0.074</v>
      </c>
      <c r="C866" s="6" t="n">
        <v>1167.719879567007</v>
      </c>
      <c r="D866" s="6" t="n">
        <v>87582.36445645754</v>
      </c>
      <c r="E866" s="8" t="n">
        <v>0.02901279183269125</v>
      </c>
      <c r="F866" s="8" t="n">
        <v>0.005589212313391175</v>
      </c>
      <c r="G866" s="6" t="n">
        <v>811.0549072188729</v>
      </c>
      <c r="H866" s="6" t="n">
        <v>27.14405428788506</v>
      </c>
      <c r="I866" s="6" t="n">
        <v>85.80289789104468</v>
      </c>
    </row>
    <row r="867">
      <c r="A867" s="6" t="inlineStr">
        <is>
          <t>1 wt% Re | 250 C</t>
        </is>
      </c>
      <c r="B867" s="8" t="n">
        <v>0.075</v>
      </c>
      <c r="C867" s="6" t="n">
        <v>1171.505956053069</v>
      </c>
      <c r="D867" s="6" t="n">
        <v>87449.39702455478</v>
      </c>
      <c r="E867" s="8" t="n">
        <v>0.02866160893857803</v>
      </c>
      <c r="F867" s="8" t="n">
        <v>0.005510726471955134</v>
      </c>
      <c r="G867" s="6" t="n">
        <v>813.9520977669746</v>
      </c>
      <c r="H867" s="6" t="n">
        <v>27.22468414464232</v>
      </c>
      <c r="I867" s="6" t="n">
        <v>86.05305628308953</v>
      </c>
    </row>
    <row r="868">
      <c r="A868" s="6" t="inlineStr">
        <is>
          <t>1 wt% Re | 250 C</t>
        </is>
      </c>
      <c r="B868" s="8" t="n">
        <v>0.076</v>
      </c>
      <c r="C868" s="6" t="n">
        <v>1175.291207183167</v>
      </c>
      <c r="D868" s="6" t="n">
        <v>87317.52165651548</v>
      </c>
      <c r="E868" s="8" t="n">
        <v>0.02831942352414366</v>
      </c>
      <c r="F868" s="8" t="n">
        <v>0.005434251476648657</v>
      </c>
      <c r="G868" s="6" t="n">
        <v>816.8492883150763</v>
      </c>
      <c r="H868" s="6" t="n">
        <v>27.30532281935839</v>
      </c>
      <c r="I868" s="6" t="n">
        <v>86.30235862342552</v>
      </c>
    </row>
    <row r="869">
      <c r="A869" s="6" t="inlineStr">
        <is>
          <t>1 wt% Re | 250 C</t>
        </is>
      </c>
      <c r="B869" s="8" t="n">
        <v>0.077</v>
      </c>
      <c r="C869" s="6" t="n">
        <v>1179.075645267164</v>
      </c>
      <c r="D869" s="6" t="n">
        <v>87186.69580439696</v>
      </c>
      <c r="E869" s="8" t="n">
        <v>0.02798589418305933</v>
      </c>
      <c r="F869" s="8" t="n">
        <v>0.005359711026594242</v>
      </c>
      <c r="G869" s="6" t="n">
        <v>819.7464788631783</v>
      </c>
      <c r="H869" s="6" t="n">
        <v>27.38596996847643</v>
      </c>
      <c r="I869" s="6" t="n">
        <v>86.55081792122459</v>
      </c>
    </row>
    <row r="870">
      <c r="A870" s="6" t="inlineStr">
        <is>
          <t>1 wt% Re | 250 C</t>
        </is>
      </c>
      <c r="B870" s="8" t="n">
        <v>0.078</v>
      </c>
      <c r="C870" s="6" t="n">
        <v>1182.859282295288</v>
      </c>
      <c r="D870" s="6" t="n">
        <v>87056.87910220216</v>
      </c>
      <c r="E870" s="8" t="n">
        <v>0.02766069656598625</v>
      </c>
      <c r="F870" s="8" t="n">
        <v>0.005287032632979923</v>
      </c>
      <c r="G870" s="6" t="n">
        <v>822.6436694112801</v>
      </c>
      <c r="H870" s="6" t="n">
        <v>27.46662526605787</v>
      </c>
      <c r="I870" s="6" t="n">
        <v>86.79844683796587</v>
      </c>
    </row>
    <row r="871">
      <c r="A871" s="6" t="inlineStr">
        <is>
          <t>1 wt% Re | 250 C</t>
        </is>
      </c>
      <c r="B871" s="8" t="n">
        <v>0.079</v>
      </c>
      <c r="C871" s="6" t="n">
        <v>1186.642129949365</v>
      </c>
      <c r="D871" s="6" t="n">
        <v>86928.03322778219</v>
      </c>
      <c r="E871" s="8" t="n">
        <v>0.02734352232848673</v>
      </c>
      <c r="F871" s="8" t="n">
        <v>0.005216147383928016</v>
      </c>
      <c r="G871" s="6" t="n">
        <v>825.5408599593819</v>
      </c>
      <c r="H871" s="6" t="n">
        <v>27.54728840266742</v>
      </c>
      <c r="I871" s="6" t="n">
        <v>87.04525770020679</v>
      </c>
    </row>
    <row r="872">
      <c r="A872" s="6" t="inlineStr">
        <is>
          <t>1 wt% Re | 250 C</t>
        </is>
      </c>
      <c r="B872" s="8" t="n">
        <v>0.08</v>
      </c>
      <c r="C872" s="6" t="n">
        <v>1190.424199613561</v>
      </c>
      <c r="D872" s="6" t="n">
        <v>86800.12177509541</v>
      </c>
      <c r="E872" s="8" t="n">
        <v>0.02703407815585898</v>
      </c>
      <c r="F872" s="8" t="n">
        <v>0.005146989726555505</v>
      </c>
      <c r="G872" s="6" t="n">
        <v>828.4380505074838</v>
      </c>
      <c r="H872" s="6" t="n">
        <v>27.62795908434152</v>
      </c>
      <c r="I872" s="6" t="n">
        <v>87.29126251177928</v>
      </c>
    </row>
    <row r="873">
      <c r="A873" s="6" t="inlineStr">
        <is>
          <t>1 wt% Re | 250 C</t>
        </is>
      </c>
      <c r="B873" s="8" t="n">
        <v>0.081</v>
      </c>
      <c r="C873" s="6" t="n">
        <v>1194.205502384693</v>
      </c>
      <c r="D873" s="6" t="n">
        <v>86673.11013592953</v>
      </c>
      <c r="E873" s="8" t="n">
        <v>0.02673208485841259</v>
      </c>
      <c r="F873" s="8" t="n">
        <v>0.005079497264777218</v>
      </c>
      <c r="G873" s="6" t="n">
        <v>831.3352410555855</v>
      </c>
      <c r="H873" s="6" t="n">
        <v>27.70863703163332</v>
      </c>
      <c r="I873" s="6" t="n">
        <v>87.53647296544112</v>
      </c>
    </row>
    <row r="874">
      <c r="A874" s="6" t="inlineStr">
        <is>
          <t>1 wt% Re | 250 C</t>
        </is>
      </c>
      <c r="B874" s="8" t="n">
        <v>0.082</v>
      </c>
      <c r="C874" s="6" t="n">
        <v>1197.986049082106</v>
      </c>
      <c r="D874" s="6" t="n">
        <v>86546.96539027765</v>
      </c>
      <c r="E874" s="8" t="n">
        <v>0.02643727653131919</v>
      </c>
      <c r="F874" s="8" t="n">
        <v>0.005013610571540909</v>
      </c>
      <c r="G874" s="6" t="n">
        <v>834.2324316036872</v>
      </c>
      <c r="H874" s="6" t="n">
        <v>27.78932197872757</v>
      </c>
      <c r="I874" s="6" t="n">
        <v>87.78090045400978</v>
      </c>
    </row>
    <row r="875">
      <c r="A875" s="6" t="inlineStr">
        <is>
          <t>1 wt% Re | 250 C</t>
        </is>
      </c>
      <c r="B875" s="8" t="n">
        <v>0.083</v>
      </c>
      <c r="C875" s="6" t="n">
        <v>1201.765850257141</v>
      </c>
      <c r="D875" s="6" t="n">
        <v>86421.65620463929</v>
      </c>
      <c r="E875" s="8" t="n">
        <v>0.02614939977372422</v>
      </c>
      <c r="F875" s="8" t="n">
        <v>0.004949273014306598</v>
      </c>
      <c r="G875" s="6" t="n">
        <v>837.129622151789</v>
      </c>
      <c r="H875" s="6" t="n">
        <v>27.87001367261932</v>
      </c>
      <c r="I875" s="6" t="n">
        <v>88.02455608100448</v>
      </c>
    </row>
    <row r="876">
      <c r="A876" s="6" t="inlineStr">
        <is>
          <t>1 wt% Re | 250 C</t>
        </is>
      </c>
      <c r="B876" s="8" t="n">
        <v>0.08400000000000001</v>
      </c>
      <c r="C876" s="6" t="n">
        <v>1205.544916202221</v>
      </c>
      <c r="D876" s="6" t="n">
        <v>86297.15273758536</v>
      </c>
      <c r="E876" s="8" t="n">
        <v>0.02586821296229967</v>
      </c>
      <c r="F876" s="8" t="n">
        <v>0.004886430592692922</v>
      </c>
      <c r="G876" s="6" t="n">
        <v>840.0268126998911</v>
      </c>
      <c r="H876" s="6" t="n">
        <v>27.95071187235155</v>
      </c>
      <c r="I876" s="6" t="n">
        <v>88.267450670822</v>
      </c>
    </row>
    <row r="877">
      <c r="A877" s="6" t="inlineStr">
        <is>
          <t>1 wt% Re | 250 C</t>
        </is>
      </c>
      <c r="B877" s="8" t="n">
        <v>0.08500000000000001</v>
      </c>
      <c r="C877" s="6" t="n">
        <v>1209.32325695955</v>
      </c>
      <c r="D877" s="6" t="n">
        <v>86173.42655198943</v>
      </c>
      <c r="E877" s="8" t="n">
        <v>0.02559348557486063</v>
      </c>
      <c r="F877" s="8" t="n">
        <v>0.004825031787312249</v>
      </c>
      <c r="G877" s="6" t="n">
        <v>842.9240032479928</v>
      </c>
      <c r="H877" s="6" t="n">
        <v>28.03141634830635</v>
      </c>
      <c r="I877" s="6" t="n">
        <v>88.50959477846924</v>
      </c>
    </row>
    <row r="878">
      <c r="A878" s="6" t="inlineStr">
        <is>
          <t>1 wt% Re | 250 C</t>
        </is>
      </c>
      <c r="B878" s="8" t="n">
        <v>0.08599999999999999</v>
      </c>
      <c r="C878" s="6" t="n">
        <v>1213.100882329473</v>
      </c>
      <c r="D878" s="6" t="n">
        <v>86050.45053338194</v>
      </c>
      <c r="E878" s="8" t="n">
        <v>0.02532499756006625</v>
      </c>
      <c r="F878" s="8" t="n">
        <v>0.004765027418905184</v>
      </c>
      <c r="G878" s="6" t="n">
        <v>845.8211937960945</v>
      </c>
      <c r="H878" s="6" t="n">
        <v>28.11212688154572</v>
      </c>
      <c r="I878" s="6" t="n">
        <v>88.75099869887467</v>
      </c>
    </row>
    <row r="879">
      <c r="A879" s="6" t="inlineStr">
        <is>
          <t>1 wt% Re | 250 C</t>
        </is>
      </c>
      <c r="B879" s="8" t="n">
        <v>0.08699999999999999</v>
      </c>
      <c r="C879" s="6" t="n">
        <v>1216.877801878481</v>
      </c>
      <c r="D879" s="6" t="n">
        <v>85928.19881393574</v>
      </c>
      <c r="E879" s="8" t="n">
        <v>0.0250625387495829</v>
      </c>
      <c r="F879" s="8" t="n">
        <v>0.004706370516964945</v>
      </c>
      <c r="G879" s="6" t="n">
        <v>848.7183843441966</v>
      </c>
      <c r="H879" s="6" t="n">
        <v>28.19284326319779</v>
      </c>
      <c r="I879" s="6" t="n">
        <v>88.99167247580019</v>
      </c>
    </row>
    <row r="880">
      <c r="A880" s="6" t="inlineStr">
        <is>
          <t>1 wt% Re | 250 C</t>
        </is>
      </c>
      <c r="B880" s="8" t="n">
        <v>0.08799999999999999</v>
      </c>
      <c r="C880" s="6" t="n">
        <v>1220.654024946906</v>
      </c>
      <c r="D880" s="6" t="n">
        <v>85806.64670163403</v>
      </c>
      <c r="E880" s="8" t="n">
        <v>0.02480590830940923</v>
      </c>
      <c r="F880" s="8" t="n">
        <v>0.004649016197114053</v>
      </c>
      <c r="G880" s="6" t="n">
        <v>851.6155748922981</v>
      </c>
      <c r="H880" s="6" t="n">
        <v>28.27356529388483</v>
      </c>
      <c r="I880" s="6" t="n">
        <v>89.23162591037263</v>
      </c>
    </row>
    <row r="881">
      <c r="A881" s="6" t="inlineStr">
        <is>
          <t>1 wt% Re | 250 C</t>
        </is>
      </c>
      <c r="B881" s="8" t="n">
        <v>0.089</v>
      </c>
      <c r="C881" s="6" t="n">
        <v>1224.429560656292</v>
      </c>
      <c r="D881" s="6" t="n">
        <v>85685.77061421338</v>
      </c>
      <c r="E881" s="8" t="n">
        <v>0.02455491422735285</v>
      </c>
      <c r="F881" s="8" t="n">
        <v>0.004592921546560512</v>
      </c>
      <c r="G881" s="6" t="n">
        <v>854.5127654404</v>
      </c>
      <c r="H881" s="6" t="n">
        <v>28.35429278318997</v>
      </c>
      <c r="I881" s="6" t="n">
        <v>89.47086856925419</v>
      </c>
    </row>
    <row r="882">
      <c r="A882" s="6" t="inlineStr">
        <is>
          <t>1 wt% Re | 250 C</t>
        </is>
      </c>
      <c r="B882" s="8" t="n">
        <v>0.09</v>
      </c>
      <c r="C882" s="6" t="n">
        <v>1228.204417916483</v>
      </c>
      <c r="D882" s="6" t="n">
        <v>85565.54801751122</v>
      </c>
      <c r="E882" s="8" t="n">
        <v>0.02430937283390962</v>
      </c>
      <c r="F882" s="8" t="n">
        <v>0.004538045517019173</v>
      </c>
      <c r="G882" s="6" t="n">
        <v>857.409955988502</v>
      </c>
      <c r="H882" s="6" t="n">
        <v>28.43502554915923</v>
      </c>
      <c r="I882" s="6" t="n">
        <v>89.7094097924695</v>
      </c>
    </row>
    <row r="883">
      <c r="A883" s="6" t="inlineStr">
        <is>
          <t>1 wt% Re | 250 C</t>
        </is>
      </c>
      <c r="B883" s="8" t="n">
        <v>0.091</v>
      </c>
      <c r="C883" s="6" t="n">
        <v>1231.978605432424</v>
      </c>
      <c r="D883" s="6" t="n">
        <v>85445.95736787742</v>
      </c>
      <c r="E883" s="8" t="n">
        <v>0.02406910835403333</v>
      </c>
      <c r="F883" s="8" t="n">
        <v>0.004484348824536753</v>
      </c>
      <c r="G883" s="6" t="n">
        <v>860.3071465366039</v>
      </c>
      <c r="H883" s="6" t="n">
        <v>28.51576341783668</v>
      </c>
      <c r="I883" s="6" t="n">
        <v>89.94725870090593</v>
      </c>
    </row>
    <row r="884">
      <c r="A884" s="6" t="inlineStr">
        <is>
          <t>1 wt% Re | 250 C</t>
        </is>
      </c>
      <c r="B884" s="8" t="n">
        <v>0.092</v>
      </c>
      <c r="C884" s="6" t="n">
        <v>1235.752131710685</v>
      </c>
      <c r="D884" s="6" t="n">
        <v>85326.97805834237</v>
      </c>
      <c r="E884" s="8" t="n">
        <v>0.02383395248749674</v>
      </c>
      <c r="F884" s="8" t="n">
        <v>0.004431793855706765</v>
      </c>
      <c r="G884" s="6" t="n">
        <v>863.2043370847056</v>
      </c>
      <c r="H884" s="6" t="n">
        <v>28.59650622282965</v>
      </c>
      <c r="I884" s="6" t="n">
        <v>90.18442420350328</v>
      </c>
    </row>
    <row r="885">
      <c r="A885" s="6" t="inlineStr">
        <is>
          <t>1 wt% Re | 250 C</t>
        </is>
      </c>
      <c r="B885" s="8" t="n">
        <v>0.093</v>
      </c>
      <c r="C885" s="6" t="n">
        <v>1239.525005065747</v>
      </c>
      <c r="D885" s="6" t="n">
        <v>85208.59036825773</v>
      </c>
      <c r="E885" s="8" t="n">
        <v>0.02360374401573874</v>
      </c>
      <c r="F885" s="8" t="n">
        <v>0.004380344579803801</v>
      </c>
      <c r="G885" s="6" t="n">
        <v>866.1015276328075</v>
      </c>
      <c r="H885" s="6" t="n">
        <v>28.67725380490214</v>
      </c>
      <c r="I885" s="6" t="n">
        <v>90.42091500414809</v>
      </c>
    </row>
    <row r="886">
      <c r="A886" s="6" t="inlineStr">
        <is>
          <t>1 wt% Re | 250 C</t>
        </is>
      </c>
      <c r="B886" s="8" t="n">
        <v>0.094</v>
      </c>
      <c r="C886" s="6" t="n">
        <v>1243.297233626018</v>
      </c>
      <c r="D886" s="6" t="n">
        <v>85090.77541615169</v>
      </c>
      <c r="E886" s="8" t="n">
        <v>0.0233783284332675</v>
      </c>
      <c r="F886" s="8" t="n">
        <v>0.004329966466405867</v>
      </c>
      <c r="G886" s="6" t="n">
        <v>868.9987181809091</v>
      </c>
      <c r="H886" s="6" t="n">
        <v>28.7580060115942</v>
      </c>
      <c r="I886" s="6" t="n">
        <v>90.65673960828613</v>
      </c>
    </row>
    <row r="887">
      <c r="A887" s="6" t="inlineStr">
        <is>
          <t>1 wt% Re | 250 C</t>
        </is>
      </c>
      <c r="B887" s="8" t="n">
        <v>0.095</v>
      </c>
      <c r="C887" s="6" t="n">
        <v>1247.068825339635</v>
      </c>
      <c r="D887" s="6" t="n">
        <v>84973.51511556172</v>
      </c>
      <c r="E887" s="8" t="n">
        <v>0.02315755760184887</v>
      </c>
      <c r="F887" s="8" t="n">
        <v>0.004280626408108951</v>
      </c>
      <c r="G887" s="6" t="n">
        <v>871.8959087290111</v>
      </c>
      <c r="H887" s="6" t="n">
        <v>28.8387626968652</v>
      </c>
      <c r="I887" s="6" t="n">
        <v>90.89190632926757</v>
      </c>
    </row>
    <row r="888">
      <c r="A888" s="6" t="inlineStr">
        <is>
          <t>1 wt% Re | 250 C</t>
        </is>
      </c>
      <c r="B888" s="8" t="n">
        <v>0.096</v>
      </c>
      <c r="C888" s="6" t="n">
        <v>1250.839787980031</v>
      </c>
      <c r="D888" s="6" t="n">
        <v>84856.792133628</v>
      </c>
      <c r="E888" s="8" t="n">
        <v>0.0229412894258533</v>
      </c>
      <c r="F888" s="8" t="n">
        <v>0.004232292647970345</v>
      </c>
      <c r="G888" s="6" t="n">
        <v>874.7930992771131</v>
      </c>
      <c r="H888" s="6" t="n">
        <v>28.91952372075953</v>
      </c>
      <c r="I888" s="6" t="n">
        <v>91.12642329443665</v>
      </c>
    </row>
    <row r="889">
      <c r="A889" s="6" t="inlineStr">
        <is>
          <t>1 wt% Re | 250 C</t>
        </is>
      </c>
      <c r="B889" s="8" t="n">
        <v>0.097</v>
      </c>
      <c r="C889" s="6" t="n">
        <v>1254.61012915129</v>
      </c>
      <c r="D889" s="6" t="n">
        <v>84740.58985224775</v>
      </c>
      <c r="E889" s="8" t="n">
        <v>0.0227293875472664</v>
      </c>
      <c r="F889" s="8" t="n">
        <v>0.004184934711346561</v>
      </c>
      <c r="G889" s="6" t="n">
        <v>877.6902898252148</v>
      </c>
      <c r="H889" s="6" t="n">
        <v>29.00028894909299</v>
      </c>
      <c r="I889" s="6" t="n">
        <v>91.36029845097862</v>
      </c>
    </row>
    <row r="890">
      <c r="A890" s="6" t="inlineStr">
        <is>
          <t>1 wt% Re | 250 C</t>
        </is>
      </c>
      <c r="B890" s="8" t="n">
        <v>0.098</v>
      </c>
      <c r="C890" s="6" t="n">
        <v>1258.379856293298</v>
      </c>
      <c r="D890" s="6" t="n">
        <v>84624.89233160803</v>
      </c>
      <c r="E890" s="8" t="n">
        <v>0.02252172105898733</v>
      </c>
      <c r="F890" s="8" t="n">
        <v>0.004138523341818419</v>
      </c>
      <c r="G890" s="6" t="n">
        <v>880.5874803733165</v>
      </c>
      <c r="H890" s="6" t="n">
        <v>29.08105825315823</v>
      </c>
      <c r="I890" s="6" t="n">
        <v>91.5935395715349</v>
      </c>
    </row>
    <row r="891">
      <c r="A891" s="6" t="inlineStr">
        <is>
          <t>1 wt% Re | 250 C</t>
        </is>
      </c>
      <c r="B891" s="8" t="n">
        <v>0.099</v>
      </c>
      <c r="C891" s="6" t="n">
        <v>1262.148976686702</v>
      </c>
      <c r="D891" s="6" t="n">
        <v>84509.68427592897</v>
      </c>
      <c r="E891" s="8" t="n">
        <v>0.02231816423514848</v>
      </c>
      <c r="F891" s="8" t="n">
        <v>0.004093030440920205</v>
      </c>
      <c r="G891" s="6" t="n">
        <v>883.4846709214186</v>
      </c>
      <c r="H891" s="6" t="n">
        <v>29.16183150944824</v>
      </c>
      <c r="I891" s="6" t="n">
        <v>91.82615425959786</v>
      </c>
    </row>
    <row r="892">
      <c r="A892" s="6" t="inlineStr">
        <is>
          <t>1 wt% Re | 250 C</t>
        </is>
      </c>
      <c r="B892" s="8" t="n">
        <v>0.1</v>
      </c>
      <c r="C892" s="6" t="n">
        <v>1265.917497457672</v>
      </c>
      <c r="D892" s="6" t="n">
        <v>84394.95100126159</v>
      </c>
      <c r="E892" s="8" t="n">
        <v>0.02211859627728904</v>
      </c>
      <c r="F892" s="8" t="n">
        <v>0.004048429011412024</v>
      </c>
      <c r="G892" s="6" t="n">
        <v>886.3818614695202</v>
      </c>
      <c r="H892" s="6" t="n">
        <v>29.24260859939628</v>
      </c>
      <c r="I892" s="6" t="n">
        <v>92.0581499546947</v>
      </c>
    </row>
    <row r="893">
      <c r="A893" s="6" t="inlineStr">
        <is>
          <t>1 wt% Re | 250 C</t>
        </is>
      </c>
      <c r="B893" s="8" t="n">
        <v>0.101</v>
      </c>
      <c r="C893" s="6" t="n">
        <v>1269.685425582498</v>
      </c>
      <c r="D893" s="6" t="n">
        <v>84280.67840519974</v>
      </c>
      <c r="E893" s="8" t="n">
        <v>0.02192290107530553</v>
      </c>
      <c r="F893" s="8" t="n">
        <v>0.004004693103854635</v>
      </c>
      <c r="G893" s="6" t="n">
        <v>889.2790520176219</v>
      </c>
      <c r="H893" s="6" t="n">
        <v>29.32338940913133</v>
      </c>
      <c r="I893" s="6" t="n">
        <v>92.28953393737102</v>
      </c>
    </row>
    <row r="894">
      <c r="A894" s="6" t="inlineStr">
        <is>
          <t>1 wt% Re | 250 C</t>
        </is>
      </c>
      <c r="B894" s="8" t="n">
        <v>0.102</v>
      </c>
      <c r="C894" s="6" t="n">
        <v>1273.452767892005</v>
      </c>
      <c r="D894" s="6" t="n">
        <v>84166.85293837258</v>
      </c>
      <c r="E894" s="8" t="n">
        <v>0.02173096698218538</v>
      </c>
      <c r="F894" s="8" t="n">
        <v>0.003961797766264695</v>
      </c>
      <c r="G894" s="6" t="n">
        <v>892.1762425657239</v>
      </c>
      <c r="H894" s="6" t="n">
        <v>29.40417382924787</v>
      </c>
      <c r="I894" s="6" t="n">
        <v>92.52031333398276</v>
      </c>
    </row>
    <row r="895">
      <c r="A895" s="6" t="inlineStr">
        <is>
          <t>1 wt% Re | 250 C</t>
        </is>
      </c>
      <c r="B895" s="8" t="n">
        <v>0.103</v>
      </c>
      <c r="C895" s="6" t="n">
        <v>1277.21953107581</v>
      </c>
      <c r="D895" s="6" t="n">
        <v>84053.46157759856</v>
      </c>
      <c r="E895" s="8" t="n">
        <v>0.02154268660160523</v>
      </c>
      <c r="F895" s="8" t="n">
        <v>0.003919718996645104</v>
      </c>
      <c r="G895" s="6" t="n">
        <v>895.0734331138259</v>
      </c>
      <c r="H895" s="6" t="n">
        <v>29.48496175458916</v>
      </c>
      <c r="I895" s="6" t="n">
        <v>92.75049512130521</v>
      </c>
    </row>
    <row r="896">
      <c r="A896" s="6" t="inlineStr">
        <is>
          <t>1 wt% Re | 250 C</t>
        </is>
      </c>
      <c r="B896" s="8" t="n">
        <v>0.104</v>
      </c>
      <c r="C896" s="6" t="n">
        <v>1280.985721686419</v>
      </c>
      <c r="D896" s="6" t="n">
        <v>83940.49180058765</v>
      </c>
      <c r="E896" s="8" t="n">
        <v>0.02135795658754489</v>
      </c>
      <c r="F896" s="8" t="n">
        <v>0.003878433698200746</v>
      </c>
      <c r="G896" s="6" t="n">
        <v>897.9706236619276</v>
      </c>
      <c r="H896" s="6" t="n">
        <v>29.56575308404296</v>
      </c>
      <c r="I896" s="6" t="n">
        <v>92.98008613096781</v>
      </c>
    </row>
    <row r="897">
      <c r="A897" s="6" t="inlineStr">
        <is>
          <t>1 wt% Re | 250 C</t>
        </is>
      </c>
      <c r="B897" s="8" t="n">
        <v>0.105</v>
      </c>
      <c r="C897" s="6" t="n">
        <v>1284.751346143184</v>
      </c>
      <c r="D897" s="6" t="n">
        <v>83827.93156208954</v>
      </c>
      <c r="E897" s="8" t="n">
        <v>0.02117667745513132</v>
      </c>
      <c r="F897" s="8" t="n">
        <v>0.003837919637064023</v>
      </c>
      <c r="G897" s="6" t="n">
        <v>900.8678142100295</v>
      </c>
      <c r="H897" s="6" t="n">
        <v>29.64654772034891</v>
      </c>
      <c r="I897" s="6" t="n">
        <v>93.20909305372216</v>
      </c>
    </row>
    <row r="898">
      <c r="A898" s="6" t="inlineStr">
        <is>
          <t>1 wt% Re | 250 C</t>
        </is>
      </c>
      <c r="B898" s="8" t="n">
        <v>0.106</v>
      </c>
      <c r="C898" s="6" t="n">
        <v>1288.516410736102</v>
      </c>
      <c r="D898" s="6" t="n">
        <v>83715.76927139153</v>
      </c>
      <c r="E898" s="8" t="n">
        <v>0.02099875340198525</v>
      </c>
      <c r="F898" s="8" t="n">
        <v>0.003798155402367618</v>
      </c>
      <c r="G898" s="6" t="n">
        <v>903.7650047581311</v>
      </c>
      <c r="H898" s="6" t="n">
        <v>29.72734556991684</v>
      </c>
      <c r="I898" s="6" t="n">
        <v>93.43752244355096</v>
      </c>
    </row>
    <row r="899">
      <c r="A899" s="6" t="inlineStr">
        <is>
          <t>1 wt% Re | 250 C</t>
        </is>
      </c>
      <c r="B899" s="8" t="n">
        <v>0.107</v>
      </c>
      <c r="C899" s="6" t="n">
        <v>1292.280921629486</v>
      </c>
      <c r="D899" s="6" t="n">
        <v>83603.99377107871</v>
      </c>
      <c r="E899" s="8" t="n">
        <v>0.02082409213939618</v>
      </c>
      <c r="F899" s="8" t="n">
        <v>0.003759120368513821</v>
      </c>
      <c r="G899" s="6" t="n">
        <v>906.662195306233</v>
      </c>
      <c r="H899" s="6" t="n">
        <v>29.8081465426553</v>
      </c>
      <c r="I899" s="6" t="n">
        <v>93.66538072162477</v>
      </c>
    </row>
    <row r="900">
      <c r="A900" s="6" t="inlineStr">
        <is>
          <t>1 wt% Re | 250 C</t>
        </is>
      </c>
      <c r="B900" s="8" t="n">
        <v>0.108</v>
      </c>
      <c r="C900" s="6" t="n">
        <v>1296.044884865508</v>
      </c>
      <c r="D900" s="6" t="n">
        <v>83492.5943169737</v>
      </c>
      <c r="E900" s="8" t="n">
        <v>0.02065260473270094</v>
      </c>
      <c r="F900" s="8" t="n">
        <v>0.003720794659500723</v>
      </c>
      <c r="G900" s="6" t="n">
        <v>909.559385854335</v>
      </c>
      <c r="H900" s="6" t="n">
        <v>29.88895055180958</v>
      </c>
      <c r="I900" s="6" t="n">
        <v>93.89267418011362</v>
      </c>
    </row>
    <row r="901">
      <c r="A901" s="6" t="inlineStr">
        <is>
          <t>1 wt% Re | 250 C</t>
        </is>
      </c>
      <c r="B901" s="8" t="n">
        <v>0.109</v>
      </c>
      <c r="C901" s="6" t="n">
        <v>1299.808306367608</v>
      </c>
      <c r="D901" s="6" t="n">
        <v>83381.56055918084</v>
      </c>
      <c r="E901" s="8" t="n">
        <v>0.02048420545028546</v>
      </c>
      <c r="F901" s="8" t="n">
        <v>0.003683159115175652</v>
      </c>
      <c r="G901" s="6" t="n">
        <v>912.4565764024369</v>
      </c>
      <c r="H901" s="6" t="n">
        <v>29.96975751380856</v>
      </c>
      <c r="I901" s="6" t="n">
        <v>94.11940898585928</v>
      </c>
    </row>
    <row r="902">
      <c r="A902" s="6" t="inlineStr">
        <is>
          <t>1 wt% Re | 250 C</t>
        </is>
      </c>
      <c r="B902" s="8" t="n">
        <v>0.11</v>
      </c>
      <c r="C902" s="6" t="n">
        <v>1303.571191943785</v>
      </c>
      <c r="D902" s="6" t="n">
        <v>83270.88252416439</v>
      </c>
      <c r="E902" s="8" t="n">
        <v>0.02031881162067125</v>
      </c>
      <c r="F902" s="8" t="n">
        <v>0.00364619525929543</v>
      </c>
      <c r="G902" s="6" t="n">
        <v>915.3537669505384</v>
      </c>
      <c r="H902" s="6" t="n">
        <v>30.05056734812014</v>
      </c>
      <c r="I902" s="6" t="n">
        <v>94.34559118391488</v>
      </c>
    </row>
    <row r="903">
      <c r="A903" s="6" t="inlineStr">
        <is>
          <t>1 wt% Re | 250 C</t>
        </is>
      </c>
      <c r="B903" s="8" t="n">
        <v>0.111</v>
      </c>
      <c r="C903" s="6" t="n">
        <v>1307.333547289778</v>
      </c>
      <c r="D903" s="6" t="n">
        <v>83160.55059779526</v>
      </c>
      <c r="E903" s="8" t="n">
        <v>0.02015634349718607</v>
      </c>
      <c r="F903" s="8" t="n">
        <v>0.003609885269281628</v>
      </c>
      <c r="G903" s="6" t="n">
        <v>918.2509574986406</v>
      </c>
      <c r="H903" s="6" t="n">
        <v>30.13137997711421</v>
      </c>
      <c r="I903" s="6" t="n">
        <v>94.57122670095733</v>
      </c>
    </row>
    <row r="904">
      <c r="A904" s="6" t="inlineStr">
        <is>
          <t>1 wt% Re | 250 C</t>
        </is>
      </c>
      <c r="B904" s="8" t="n">
        <v>0.112</v>
      </c>
      <c r="C904" s="6" t="n">
        <v>1311.095377992132</v>
      </c>
      <c r="D904" s="6" t="n">
        <v>83050.5555093061</v>
      </c>
      <c r="E904" s="8" t="n">
        <v>0.01999672412975323</v>
      </c>
      <c r="F904" s="8" t="n">
        <v>0.003574211947566771</v>
      </c>
      <c r="G904" s="6" t="n">
        <v>921.1481480467422</v>
      </c>
      <c r="H904" s="6" t="n">
        <v>30.21219532593327</v>
      </c>
      <c r="I904" s="6" t="n">
        <v>94.79632134857792</v>
      </c>
    </row>
    <row r="905">
      <c r="A905" s="6" t="inlineStr">
        <is>
          <t>1 wt% Re | 250 C</t>
        </is>
      </c>
      <c r="B905" s="8" t="n">
        <v>0.113</v>
      </c>
      <c r="C905" s="6" t="n">
        <v>1314.856689531154</v>
      </c>
      <c r="D905" s="6" t="n">
        <v>82940.8883160983</v>
      </c>
      <c r="E905" s="8" t="n">
        <v>0.0198398792433665</v>
      </c>
      <c r="F905" s="8" t="n">
        <v>0.003539158694434704</v>
      </c>
      <c r="G905" s="6" t="n">
        <v>924.045338594844</v>
      </c>
      <c r="H905" s="6" t="n">
        <v>30.29301332236952</v>
      </c>
      <c r="I905" s="6" t="n">
        <v>95.02088082645636</v>
      </c>
    </row>
    <row r="906">
      <c r="A906" s="6" t="inlineStr">
        <is>
          <t>1 wt% Re | 250 C</t>
        </is>
      </c>
      <c r="B906" s="8" t="n">
        <v>0.114</v>
      </c>
      <c r="C906" s="6" t="n">
        <v>1318.617487283773</v>
      </c>
      <c r="D906" s="6" t="n">
        <v>82831.54038934868</v>
      </c>
      <c r="E906" s="8" t="n">
        <v>0.01968573712284749</v>
      </c>
      <c r="F906" s="8" t="n">
        <v>0.00350470948226502</v>
      </c>
      <c r="G906" s="6" t="n">
        <v>926.9425291429457</v>
      </c>
      <c r="H906" s="6" t="n">
        <v>30.37383389674885</v>
      </c>
      <c r="I906" s="6" t="n">
        <v>95.24491072542354</v>
      </c>
    </row>
    <row r="907">
      <c r="A907" s="6" t="inlineStr">
        <is>
          <t>1 wt% Re | 250 C</t>
        </is>
      </c>
      <c r="B907" s="8" t="n">
        <v>0.115</v>
      </c>
      <c r="C907" s="6" t="n">
        <v>1322.377776526308</v>
      </c>
      <c r="D907" s="6" t="n">
        <v>82722.50340036703</v>
      </c>
      <c r="E907" s="8" t="n">
        <v>0.01953422850350968</v>
      </c>
      <c r="F907" s="8" t="n">
        <v>0.003470848831097576</v>
      </c>
      <c r="G907" s="6" t="n">
        <v>929.839719691048</v>
      </c>
      <c r="H907" s="6" t="n">
        <v>30.45465698182057</v>
      </c>
      <c r="I907" s="6" t="n">
        <v>95.46841653041699</v>
      </c>
    </row>
    <row r="908">
      <c r="A908" s="6" t="inlineStr">
        <is>
          <t>1 wt% Re | 250 C</t>
        </is>
      </c>
      <c r="B908" s="8" t="n">
        <v>0.116</v>
      </c>
      <c r="C908" s="6" t="n">
        <v>1326.137562437125</v>
      </c>
      <c r="D908" s="6" t="n">
        <v>82613.76930765939</v>
      </c>
      <c r="E908" s="8" t="n">
        <v>0.01938528646737899</v>
      </c>
      <c r="F908" s="8" t="n">
        <v>0.003437561785438836</v>
      </c>
      <c r="G908" s="6" t="n">
        <v>932.7369102391496</v>
      </c>
      <c r="H908" s="6" t="n">
        <v>30.53548251265297</v>
      </c>
      <c r="I908" s="6" t="n">
        <v>95.69140362333444</v>
      </c>
    </row>
    <row r="909">
      <c r="A909" s="6" t="inlineStr">
        <is>
          <t>1 wt% Re | 250 C</t>
        </is>
      </c>
      <c r="B909" s="8" t="n">
        <v>0.117</v>
      </c>
      <c r="C909" s="6" t="n">
        <v>1329.896850099222</v>
      </c>
      <c r="D909" s="6" t="n">
        <v>82505.33034465458</v>
      </c>
      <c r="E909" s="8" t="n">
        <v>0.01923884634464417</v>
      </c>
      <c r="F909" s="8" t="n">
        <v>0.003404833892237029</v>
      </c>
      <c r="G909" s="6" t="n">
        <v>935.6341007872513</v>
      </c>
      <c r="H909" s="6" t="n">
        <v>30.61631042653424</v>
      </c>
      <c r="I909" s="6" t="n">
        <v>95.91387728578883</v>
      </c>
    </row>
    <row r="910">
      <c r="A910" s="6" t="inlineStr">
        <is>
          <t>1 wt% Re | 250 C</t>
        </is>
      </c>
      <c r="B910" s="8" t="n">
        <v>0.118</v>
      </c>
      <c r="C910" s="6" t="n">
        <v>1333.65564450272</v>
      </c>
      <c r="D910" s="6" t="n">
        <v>82397.17900805507</v>
      </c>
      <c r="E910" s="8" t="n">
        <v>0.01909484562003217</v>
      </c>
      <c r="F910" s="8" t="n">
        <v>0.003372651179957971</v>
      </c>
      <c r="G910" s="6" t="n">
        <v>938.5312913353532</v>
      </c>
      <c r="H910" s="6" t="n">
        <v>30.69714066287839</v>
      </c>
      <c r="I910" s="6" t="n">
        <v>96.13584270176941</v>
      </c>
    </row>
    <row r="911">
      <c r="A911" s="6" t="inlineStr">
        <is>
          <t>1 wt% Re | 250 C</t>
        </is>
      </c>
      <c r="B911" s="8" t="n">
        <v>0.119</v>
      </c>
      <c r="C911" s="6" t="n">
        <v>1337.413950547267</v>
      </c>
      <c r="D911" s="6" t="n">
        <v>82289.30804677506</v>
      </c>
      <c r="E911" s="8" t="n">
        <v>0.01895322384382352</v>
      </c>
      <c r="F911" s="8" t="n">
        <v>0.003341000138697917</v>
      </c>
      <c r="G911" s="6" t="n">
        <v>941.428481883455</v>
      </c>
      <c r="H911" s="6" t="n">
        <v>30.77797316313594</v>
      </c>
      <c r="I911" s="6" t="n">
        <v>96.35730496021273</v>
      </c>
    </row>
    <row r="912">
      <c r="A912" s="6" t="inlineStr">
        <is>
          <t>1 wt% Re | 250 C</t>
        </is>
      </c>
      <c r="B912" s="8" t="n">
        <v>0.12</v>
      </c>
      <c r="C912" s="6" t="n">
        <v>1341.171773044375</v>
      </c>
      <c r="D912" s="6" t="n">
        <v>82181.7104514315</v>
      </c>
      <c r="E912" s="8" t="n">
        <v>0.0188139225472419</v>
      </c>
      <c r="F912" s="8" t="n">
        <v>0.003309867701273971</v>
      </c>
      <c r="G912" s="6" t="n">
        <v>944.3256724315568</v>
      </c>
      <c r="H912" s="6" t="n">
        <v>30.85880787070906</v>
      </c>
      <c r="I912" s="6" t="n">
        <v>96.57826905748689</v>
      </c>
    </row>
    <row r="913">
      <c r="A913" s="6" t="inlineStr">
        <is>
          <t>1 wt% Re | 250 C</t>
        </is>
      </c>
      <c r="B913" s="8" t="n">
        <v>0.121</v>
      </c>
      <c r="C913" s="6" t="n">
        <v>1344.929116719665</v>
      </c>
      <c r="D913" s="6" t="n">
        <v>82074.3794443566</v>
      </c>
      <c r="E913" s="8" t="n">
        <v>0.01867688516196888</v>
      </c>
      <c r="F913" s="8" t="n">
        <v>0.003279241225236442</v>
      </c>
      <c r="G913" s="6" t="n">
        <v>947.2228629796589</v>
      </c>
      <c r="H913" s="6" t="n">
        <v>30.93964473087092</v>
      </c>
      <c r="I913" s="6" t="n">
        <v>96.79873989979285</v>
      </c>
    </row>
    <row r="914">
      <c r="A914" s="6" t="inlineStr">
        <is>
          <t>1 wt% Re | 250 C</t>
        </is>
      </c>
      <c r="B914" s="8" t="n">
        <v>0.122</v>
      </c>
      <c r="C914" s="6" t="n">
        <v>1348.685986215052</v>
      </c>
      <c r="D914" s="6" t="n">
        <v>81967.30847010108</v>
      </c>
      <c r="E914" s="8" t="n">
        <v>0.01854205694355114</v>
      </c>
      <c r="F914" s="8" t="n">
        <v>0.003249108475751136</v>
      </c>
      <c r="G914" s="6" t="n">
        <v>950.1200535277604</v>
      </c>
      <c r="H914" s="6" t="n">
        <v>31.02048369068898</v>
      </c>
      <c r="I914" s="6" t="n">
        <v>97.01872230548609</v>
      </c>
    </row>
    <row r="915">
      <c r="A915" s="6" t="inlineStr">
        <is>
          <t>1 wt% Re | 250 C</t>
        </is>
      </c>
      <c r="B915" s="8" t="n">
        <v>0.123</v>
      </c>
      <c r="C915" s="6" t="n">
        <v>1352.442386090855</v>
      </c>
      <c r="D915" s="6" t="n">
        <v>81860.49118640109</v>
      </c>
      <c r="E915" s="8" t="n">
        <v>0.01840938489848236</v>
      </c>
      <c r="F915" s="8" t="n">
        <v>0.00321945760930288</v>
      </c>
      <c r="G915" s="6" t="n">
        <v>953.0172440758624</v>
      </c>
      <c r="H915" s="6" t="n">
        <v>31.10132469895217</v>
      </c>
      <c r="I915" s="6" t="n">
        <v>97.23822100732161</v>
      </c>
    </row>
    <row r="916">
      <c r="A916" s="6" t="inlineStr">
        <is>
          <t>1 wt% Re | 250 C</t>
        </is>
      </c>
      <c r="B916" s="8" t="n">
        <v>0.124</v>
      </c>
      <c r="C916" s="6" t="n">
        <v>1356.198320827834</v>
      </c>
      <c r="D916" s="6" t="n">
        <v>81753.92145558191</v>
      </c>
      <c r="E916" s="8" t="n">
        <v>0.01827881771475565</v>
      </c>
      <c r="F916" s="8" t="n">
        <v>0.003190277158174694</v>
      </c>
      <c r="G916" s="6" t="n">
        <v>955.9144346239642</v>
      </c>
      <c r="H916" s="6" t="n">
        <v>31.18216770610127</v>
      </c>
      <c r="I916" s="6" t="n">
        <v>97.45724065462569</v>
      </c>
    </row>
    <row r="917">
      <c r="A917" s="6" t="inlineStr">
        <is>
          <t>1 wt% Re | 250 C</t>
        </is>
      </c>
      <c r="B917" s="8" t="n">
        <v>0.125</v>
      </c>
      <c r="C917" s="6" t="n">
        <v>1359.95379482917</v>
      </c>
      <c r="D917" s="6" t="n">
        <v>81647.59333637435</v>
      </c>
      <c r="E917" s="8" t="n">
        <v>0.01815030569569528</v>
      </c>
      <c r="F917" s="8" t="n">
        <v>0.003161556015659861</v>
      </c>
      <c r="G917" s="6" t="n">
        <v>958.8116251720659</v>
      </c>
      <c r="H917" s="6" t="n">
        <v>31.26301266416306</v>
      </c>
      <c r="I917" s="6" t="n">
        <v>97.67578581539684</v>
      </c>
    </row>
    <row r="918">
      <c r="A918" s="6" t="inlineStr">
        <is>
          <t>1 wt% Re | 250 C</t>
        </is>
      </c>
      <c r="B918" s="8" t="n">
        <v>0.126</v>
      </c>
      <c r="C918" s="6" t="n">
        <v>1363.708812422375</v>
      </c>
      <c r="D918" s="6" t="n">
        <v>81541.50107612103</v>
      </c>
      <c r="E918" s="8" t="n">
        <v>0.01802380069688871</v>
      </c>
      <c r="F918" s="8" t="n">
        <v>0.003133283421966848</v>
      </c>
      <c r="G918" s="6" t="n">
        <v>961.7088157201676</v>
      </c>
      <c r="H918" s="6" t="n">
        <v>31.34385952668723</v>
      </c>
      <c r="I918" s="6" t="n">
        <v>97.89386097833908</v>
      </c>
    </row>
    <row r="919">
      <c r="A919" s="6" t="inlineStr">
        <is>
          <t>1 wt% Re | 250 C</t>
        </is>
      </c>
      <c r="B919" s="8" t="n">
        <v>0.127</v>
      </c>
      <c r="C919" s="6" t="n">
        <v>1367.463377861153</v>
      </c>
      <c r="D919" s="6" t="n">
        <v>81435.63910335058</v>
      </c>
      <c r="E919" s="8" t="n">
        <v>0.01789925606605039</v>
      </c>
      <c r="F919" s="8" t="n">
        <v>0.003105448950779492</v>
      </c>
      <c r="G919" s="6" t="n">
        <v>964.60600626827</v>
      </c>
      <c r="H919" s="6" t="n">
        <v>31.42470824868646</v>
      </c>
      <c r="I919" s="6" t="n">
        <v>98.11147055483003</v>
      </c>
    </row>
    <row r="920">
      <c r="A920" s="6" t="inlineStr">
        <is>
          <t>1 wt% Re | 250 C</t>
        </is>
      </c>
      <c r="B920" s="8" t="n">
        <v>0.128</v>
      </c>
      <c r="C920" s="6" t="n">
        <v>1371.217495327184</v>
      </c>
      <c r="D920" s="6" t="n">
        <v>81330.00202070011</v>
      </c>
      <c r="E920" s="8" t="n">
        <v>0.0177766265856599</v>
      </c>
      <c r="F920" s="8" t="n">
        <v>0.003078042496437189</v>
      </c>
      <c r="G920" s="6" t="n">
        <v>967.5031968163715</v>
      </c>
      <c r="H920" s="6" t="n">
        <v>31.50555878657933</v>
      </c>
      <c r="I920" s="6" t="n">
        <v>98.32861888082635</v>
      </c>
    </row>
    <row r="921">
      <c r="A921" s="6" t="inlineStr">
        <is>
          <t>1 wt% Re | 250 C</t>
        </is>
      </c>
      <c r="B921" s="8" t="n">
        <v>0.129</v>
      </c>
      <c r="C921" s="6" t="n">
        <v>1374.971168931875</v>
      </c>
      <c r="D921" s="6" t="n">
        <v>81224.58459816684</v>
      </c>
      <c r="E921" s="8" t="n">
        <v>0.01765586841822602</v>
      </c>
      <c r="F921" s="8" t="n">
        <v>0.003051054261701965</v>
      </c>
      <c r="G921" s="6" t="n">
        <v>970.4003873644734</v>
      </c>
      <c r="H921" s="6" t="n">
        <v>31.58641109813574</v>
      </c>
      <c r="I921" s="6" t="n">
        <v>98.54531021870886</v>
      </c>
    </row>
    <row r="922">
      <c r="A922" s="6" t="inlineStr">
        <is>
          <t>1 wt% Re | 250 C</t>
        </is>
      </c>
      <c r="B922" s="8" t="n">
        <v>0.13</v>
      </c>
      <c r="C922" s="6" t="n">
        <v>1378.724402718037</v>
      </c>
      <c r="D922" s="6" t="n">
        <v>81119.38176667114</v>
      </c>
      <c r="E922" s="8" t="n">
        <v>0.01753693905403763</v>
      </c>
      <c r="F922" s="8" t="n">
        <v>0.00302447474608134</v>
      </c>
      <c r="G922" s="6" t="n">
        <v>973.2975779125751</v>
      </c>
      <c r="H922" s="6" t="n">
        <v>31.667265142425</v>
      </c>
      <c r="I922" s="6" t="n">
        <v>98.76154875906985</v>
      </c>
    </row>
    <row r="923">
      <c r="A923" s="6" t="inlineStr">
        <is>
          <t>1 wt% Re | 250 C</t>
        </is>
      </c>
      <c r="B923" s="8" t="n">
        <v>0.131</v>
      </c>
      <c r="C923" s="6" t="n">
        <v>1382.477200661526</v>
      </c>
      <c r="D923" s="6" t="n">
        <v>81014.38861191444</v>
      </c>
      <c r="E923" s="8" t="n">
        <v>0.01741979726127063</v>
      </c>
      <c r="F923" s="8" t="n">
        <v>0.002998294734677707</v>
      </c>
      <c r="G923" s="6" t="n">
        <v>976.1947684606768</v>
      </c>
      <c r="H923" s="6" t="n">
        <v>31.7481208797662</v>
      </c>
      <c r="I923" s="6" t="n">
        <v>98.97733862244463</v>
      </c>
    </row>
    <row r="924">
      <c r="A924" s="6" t="inlineStr">
        <is>
          <t>1 wt% Re | 250 C</t>
        </is>
      </c>
      <c r="B924" s="8" t="n">
        <v>0.132</v>
      </c>
      <c r="C924" s="6" t="n">
        <v>1386.229566672821</v>
      </c>
      <c r="D924" s="6" t="n">
        <v>80909.60036851635</v>
      </c>
      <c r="E924" s="8" t="n">
        <v>0.01730440303832779</v>
      </c>
      <c r="F924" s="8" t="n">
        <v>0.002972505287536791</v>
      </c>
      <c r="G924" s="6" t="n">
        <v>979.0919590087786</v>
      </c>
      <c r="H924" s="6" t="n">
        <v>31.82897827168088</v>
      </c>
      <c r="I924" s="6" t="n">
        <v>99.19268386098928</v>
      </c>
    </row>
    <row r="925">
      <c r="A925" s="6" t="inlineStr">
        <is>
          <t>1 wt% Re | 250 C</t>
        </is>
      </c>
      <c r="B925" s="8" t="n">
        <v>0.133</v>
      </c>
      <c r="C925" s="6" t="n">
        <v>1389.981504598568</v>
      </c>
      <c r="D925" s="6" t="n">
        <v>80805.01241441607</v>
      </c>
      <c r="E925" s="8" t="n">
        <v>0.01719071756829591</v>
      </c>
      <c r="F925" s="8" t="n">
        <v>0.002947097729469265</v>
      </c>
      <c r="G925" s="6" t="n">
        <v>981.989149556881</v>
      </c>
      <c r="H925" s="6" t="n">
        <v>31.90983728084786</v>
      </c>
      <c r="I925" s="6" t="n">
        <v>99.40758846010699</v>
      </c>
    </row>
    <row r="926">
      <c r="A926" s="6" t="inlineStr">
        <is>
          <t>1 wt% Re | 250 C</t>
        </is>
      </c>
      <c r="B926" s="8" t="n">
        <v>0.134</v>
      </c>
      <c r="C926" s="6" t="n">
        <v>1393.733018223059</v>
      </c>
      <c r="D926" s="6" t="n">
        <v>80700.62026552491</v>
      </c>
      <c r="E926" s="8" t="n">
        <v>0.01707870317541126</v>
      </c>
      <c r="F926" s="8" t="n">
        <v>0.002922063640321217</v>
      </c>
      <c r="G926" s="6" t="n">
        <v>984.8863401049825</v>
      </c>
      <c r="H926" s="6" t="n">
        <v>31.99069787105996</v>
      </c>
      <c r="I926" s="6" t="n">
        <v>99.62205634002457</v>
      </c>
    </row>
    <row r="927">
      <c r="A927" s="6" t="inlineStr">
        <is>
          <t>1 wt% Re | 250 C</t>
        </is>
      </c>
      <c r="B927" s="8" t="n">
        <v>0.135</v>
      </c>
      <c r="C927" s="6" t="n">
        <v>1397.48411126969</v>
      </c>
      <c r="D927" s="6" t="n">
        <v>80596.41957061592</v>
      </c>
      <c r="E927" s="8" t="n">
        <v>0.01696832328343075</v>
      </c>
      <c r="F927" s="8" t="n">
        <v>0.00289739484567054</v>
      </c>
      <c r="G927" s="6" t="n">
        <v>987.7835306530843</v>
      </c>
      <c r="H927" s="6" t="n">
        <v>32.07156000718288</v>
      </c>
      <c r="I927" s="6" t="n">
        <v>99.83609135732107</v>
      </c>
    </row>
    <row r="928">
      <c r="A928" s="6" t="inlineStr">
        <is>
          <t>1 wt% Re | 250 C</t>
        </is>
      </c>
      <c r="B928" s="8" t="n">
        <v>0.136</v>
      </c>
      <c r="C928" s="6" t="n">
        <v>1401.234787402355</v>
      </c>
      <c r="D928" s="6" t="n">
        <v>80492.40610643958</v>
      </c>
      <c r="E928" s="8" t="n">
        <v>0.01685954237581231</v>
      </c>
      <c r="F928" s="8" t="n">
        <v>0.002873083407927626</v>
      </c>
      <c r="G928" s="6" t="n">
        <v>990.6807212011862</v>
      </c>
      <c r="H928" s="6" t="n">
        <v>32.15242365511563</v>
      </c>
      <c r="I928" s="6" t="n">
        <v>100.0496973064104</v>
      </c>
    </row>
    <row r="929">
      <c r="A929" s="6" t="inlineStr">
        <is>
          <t>1 wt% Re | 250 C</t>
        </is>
      </c>
      <c r="B929" s="8" t="n">
        <v>0.137</v>
      </c>
      <c r="C929" s="6" t="n">
        <v>1404.985050226809</v>
      </c>
      <c r="D929" s="6" t="n">
        <v>80388.5757730528</v>
      </c>
      <c r="E929" s="8" t="n">
        <v>0.01675232595761324</v>
      </c>
      <c r="F929" s="8" t="n">
        <v>0.002849121617820049</v>
      </c>
      <c r="G929" s="6" t="n">
        <v>993.5779117492879</v>
      </c>
      <c r="H929" s="6" t="n">
        <v>32.23328878175288</v>
      </c>
      <c r="I929" s="6" t="n">
        <v>100.2628779209792</v>
      </c>
    </row>
    <row r="930">
      <c r="A930" s="6" t="inlineStr">
        <is>
          <t>1 wt% Re | 250 C</t>
        </is>
      </c>
      <c r="B930" s="8" t="n">
        <v>0.138</v>
      </c>
      <c r="C930" s="6" t="n">
        <v>1408.734903291992</v>
      </c>
      <c r="D930" s="6" t="n">
        <v>80284.92458935147</v>
      </c>
      <c r="E930" s="8" t="n">
        <v>0.01664664051902082</v>
      </c>
      <c r="F930" s="8" t="n">
        <v>0.002825501986242013</v>
      </c>
      <c r="G930" s="6" t="n">
        <v>996.4751022973896</v>
      </c>
      <c r="H930" s="6" t="n">
        <v>32.31415535494888</v>
      </c>
      <c r="I930" s="6" t="n">
        <v>100.4756368753827</v>
      </c>
    </row>
    <row r="931">
      <c r="A931" s="6" t="inlineStr">
        <is>
          <t>1 wt% Re | 250 C</t>
        </is>
      </c>
      <c r="B931" s="8" t="n">
        <v>0.139</v>
      </c>
      <c r="C931" s="6" t="n">
        <v>1412.484350091309</v>
      </c>
      <c r="D931" s="6" t="n">
        <v>80181.4486887956</v>
      </c>
      <c r="E931" s="8" t="n">
        <v>0.01654245350043413</v>
      </c>
      <c r="F931" s="8" t="n">
        <v>0.002802217236450489</v>
      </c>
      <c r="G931" s="6" t="n">
        <v>999.3722928454918</v>
      </c>
      <c r="H931" s="6" t="n">
        <v>32.39502334348297</v>
      </c>
      <c r="I931" s="6" t="n">
        <v>100.6879777859981</v>
      </c>
    </row>
    <row r="932">
      <c r="A932" s="6" t="inlineStr">
        <is>
          <t>1 wt% Re | 250 C</t>
        </is>
      </c>
      <c r="B932" s="8" t="n">
        <v>0.14</v>
      </c>
      <c r="C932" s="6" t="n">
        <v>1416.233394063874</v>
      </c>
      <c r="D932" s="6" t="n">
        <v>80078.14431531778</v>
      </c>
      <c r="E932" s="8" t="n">
        <v>0.01643973325902053</v>
      </c>
      <c r="F932" s="8" t="n">
        <v>0.002779260296590939</v>
      </c>
      <c r="G932" s="6" t="n">
        <v>1002.269483393594</v>
      </c>
      <c r="H932" s="6" t="n">
        <v>32.47589271702643</v>
      </c>
      <c r="I932" s="6" t="n">
        <v>100.8999042125392</v>
      </c>
    </row>
    <row r="933">
      <c r="A933" s="6" t="inlineStr">
        <is>
          <t>1 wt% Re | 250 C</t>
        </is>
      </c>
      <c r="B933" s="8" t="n">
        <v>0.141</v>
      </c>
      <c r="C933" s="6" t="n">
        <v>1419.982038595722</v>
      </c>
      <c r="D933" s="6" t="n">
        <v>79975.0078194058</v>
      </c>
      <c r="E933" s="8" t="n">
        <v>0.0163384490366749</v>
      </c>
      <c r="F933" s="8" t="n">
        <v>0.002756624292536513</v>
      </c>
      <c r="G933" s="6" t="n">
        <v>1005.166673941695</v>
      </c>
      <c r="H933" s="6" t="n">
        <v>32.55676344611099</v>
      </c>
      <c r="I933" s="6" t="n">
        <v>101.1114196593322</v>
      </c>
    </row>
    <row r="934">
      <c r="A934" s="6" t="inlineStr">
        <is>
          <t>1 wt% Re | 250 C</t>
        </is>
      </c>
      <c r="B934" s="8" t="n">
        <v>0.142</v>
      </c>
      <c r="C934" s="6" t="n">
        <v>1423.730287020986</v>
      </c>
      <c r="D934" s="6" t="n">
        <v>79872.03565435036</v>
      </c>
      <c r="E934" s="8" t="n">
        <v>0.01623857092931323</v>
      </c>
      <c r="F934" s="8" t="n">
        <v>0.002734302541025484</v>
      </c>
      <c r="G934" s="6" t="n">
        <v>1008.063864489797</v>
      </c>
      <c r="H934" s="6" t="n">
        <v>32.63763550209848</v>
      </c>
      <c r="I934" s="6" t="n">
        <v>101.3225275765545</v>
      </c>
    </row>
    <row r="935">
      <c r="A935" s="6" t="inlineStr">
        <is>
          <t>1 wt% Re | 250 C</t>
        </is>
      </c>
      <c r="B935" s="8" t="n">
        <v>0.143</v>
      </c>
      <c r="C935" s="6" t="n">
        <v>1427.478142623032</v>
      </c>
      <c r="D935" s="6" t="n">
        <v>79769.22437265114</v>
      </c>
      <c r="E935" s="8" t="n">
        <v>0.01614006985743634</v>
      </c>
      <c r="F935" s="8" t="n">
        <v>0.002712288543082527</v>
      </c>
      <c r="G935" s="6" t="n">
        <v>1010.961055037899</v>
      </c>
      <c r="H935" s="6" t="n">
        <v>32.71850885715175</v>
      </c>
      <c r="I935" s="6" t="n">
        <v>101.5332313614378</v>
      </c>
    </row>
    <row r="936">
      <c r="A936" s="6" t="inlineStr">
        <is>
          <t>1 wt% Re | 250 C</t>
        </is>
      </c>
      <c r="B936" s="8" t="n">
        <v>0.144</v>
      </c>
      <c r="C936" s="6" t="n">
        <v>1431.225608635576</v>
      </c>
      <c r="D936" s="6" t="n">
        <v>79666.57062257144</v>
      </c>
      <c r="E936" s="8" t="n">
        <v>0.01604291753790271</v>
      </c>
      <c r="F936" s="8" t="n">
        <v>0.002690575977710246</v>
      </c>
      <c r="G936" s="6" t="n">
        <v>1013.858245586001</v>
      </c>
      <c r="H936" s="6" t="n">
        <v>32.79938348420694</v>
      </c>
      <c r="I936" s="6" t="n">
        <v>101.7435343594369</v>
      </c>
    </row>
    <row r="937">
      <c r="A937" s="6" t="inlineStr">
        <is>
          <t>1 wt% Re | 250 C</t>
        </is>
      </c>
      <c r="B937" s="8" t="n">
        <v>0.145</v>
      </c>
      <c r="C937" s="6" t="n">
        <v>1434.972688243757</v>
      </c>
      <c r="D937" s="6" t="n">
        <v>79564.07114483639</v>
      </c>
      <c r="E937" s="8" t="n">
        <v>0.01594708645685302</v>
      </c>
      <c r="F937" s="8" t="n">
        <v>0.002669158695838068</v>
      </c>
      <c r="G937" s="6" t="n">
        <v>1016.755436134102</v>
      </c>
      <c r="H937" s="6" t="n">
        <v>32.88025935694677</v>
      </c>
      <c r="I937" s="6" t="n">
        <v>101.9534398653652</v>
      </c>
    </row>
    <row r="938">
      <c r="A938" s="6" t="inlineStr">
        <is>
          <t>1 wt% Re | 250 C</t>
        </is>
      </c>
      <c r="B938" s="8" t="n">
        <v>0.146</v>
      </c>
      <c r="C938" s="6" t="n">
        <v>1438.719384585183</v>
      </c>
      <c r="D938" s="6" t="n">
        <v>79461.72276946636</v>
      </c>
      <c r="E938" s="8" t="n">
        <v>0.01585254984373187</v>
      </c>
      <c r="F938" s="8" t="n">
        <v>0.002648030714516359</v>
      </c>
      <c r="G938" s="6" t="n">
        <v>1019.652626682204</v>
      </c>
      <c r="H938" s="6" t="n">
        <v>32.96113644977498</v>
      </c>
      <c r="I938" s="6" t="n">
        <v>102.1629511244975</v>
      </c>
    </row>
    <row r="939">
      <c r="A939" s="6" t="inlineStr">
        <is>
          <t>1 wt% Re | 250 C</t>
        </is>
      </c>
      <c r="B939" s="8" t="n">
        <v>0.147</v>
      </c>
      <c r="C939" s="6" t="n">
        <v>1442.465700750958</v>
      </c>
      <c r="D939" s="6" t="n">
        <v>79359.52241273958</v>
      </c>
      <c r="E939" s="8" t="n">
        <v>0.01575928164635511</v>
      </c>
      <c r="F939" s="8" t="n">
        <v>0.00262718621134424</v>
      </c>
      <c r="G939" s="6" t="n">
        <v>1022.549817230306</v>
      </c>
      <c r="H939" s="6" t="n">
        <v>33.0420147377918</v>
      </c>
      <c r="I939" s="6" t="n">
        <v>102.3720713336428</v>
      </c>
    </row>
    <row r="940">
      <c r="A940" s="6" t="inlineStr">
        <is>
          <t>1 wt% Re | 250 C</t>
        </is>
      </c>
      <c r="B940" s="8" t="n">
        <v>0.148</v>
      </c>
      <c r="C940" s="6" t="n">
        <v>1446.211639786666</v>
      </c>
      <c r="D940" s="6" t="n">
        <v>79257.46707427812</v>
      </c>
      <c r="E940" s="8" t="n">
        <v>0.01566725650697419</v>
      </c>
      <c r="F940" s="8" t="n">
        <v>0.002606619519120181</v>
      </c>
      <c r="G940" s="6" t="n">
        <v>1025.447007778408</v>
      </c>
      <c r="H940" s="6" t="n">
        <v>33.12289419677045</v>
      </c>
      <c r="I940" s="6" t="n">
        <v>102.5808036421864</v>
      </c>
    </row>
    <row r="941">
      <c r="A941" s="6" t="inlineStr">
        <is>
          <t>1 wt% Re | 250 C</t>
        </is>
      </c>
      <c r="B941" s="8" t="n">
        <v>0.149</v>
      </c>
      <c r="C941" s="6" t="n">
        <v>1449.957204693334</v>
      </c>
      <c r="D941" s="6" t="n">
        <v>79155.55383425117</v>
      </c>
      <c r="E941" s="8" t="n">
        <v>0.01557644973929101</v>
      </c>
      <c r="F941" s="8" t="n">
        <v>0.002586325120705082</v>
      </c>
      <c r="G941" s="6" t="n">
        <v>1028.34419832651</v>
      </c>
      <c r="H941" s="6" t="n">
        <v>33.2037748031345</v>
      </c>
      <c r="I941" s="6" t="n">
        <v>102.7891511531034</v>
      </c>
    </row>
    <row r="942">
      <c r="A942" s="6" t="inlineStr">
        <is>
          <t>1 wt% Re | 250 C</t>
        </is>
      </c>
      <c r="B942" s="8" t="n">
        <v>0.15</v>
      </c>
      <c r="C942" s="6" t="n">
        <v>1453.702398428375</v>
      </c>
      <c r="D942" s="6" t="n">
        <v>79053.77985069006</v>
      </c>
      <c r="E942" s="8" t="n">
        <v>0.01548683730637991</v>
      </c>
      <c r="F942" s="8" t="n">
        <v>0.002566297644088036</v>
      </c>
      <c r="G942" s="6" t="n">
        <v>1031.241388874612</v>
      </c>
      <c r="H942" s="6" t="n">
        <v>33.28465653393625</v>
      </c>
      <c r="I942" s="6" t="n">
        <v>102.997116923944</v>
      </c>
    </row>
    <row r="943">
      <c r="A943" s="6" t="inlineStr">
        <is>
          <t>1 wt% Re | 250 C</t>
        </is>
      </c>
      <c r="B943" s="8" t="n">
        <v>0.151</v>
      </c>
      <c r="C943" s="6" t="n">
        <v>1457.447223906493</v>
      </c>
      <c r="D943" s="6" t="n">
        <v>78952.14235690999</v>
      </c>
      <c r="E943" s="8" t="n">
        <v>0.01539839579947494</v>
      </c>
      <c r="F943" s="8" t="n">
        <v>0.002546531857645517</v>
      </c>
      <c r="G943" s="6" t="n">
        <v>1034.138579422713</v>
      </c>
      <c r="H943" s="6" t="n">
        <v>33.36553936683587</v>
      </c>
      <c r="I943" s="6" t="n">
        <v>103.2047039677917</v>
      </c>
    </row>
    <row r="944">
      <c r="A944" s="6" t="inlineStr">
        <is>
          <t>1 wt% Re | 250 C</t>
        </is>
      </c>
      <c r="B944" s="8" t="n">
        <v>0.152</v>
      </c>
      <c r="C944" s="6" t="n">
        <v>1461.191684000579</v>
      </c>
      <c r="D944" s="6" t="n">
        <v>78850.63865903372</v>
      </c>
      <c r="E944" s="8" t="n">
        <v>0.0153111024175834</v>
      </c>
      <c r="F944" s="8" t="n">
        <v>0.002527022665585191</v>
      </c>
      <c r="G944" s="6" t="n">
        <v>1037.035769970815</v>
      </c>
      <c r="H944" s="6" t="n">
        <v>33.44642328008143</v>
      </c>
      <c r="I944" s="6" t="n">
        <v>103.4119152541961</v>
      </c>
    </row>
    <row r="945">
      <c r="A945" s="6" t="inlineStr">
        <is>
          <t>1 wt% Re | 250 C</t>
        </is>
      </c>
      <c r="B945" s="8" t="n">
        <v>0.153</v>
      </c>
      <c r="C945" s="6" t="n">
        <v>1464.935781542564</v>
      </c>
      <c r="D945" s="6" t="n">
        <v>78749.26613361214</v>
      </c>
      <c r="E945" s="8" t="n">
        <v>0.01522493494788809</v>
      </c>
      <c r="F945" s="8" t="n">
        <v>0.002507765103566038</v>
      </c>
      <c r="G945" s="6" t="n">
        <v>1039.932960518917</v>
      </c>
      <c r="H945" s="6" t="n">
        <v>33.5273082524897</v>
      </c>
      <c r="I945" s="6" t="n">
        <v>103.6187537100795</v>
      </c>
    </row>
    <row r="946">
      <c r="A946" s="6" t="inlineStr">
        <is>
          <t>1 wt% Re | 250 C</t>
        </is>
      </c>
      <c r="B946" s="8" t="n">
        <v>0.154</v>
      </c>
      <c r="C946" s="6" t="n">
        <v>1468.679519324267</v>
      </c>
      <c r="D946" s="6" t="n">
        <v>78648.02222533773</v>
      </c>
      <c r="E946" s="8" t="n">
        <v>0.01513987174690314</v>
      </c>
      <c r="F946" s="8" t="n">
        <v>0.002488754334486852</v>
      </c>
      <c r="G946" s="6" t="n">
        <v>1042.830151067019</v>
      </c>
      <c r="H946" s="6" t="n">
        <v>33.60819426342761</v>
      </c>
      <c r="I946" s="6" t="n">
        <v>103.8252222206197</v>
      </c>
    </row>
    <row r="947">
      <c r="A947" s="6" t="inlineStr">
        <is>
          <t>1 wt% Re | 250 C</t>
        </is>
      </c>
      <c r="B947" s="8" t="n">
        <v>0.155</v>
      </c>
      <c r="C947" s="6" t="n">
        <v>1472.42290009821</v>
      </c>
      <c r="D947" s="6" t="n">
        <v>78546.90444484631</v>
      </c>
      <c r="E947" s="8" t="n">
        <v>0.01505589172234962</v>
      </c>
      <c r="F947" s="8" t="n">
        <v>0.00246998564443563</v>
      </c>
      <c r="G947" s="6" t="n">
        <v>1045.727341615121</v>
      </c>
      <c r="H947" s="6" t="n">
        <v>33.68908129279461</v>
      </c>
      <c r="I947" s="6" t="n">
        <v>104.0313236301085</v>
      </c>
    </row>
    <row r="948">
      <c r="A948" s="6" t="inlineStr">
        <is>
          <t>1 wt% Re | 250 C</t>
        </is>
      </c>
      <c r="B948" s="8" t="n">
        <v>0.156</v>
      </c>
      <c r="C948" s="6" t="n">
        <v>1476.165926578418</v>
      </c>
      <c r="D948" s="6" t="n">
        <v>78445.91036660362</v>
      </c>
      <c r="E948" s="8" t="n">
        <v>0.01497297431571921</v>
      </c>
      <c r="F948" s="8" t="n">
        <v>0.002451454438792725</v>
      </c>
      <c r="G948" s="6" t="n">
        <v>1048.624532163223</v>
      </c>
      <c r="H948" s="6" t="n">
        <v>33.7699693210055</v>
      </c>
      <c r="I948" s="6" t="n">
        <v>104.2370607427887</v>
      </c>
    </row>
    <row r="949">
      <c r="A949" s="6" t="inlineStr">
        <is>
          <t>1 wt% Re | 250 C</t>
        </is>
      </c>
      <c r="B949" s="8" t="n">
        <v>0.157</v>
      </c>
      <c r="C949" s="6" t="n">
        <v>1479.908601441193</v>
      </c>
      <c r="D949" s="6" t="n">
        <v>78345.03762687244</v>
      </c>
      <c r="E949" s="8" t="n">
        <v>0.0148910994854955</v>
      </c>
      <c r="F949" s="8" t="n">
        <v>0.002433156238480984</v>
      </c>
      <c r="G949" s="6" t="n">
        <v>1051.521722711324</v>
      </c>
      <c r="H949" s="6" t="n">
        <v>33.85085832897411</v>
      </c>
      <c r="I949" s="6" t="n">
        <v>104.4424363236671</v>
      </c>
    </row>
    <row r="950">
      <c r="A950" s="6" t="inlineStr">
        <is>
          <t>1 wt% Re | 250 C</t>
        </is>
      </c>
      <c r="B950" s="8" t="n">
        <v>0.158</v>
      </c>
      <c r="C950" s="6" t="n">
        <v>1483.650927325865</v>
      </c>
      <c r="D950" s="6" t="n">
        <v>78244.28392175696</v>
      </c>
      <c r="E950" s="8" t="n">
        <v>0.01481024769100438</v>
      </c>
      <c r="F950" s="8" t="n">
        <v>0.002415086676356457</v>
      </c>
      <c r="G950" s="6" t="n">
        <v>1054.418913259426</v>
      </c>
      <c r="H950" s="6" t="n">
        <v>33.93174829809744</v>
      </c>
      <c r="I950" s="6" t="n">
        <v>104.6474530993078</v>
      </c>
    </row>
    <row r="951">
      <c r="A951" s="6" t="inlineStr">
        <is>
          <t>1 wt% Re | 250 C</t>
        </is>
      </c>
      <c r="B951" s="8" t="n">
        <v>0.159</v>
      </c>
      <c r="C951" s="6" t="n">
        <v>1487.392906835537</v>
      </c>
      <c r="D951" s="6" t="n">
        <v>78143.64700532099</v>
      </c>
      <c r="E951" s="8" t="n">
        <v>0.01473039987686587</v>
      </c>
      <c r="F951" s="8" t="n">
        <v>0.002397241493733558</v>
      </c>
      <c r="G951" s="6" t="n">
        <v>1057.316103807528</v>
      </c>
      <c r="H951" s="6" t="n">
        <v>34.01263921024049</v>
      </c>
      <c r="I951" s="6" t="n">
        <v>104.8521137586037</v>
      </c>
    </row>
    <row r="952">
      <c r="A952" s="6" t="inlineStr">
        <is>
          <t>1 wt% Re | 250 C</t>
        </is>
      </c>
      <c r="B952" s="8" t="n">
        <v>0.16</v>
      </c>
      <c r="C952" s="6" t="n">
        <v>1491.134542537797</v>
      </c>
      <c r="D952" s="6" t="n">
        <v>78043.12468777687</v>
      </c>
      <c r="E952" s="8" t="n">
        <v>0.01465153745802181</v>
      </c>
      <c r="F952" s="8" t="n">
        <v>0.002379616537038877</v>
      </c>
      <c r="G952" s="6" t="n">
        <v>1060.21329435563</v>
      </c>
      <c r="H952" s="6" t="n">
        <v>34.09353104772164</v>
      </c>
      <c r="I952" s="6" t="n">
        <v>105.0564209535286</v>
      </c>
    </row>
    <row r="953">
      <c r="A953" s="6" t="inlineStr">
        <is>
          <t>1 wt% Re | 250 C</t>
        </is>
      </c>
      <c r="B953" s="8" t="n">
        <v>0.161</v>
      </c>
      <c r="C953" s="6" t="n">
        <v>1494.875836965414</v>
      </c>
      <c r="D953" s="6" t="n">
        <v>77942.71483374144</v>
      </c>
      <c r="E953" s="8" t="n">
        <v>0.01457364230531421</v>
      </c>
      <c r="F953" s="8" t="n">
        <v>0.002362207754588118</v>
      </c>
      <c r="G953" s="6" t="n">
        <v>1063.110484903732</v>
      </c>
      <c r="H953" s="6" t="n">
        <v>34.17442379329858</v>
      </c>
      <c r="I953" s="6" t="n">
        <v>105.260377299869</v>
      </c>
    </row>
    <row r="954">
      <c r="A954" s="6" t="inlineStr">
        <is>
          <t>1 wt% Re | 250 C</t>
        </is>
      </c>
      <c r="B954" s="8" t="n">
        <v>0.162</v>
      </c>
      <c r="C954" s="6" t="n">
        <v>1498.616792617028</v>
      </c>
      <c r="D954" s="6" t="n">
        <v>77842.41536055721</v>
      </c>
      <c r="E954" s="8" t="n">
        <v>0.01449669673159124</v>
      </c>
      <c r="F954" s="8" t="n">
        <v>0.002345011193480903</v>
      </c>
      <c r="G954" s="6" t="n">
        <v>1066.007675451834</v>
      </c>
      <c r="H954" s="6" t="n">
        <v>34.2553174301547</v>
      </c>
      <c r="I954" s="6" t="n">
        <v>105.4639853779384</v>
      </c>
    </row>
    <row r="955">
      <c r="A955" s="6" t="inlineStr">
        <is>
          <t>1 wt% Re | 250 C</t>
        </is>
      </c>
      <c r="B955" s="8" t="n">
        <v>0.163</v>
      </c>
      <c r="C955" s="6" t="n">
        <v>1502.357411957805</v>
      </c>
      <c r="D955" s="6" t="n">
        <v>77742.22423667472</v>
      </c>
      <c r="E955" s="8" t="n">
        <v>0.01442068347831811</v>
      </c>
      <c r="F955" s="8" t="n">
        <v>0.002328022996608454</v>
      </c>
      <c r="G955" s="6" t="n">
        <v>1068.904865999935</v>
      </c>
      <c r="H955" s="6" t="n">
        <v>34.33621194188612</v>
      </c>
      <c r="I955" s="6" t="n">
        <v>105.6672477332723</v>
      </c>
    </row>
    <row r="956">
      <c r="A956" s="6" t="inlineStr">
        <is>
          <t>1 wt% Re | 250 C</t>
        </is>
      </c>
      <c r="B956" s="8" t="n">
        <v>0.164</v>
      </c>
      <c r="C956" s="6" t="n">
        <v>1506.097697420089</v>
      </c>
      <c r="D956" s="6" t="n">
        <v>77642.13948009456</v>
      </c>
      <c r="E956" s="8" t="n">
        <v>0.01434558570267187</v>
      </c>
      <c r="F956" s="8" t="n">
        <v>0.002311239399769393</v>
      </c>
      <c r="G956" s="6" t="n">
        <v>1071.802056548038</v>
      </c>
      <c r="H956" s="6" t="n">
        <v>34.41710731248899</v>
      </c>
      <c r="I956" s="6" t="n">
        <v>105.8701668773056</v>
      </c>
    </row>
    <row r="957">
      <c r="A957" s="6" t="inlineStr">
        <is>
          <t>1 wt% Re | 250 C</t>
        </is>
      </c>
      <c r="B957" s="8" t="n">
        <v>0.165</v>
      </c>
      <c r="C957" s="6" t="n">
        <v>1509.837651404031</v>
      </c>
      <c r="D957" s="6" t="n">
        <v>77542.15915686579</v>
      </c>
      <c r="E957" s="8" t="n">
        <v>0.01427138696509949</v>
      </c>
      <c r="F957" s="8" t="n">
        <v>0.002294656728889123</v>
      </c>
      <c r="G957" s="6" t="n">
        <v>1074.699247096139</v>
      </c>
      <c r="H957" s="6" t="n">
        <v>34.49800352634748</v>
      </c>
      <c r="I957" s="6" t="n">
        <v>106.0727452880339</v>
      </c>
    </row>
    <row r="958">
      <c r="A958" s="6" t="inlineStr">
        <is>
          <t>1 wt% Re | 250 C</t>
        </is>
      </c>
      <c r="B958" s="8" t="n">
        <v>0.166</v>
      </c>
      <c r="C958" s="6" t="n">
        <v>1513.577276278206</v>
      </c>
      <c r="D958" s="6" t="n">
        <v>77442.28137963866</v>
      </c>
      <c r="E958" s="8" t="n">
        <v>0.01419807121732032</v>
      </c>
      <c r="F958" s="8" t="n">
        <v>0.002278271397338477</v>
      </c>
      <c r="G958" s="6" t="n">
        <v>1077.596437644241</v>
      </c>
      <c r="H958" s="6" t="n">
        <v>34.57890056822204</v>
      </c>
      <c r="I958" s="6" t="n">
        <v>106.2749854106567</v>
      </c>
    </row>
    <row r="959">
      <c r="A959" s="6" t="inlineStr">
        <is>
          <t>1 wt% Re | 250 C</t>
        </is>
      </c>
      <c r="B959" s="8" t="n">
        <v>0.167</v>
      </c>
      <c r="C959" s="6" t="n">
        <v>1517.31657438021</v>
      </c>
      <c r="D959" s="6" t="n">
        <v>77342.50430626947</v>
      </c>
      <c r="E959" s="8" t="n">
        <v>0.01412562279075425</v>
      </c>
      <c r="F959" s="8" t="n">
        <v>0.002262079903347537</v>
      </c>
      <c r="G959" s="6" t="n">
        <v>1080.493628192343</v>
      </c>
      <c r="H959" s="6" t="n">
        <v>34.6597984232381</v>
      </c>
      <c r="I959" s="6" t="n">
        <v>106.4768896582058</v>
      </c>
    </row>
    <row r="960">
      <c r="A960" s="6" t="inlineStr">
        <is>
          <t>1 wt% Re | 250 C</t>
        </is>
      </c>
      <c r="B960" s="8" t="n">
        <v>0.168</v>
      </c>
      <c r="C960" s="6" t="n">
        <v>1521.055548017251</v>
      </c>
      <c r="D960" s="6" t="n">
        <v>77242.82613847501</v>
      </c>
      <c r="E960" s="8" t="n">
        <v>0.01405402638535814</v>
      </c>
      <c r="F960" s="8" t="n">
        <v>0.002246078827510689</v>
      </c>
      <c r="G960" s="6" t="n">
        <v>1083.390818740445</v>
      </c>
      <c r="H960" s="6" t="n">
        <v>34.74069707687531</v>
      </c>
      <c r="I960" s="6" t="n">
        <v>106.6784604121576</v>
      </c>
    </row>
    <row r="961">
      <c r="A961" s="6" t="inlineStr">
        <is>
          <t>1 wt% Re | 250 C</t>
        </is>
      </c>
      <c r="B961" s="8" t="n">
        <v>0.169</v>
      </c>
      <c r="C961" s="6" t="n">
        <v>1524.794199466712</v>
      </c>
      <c r="D961" s="6" t="n">
        <v>77143.24512053504</v>
      </c>
      <c r="E961" s="8" t="n">
        <v>0.01398326705885382</v>
      </c>
      <c r="F961" s="8" t="n">
        <v>0.002230264830379186</v>
      </c>
      <c r="G961" s="6" t="n">
        <v>1086.288009288546</v>
      </c>
      <c r="H961" s="6" t="n">
        <v>34.82159651495693</v>
      </c>
      <c r="I961" s="6" t="n">
        <v>106.87970002303</v>
      </c>
    </row>
    <row r="962">
      <c r="A962" s="6" t="inlineStr">
        <is>
          <t>1 wt% Re | 250 C</t>
        </is>
      </c>
      <c r="B962" s="8" t="n">
        <v>0.17</v>
      </c>
      <c r="C962" s="6" t="n">
        <v>1528.532530976715</v>
      </c>
      <c r="D962" s="6" t="n">
        <v>77043.75953804034</v>
      </c>
      <c r="E962" s="8" t="n">
        <v>0.01391333021633174</v>
      </c>
      <c r="F962" s="8" t="n">
        <v>0.002214634650137673</v>
      </c>
      <c r="G962" s="6" t="n">
        <v>1089.185199836648</v>
      </c>
      <c r="H962" s="6" t="n">
        <v>34.90249672363986</v>
      </c>
      <c r="I962" s="6" t="n">
        <v>107.0806108109652</v>
      </c>
    </row>
    <row r="963">
      <c r="A963" s="6" t="inlineStr">
        <is>
          <t>1 wt% Re | 250 C</t>
        </is>
      </c>
      <c r="B963" s="8" t="n">
        <v>0.171</v>
      </c>
      <c r="C963" s="6" t="n">
        <v>1532.270544766662</v>
      </c>
      <c r="D963" s="6" t="n">
        <v>76944.36771668486</v>
      </c>
      <c r="E963" s="8" t="n">
        <v>0.01384420160021501</v>
      </c>
      <c r="F963" s="8" t="n">
        <v>0.002199185100361251</v>
      </c>
      <c r="G963" s="6" t="n">
        <v>1092.08239038475</v>
      </c>
      <c r="H963" s="6" t="n">
        <v>34.98339768940476</v>
      </c>
      <c r="I963" s="6" t="n">
        <v>107.2811950662983</v>
      </c>
    </row>
    <row r="964">
      <c r="A964" s="6" t="inlineStr">
        <is>
          <t>1 wt% Re | 250 C</t>
        </is>
      </c>
      <c r="B964" s="8" t="n">
        <v>0.172</v>
      </c>
      <c r="C964" s="6" t="n">
        <v>1536.008243027765</v>
      </c>
      <c r="D964" s="6" t="n">
        <v>76845.06802109991</v>
      </c>
      <c r="E964" s="8" t="n">
        <v>0.01377586728056947</v>
      </c>
      <c r="F964" s="8" t="n">
        <v>0.002183913067849865</v>
      </c>
      <c r="G964" s="6" t="n">
        <v>1094.979580932852</v>
      </c>
      <c r="H964" s="6" t="n">
        <v>35.0642993990467</v>
      </c>
      <c r="I964" s="6" t="n">
        <v>107.4814550501112</v>
      </c>
    </row>
    <row r="965">
      <c r="A965" s="6" t="inlineStr">
        <is>
          <t>1 wt% Re | 250 C</t>
        </is>
      </c>
      <c r="B965" s="8" t="n">
        <v>0.173</v>
      </c>
      <c r="C965" s="6" t="n">
        <v>1539.745627923564</v>
      </c>
      <c r="D965" s="6" t="n">
        <v>76745.85885372873</v>
      </c>
      <c r="E965" s="8" t="n">
        <v>0.01370831364574574</v>
      </c>
      <c r="F965" s="8" t="n">
        <v>0.00216881551053691</v>
      </c>
      <c r="G965" s="6" t="n">
        <v>1097.876771480953</v>
      </c>
      <c r="H965" s="6" t="n">
        <v>35.14520183966611</v>
      </c>
      <c r="I965" s="6" t="n">
        <v>107.6813929947741</v>
      </c>
    </row>
    <row r="966">
      <c r="A966" s="6" t="inlineStr">
        <is>
          <t>1 wt% Re | 250 C</t>
        </is>
      </c>
      <c r="B966" s="8" t="n">
        <v>0.174</v>
      </c>
      <c r="C966" s="6" t="n">
        <v>1543.482701590434</v>
      </c>
      <c r="D966" s="6" t="n">
        <v>76646.73865374012</v>
      </c>
      <c r="E966" s="8" t="n">
        <v>0.0136415273933403</v>
      </c>
      <c r="F966" s="8" t="n">
        <v>0.002153889455469118</v>
      </c>
      <c r="G966" s="6" t="n">
        <v>1100.773962029055</v>
      </c>
      <c r="H966" s="6" t="n">
        <v>35.22610499865989</v>
      </c>
      <c r="I966" s="6" t="n">
        <v>107.8810111044739</v>
      </c>
    </row>
    <row r="967">
      <c r="A967" s="6" t="inlineStr">
        <is>
          <t>1 wt% Re | 250 C</t>
        </is>
      </c>
      <c r="B967" s="8" t="n">
        <v>0.175</v>
      </c>
      <c r="C967" s="6" t="n">
        <v>1547.219466138078</v>
      </c>
      <c r="D967" s="6" t="n">
        <v>76547.70589597887</v>
      </c>
      <c r="E967" s="8" t="n">
        <v>0.01357549552146281</v>
      </c>
      <c r="F967" s="8" t="n">
        <v>0.002139131996854885</v>
      </c>
      <c r="G967" s="6" t="n">
        <v>1103.671152577157</v>
      </c>
      <c r="H967" s="6" t="n">
        <v>35.3070088637131</v>
      </c>
      <c r="I967" s="6" t="n">
        <v>108.0803115557291</v>
      </c>
    </row>
    <row r="968">
      <c r="A968" s="6" t="inlineStr">
        <is>
          <t>1 wt% Re | 250 C</t>
        </is>
      </c>
      <c r="B968" s="8" t="n">
        <v>0.176</v>
      </c>
      <c r="C968" s="6" t="n">
        <v>1550.955923650005</v>
      </c>
      <c r="D968" s="6" t="n">
        <v>76448.75908995252</v>
      </c>
      <c r="E968" s="8" t="n">
        <v>0.01351020532029765</v>
      </c>
      <c r="F968" s="8" t="n">
        <v>0.002124540294178378</v>
      </c>
      <c r="G968" s="6" t="n">
        <v>1106.568343125259</v>
      </c>
      <c r="H968" s="6" t="n">
        <v>35.38791342279058</v>
      </c>
      <c r="I968" s="6" t="n">
        <v>108.2792964978938</v>
      </c>
    </row>
    <row r="969">
      <c r="A969" s="6" t="inlineStr">
        <is>
          <t>1 wt% Re | 250 C</t>
        </is>
      </c>
      <c r="B969" s="8" t="n">
        <v>0.177</v>
      </c>
      <c r="C969" s="6" t="n">
        <v>1554.692076184009</v>
      </c>
      <c r="D969" s="6" t="n">
        <v>76349.89677885199</v>
      </c>
      <c r="E969" s="8" t="n">
        <v>0.01344564436394832</v>
      </c>
      <c r="F969" s="8" t="n">
        <v>0.002110111570376816</v>
      </c>
      <c r="G969" s="6" t="n">
        <v>1109.465533673361</v>
      </c>
      <c r="H969" s="6" t="n">
        <v>35.46881866412925</v>
      </c>
      <c r="I969" s="6" t="n">
        <v>108.4779680536484</v>
      </c>
    </row>
    <row r="970">
      <c r="A970" s="6" t="inlineStr">
        <is>
          <t>1 wt% Re | 250 C</t>
        </is>
      </c>
      <c r="B970" s="8" t="n">
        <v>0.178</v>
      </c>
      <c r="C970" s="6" t="n">
        <v>1558.427925772619</v>
      </c>
      <c r="D970" s="6" t="n">
        <v>76251.11753860553</v>
      </c>
      <c r="E970" s="8" t="n">
        <v>0.01338180050255349</v>
      </c>
      <c r="F970" s="8" t="n">
        <v>0.002095843110078508</v>
      </c>
      <c r="G970" s="6" t="n">
        <v>1112.362724221463</v>
      </c>
      <c r="H970" s="6" t="n">
        <v>35.5497245762303</v>
      </c>
      <c r="I970" s="6" t="n">
        <v>108.6763283194803</v>
      </c>
    </row>
    <row r="971">
      <c r="A971" s="6" t="inlineStr">
        <is>
          <t>1 wt% Re | 250 C</t>
        </is>
      </c>
      <c r="B971" s="8" t="n">
        <v>0.179</v>
      </c>
      <c r="C971" s="6" t="n">
        <v>1562.163474423556</v>
      </c>
      <c r="D971" s="6" t="n">
        <v>76152.41997696413</v>
      </c>
      <c r="E971" s="8" t="n">
        <v>0.01331866185466436</v>
      </c>
      <c r="F971" s="8" t="n">
        <v>0.002081732257899259</v>
      </c>
      <c r="G971" s="6" t="n">
        <v>1115.259914769565</v>
      </c>
      <c r="H971" s="6" t="n">
        <v>35.63063114785192</v>
      </c>
      <c r="I971" s="6" t="n">
        <v>108.8743793661515</v>
      </c>
    </row>
    <row r="972">
      <c r="A972" s="6" t="inlineStr">
        <is>
          <t>1 wt% Re | 250 C</t>
        </is>
      </c>
      <c r="B972" s="8" t="n">
        <v>0.18</v>
      </c>
      <c r="C972" s="6" t="n">
        <v>1565.898724120166</v>
      </c>
      <c r="D972" s="6" t="n">
        <v>76053.80273261775</v>
      </c>
      <c r="E972" s="8" t="n">
        <v>0.01325621679987323</v>
      </c>
      <c r="F972" s="8" t="n">
        <v>0.002067776416794933</v>
      </c>
      <c r="G972" s="6" t="n">
        <v>1118.157105317666</v>
      </c>
      <c r="H972" s="6" t="n">
        <v>35.7115383680021</v>
      </c>
      <c r="I972" s="6" t="n">
        <v>109.0721232391573</v>
      </c>
    </row>
    <row r="973">
      <c r="A973" s="6" t="inlineStr">
        <is>
          <t>1 wt% Re | 250 C</t>
        </is>
      </c>
      <c r="B973" s="8" t="n">
        <v>0.181</v>
      </c>
      <c r="C973" s="6" t="n">
        <v>1569.633676821853</v>
      </c>
      <c r="D973" s="6" t="n">
        <v>75955.26447434047</v>
      </c>
      <c r="E973" s="8" t="n">
        <v>0.01319445397168365</v>
      </c>
      <c r="F973" s="8" t="n">
        <v>0.002053973046467999</v>
      </c>
      <c r="G973" s="6" t="n">
        <v>1121.054295865768</v>
      </c>
      <c r="H973" s="6" t="n">
        <v>35.79244622593174</v>
      </c>
      <c r="I973" s="6" t="n">
        <v>109.2695619591731</v>
      </c>
    </row>
    <row r="974">
      <c r="A974" s="6" t="inlineStr">
        <is>
          <t>1 wt% Re | 250 C</t>
        </is>
      </c>
      <c r="B974" s="8" t="n">
        <v>0.182</v>
      </c>
      <c r="C974" s="6" t="n">
        <v>1573.368334464494</v>
      </c>
      <c r="D974" s="6" t="n">
        <v>75856.80390016414</v>
      </c>
      <c r="E974" s="8" t="n">
        <v>0.01313336225061302</v>
      </c>
      <c r="F974" s="8" t="n">
        <v>0.00204031966182604</v>
      </c>
      <c r="G974" s="6" t="n">
        <v>1123.95148641387</v>
      </c>
      <c r="H974" s="6" t="n">
        <v>35.87335471112798</v>
      </c>
      <c r="I974" s="6" t="n">
        <v>109.4666975224908</v>
      </c>
    </row>
    <row r="975">
      <c r="A975" s="6" t="inlineStr">
        <is>
          <t>1 wt% Re | 250 C</t>
        </is>
      </c>
      <c r="B975" s="8" t="n">
        <v>0.183</v>
      </c>
      <c r="C975" s="6" t="n">
        <v>1577.10269896085</v>
      </c>
      <c r="D975" s="6" t="n">
        <v>75758.4197365789</v>
      </c>
      <c r="E975" s="8" t="n">
        <v>0.01307293075751878</v>
      </c>
      <c r="F975" s="8" t="n">
        <v>0.002026813831490214</v>
      </c>
      <c r="G975" s="6" t="n">
        <v>1126.848676961972</v>
      </c>
      <c r="H975" s="6" t="n">
        <v>35.9542638133078</v>
      </c>
      <c r="I975" s="6" t="n">
        <v>109.6635319014467</v>
      </c>
    </row>
    <row r="976">
      <c r="A976" s="6" t="inlineStr">
        <is>
          <t>1 wt% Re | 250 C</t>
        </is>
      </c>
      <c r="B976" s="8" t="n">
        <v>0.184</v>
      </c>
      <c r="C976" s="6" t="n">
        <v>1580.836772200968</v>
      </c>
      <c r="D976" s="6" t="n">
        <v>75660.11073775991</v>
      </c>
      <c r="E976" s="8" t="n">
        <v>0.01301314884713985</v>
      </c>
      <c r="F976" s="8" t="n">
        <v>0.002013453176351835</v>
      </c>
      <c r="G976" s="6" t="n">
        <v>1129.745867510074</v>
      </c>
      <c r="H976" s="6" t="n">
        <v>36.03517352241163</v>
      </c>
      <c r="I976" s="6" t="n">
        <v>109.8600670448376</v>
      </c>
    </row>
    <row r="977">
      <c r="A977" s="6" t="inlineStr">
        <is>
          <t>1 wt% Re | 250 C</t>
        </is>
      </c>
      <c r="B977" s="8" t="n">
        <v>0.185</v>
      </c>
      <c r="C977" s="6" t="n">
        <v>1584.570556052567</v>
      </c>
      <c r="D977" s="6" t="n">
        <v>75561.87568481902</v>
      </c>
      <c r="E977" s="8" t="n">
        <v>0.01295400610184515</v>
      </c>
      <c r="F977" s="8" t="n">
        <v>0.002000235368175234</v>
      </c>
      <c r="G977" s="6" t="n">
        <v>1132.643058058176</v>
      </c>
      <c r="H977" s="6" t="n">
        <v>36.1160838285975</v>
      </c>
      <c r="I977" s="6" t="n">
        <v>110.0563048783292</v>
      </c>
    </row>
    <row r="978">
      <c r="A978" s="6" t="inlineStr">
        <is>
          <t>1 wt% Re | 250 C</t>
        </is>
      </c>
      <c r="B978" s="8" t="n">
        <v>0.186</v>
      </c>
      <c r="C978" s="6" t="n">
        <v>1588.304052361425</v>
      </c>
      <c r="D978" s="6" t="n">
        <v>75463.71338508089</v>
      </c>
      <c r="E978" s="8" t="n">
        <v>0.01289549232558168</v>
      </c>
      <c r="F978" s="8" t="n">
        <v>0.001987158128245211</v>
      </c>
      <c r="G978" s="6" t="n">
        <v>1135.540248606277</v>
      </c>
      <c r="H978" s="6" t="n">
        <v>36.19699472223503</v>
      </c>
      <c r="I978" s="6" t="n">
        <v>110.2522473048545</v>
      </c>
    </row>
    <row r="979">
      <c r="A979" s="6" t="inlineStr">
        <is>
          <t>1 wt% Re | 250 C</t>
        </is>
      </c>
      <c r="B979" s="8" t="n">
        <v>0.187</v>
      </c>
      <c r="C979" s="6" t="n">
        <v>1592.037262951753</v>
      </c>
      <c r="D979" s="6" t="n">
        <v>75365.6226713817</v>
      </c>
      <c r="E979" s="8" t="n">
        <v>0.01283759753801459</v>
      </c>
      <c r="F979" s="8" t="n">
        <v>0.001974219226057397</v>
      </c>
      <c r="G979" s="6" t="n">
        <v>1138.437439154379</v>
      </c>
      <c r="H979" s="6" t="n">
        <v>36.2779061938999</v>
      </c>
      <c r="I979" s="6" t="n">
        <v>110.4478962050031</v>
      </c>
    </row>
    <row r="980">
      <c r="A980" s="6" t="inlineStr">
        <is>
          <t>1 wt% Re | 250 C</t>
        </is>
      </c>
      <c r="B980" s="8" t="n">
        <v>0.188</v>
      </c>
      <c r="C980" s="6" t="n">
        <v>1595.770189626554</v>
      </c>
      <c r="D980" s="6" t="n">
        <v>75267.60240139114</v>
      </c>
      <c r="E980" s="8" t="n">
        <v>0.01278031196885222</v>
      </c>
      <c r="F980" s="8" t="n">
        <v>0.00196141647804997</v>
      </c>
      <c r="G980" s="6" t="n">
        <v>1141.334629702481</v>
      </c>
      <c r="H980" s="6" t="n">
        <v>36.35881823436822</v>
      </c>
      <c r="I980" s="6" t="n">
        <v>110.6432534374023</v>
      </c>
    </row>
    <row r="981">
      <c r="A981" s="6" t="inlineStr">
        <is>
          <t>1 wt% Re | 250 C</t>
        </is>
      </c>
      <c r="B981" s="8" t="n">
        <v>0.189</v>
      </c>
      <c r="C981" s="6" t="n">
        <v>1599.502834167991</v>
      </c>
      <c r="D981" s="6" t="n">
        <v>75169.65145695506</v>
      </c>
      <c r="E981" s="8" t="n">
        <v>0.01272362605234944</v>
      </c>
      <c r="F981" s="8" t="n">
        <v>0.001948747746375188</v>
      </c>
      <c r="G981" s="6" t="n">
        <v>1144.231820250583</v>
      </c>
      <c r="H981" s="6" t="n">
        <v>36.43973083461142</v>
      </c>
      <c r="I981" s="6" t="n">
        <v>110.83832083909</v>
      </c>
    </row>
    <row r="982">
      <c r="A982" s="6" t="inlineStr">
        <is>
          <t>1 wt% Re | 250 C</t>
        </is>
      </c>
      <c r="B982" s="8" t="n">
        <v>0.19</v>
      </c>
      <c r="C982" s="6" t="n">
        <v>1603.235198337725</v>
      </c>
      <c r="D982" s="6" t="n">
        <v>75071.76874345948</v>
      </c>
      <c r="E982" s="8" t="n">
        <v>0.01266753042198261</v>
      </c>
      <c r="F982" s="8" t="n">
        <v>0.001936210937709312</v>
      </c>
      <c r="G982" s="6" t="n">
        <v>1147.129010798685</v>
      </c>
      <c r="H982" s="6" t="n">
        <v>36.52064398579088</v>
      </c>
      <c r="I982" s="6" t="n">
        <v>111.0331002258779</v>
      </c>
    </row>
    <row r="983">
      <c r="A983" s="6" t="inlineStr">
        <is>
          <t>1 wt% Re | 250 C</t>
        </is>
      </c>
      <c r="B983" s="8" t="n">
        <v>0.191</v>
      </c>
      <c r="C983" s="6" t="n">
        <v>1606.967283877266</v>
      </c>
      <c r="D983" s="6" t="n">
        <v>74973.95318921418</v>
      </c>
      <c r="E983" s="8" t="n">
        <v>0.01261201590529008</v>
      </c>
      <c r="F983" s="8" t="n">
        <v>0.001923804002099504</v>
      </c>
      <c r="G983" s="6" t="n">
        <v>1150.026201346787</v>
      </c>
      <c r="H983" s="6" t="n">
        <v>36.60155767925322</v>
      </c>
      <c r="I983" s="6" t="n">
        <v>111.2275933927087</v>
      </c>
    </row>
    <row r="984">
      <c r="A984" s="6" t="inlineStr">
        <is>
          <t>1 wt% Re | 250 C</t>
        </is>
      </c>
      <c r="B984" s="8" t="n">
        <v>0.192</v>
      </c>
      <c r="C984" s="6" t="n">
        <v>1610.699092508303</v>
      </c>
      <c r="D984" s="6" t="n">
        <v>74876.2037448559</v>
      </c>
      <c r="E984" s="8" t="n">
        <v>0.01255707351887221</v>
      </c>
      <c r="F984" s="8" t="n">
        <v>0.001911524931846384</v>
      </c>
      <c r="G984" s="6" t="n">
        <v>1152.923391894888</v>
      </c>
      <c r="H984" s="6" t="n">
        <v>36.6824719065252</v>
      </c>
      <c r="I984" s="6" t="n">
        <v>111.4218021140042</v>
      </c>
    </row>
    <row r="985">
      <c r="A985" s="6" t="inlineStr">
        <is>
          <t>1 wt% Re | 250 C</t>
        </is>
      </c>
      <c r="B985" s="8" t="n">
        <v>0.193</v>
      </c>
      <c r="C985" s="6" t="n">
        <v>1614.430625933037</v>
      </c>
      <c r="D985" s="6" t="n">
        <v>74778.51938276984</v>
      </c>
      <c r="E985" s="8" t="n">
        <v>0.01250269446354518</v>
      </c>
      <c r="F985" s="8" t="n">
        <v>0.001899371760420947</v>
      </c>
      <c r="G985" s="6" t="n">
        <v>1155.82058244299</v>
      </c>
      <c r="H985" s="6" t="n">
        <v>36.76338665930934</v>
      </c>
      <c r="I985" s="6" t="n">
        <v>111.6157281440061</v>
      </c>
    </row>
    <row r="986">
      <c r="A986" s="6" t="inlineStr">
        <is>
          <t>1 wt% Re | 250 C</t>
        </is>
      </c>
      <c r="B986" s="8" t="n">
        <v>0.194</v>
      </c>
      <c r="C986" s="6" t="n">
        <v>1618.161885834489</v>
      </c>
      <c r="D986" s="6" t="n">
        <v>74680.89909652907</v>
      </c>
      <c r="E986" s="8" t="n">
        <v>0.01244887011964311</v>
      </c>
      <c r="F986" s="8" t="n">
        <v>0.001887342561414645</v>
      </c>
      <c r="G986" s="6" t="n">
        <v>1158.717772991092</v>
      </c>
      <c r="H986" s="6" t="n">
        <v>36.84430192947909</v>
      </c>
      <c r="I986" s="6" t="n">
        <v>111.8093732171095</v>
      </c>
    </row>
    <row r="987">
      <c r="A987" s="6" t="inlineStr">
        <is>
          <t>1 wt% Re | 250 C</t>
        </is>
      </c>
      <c r="B987" s="8" t="n">
        <v>0.195</v>
      </c>
      <c r="C987" s="6" t="n">
        <v>1621.892873876829</v>
      </c>
      <c r="D987" s="6" t="n">
        <v>74583.34190035137</v>
      </c>
      <c r="E987" s="8" t="n">
        <v>0.01239559204246319</v>
      </c>
      <c r="F987" s="8" t="n">
        <v>0.001875435447521415</v>
      </c>
      <c r="G987" s="6" t="n">
        <v>1161.614963539194</v>
      </c>
      <c r="H987" s="6" t="n">
        <v>36.92521770907474</v>
      </c>
      <c r="I987" s="6" t="n">
        <v>112.0027390481895</v>
      </c>
    </row>
    <row r="988">
      <c r="A988" s="6" t="inlineStr">
        <is>
          <t>1 wt% Re | 250 C</t>
        </is>
      </c>
      <c r="B988" s="8" t="n">
        <v>0.196</v>
      </c>
      <c r="C988" s="6" t="n">
        <v>1625.623591705671</v>
      </c>
      <c r="D988" s="6" t="n">
        <v>74485.84682857252</v>
      </c>
      <c r="E988" s="8" t="n">
        <v>0.01234285195784885</v>
      </c>
      <c r="F988" s="8" t="n">
        <v>0.001863648569550557</v>
      </c>
      <c r="G988" s="6" t="n">
        <v>1164.512154087296</v>
      </c>
      <c r="H988" s="6" t="n">
        <v>37.00613399029887</v>
      </c>
      <c r="I988" s="6" t="n">
        <v>112.1958273329201</v>
      </c>
    </row>
    <row r="989">
      <c r="A989" s="6" t="inlineStr">
        <is>
          <t>1 wt% Re | 250 C</t>
        </is>
      </c>
      <c r="B989" s="8" t="n">
        <v>0.197</v>
      </c>
      <c r="C989" s="6" t="n">
        <v>1629.354040948381</v>
      </c>
      <c r="D989" s="6" t="n">
        <v>74388.41293513567</v>
      </c>
      <c r="E989" s="8" t="n">
        <v>0.01229064175790597</v>
      </c>
      <c r="F989" s="8" t="n">
        <v>0.001851980115469364</v>
      </c>
      <c r="G989" s="6" t="n">
        <v>1167.409344635398</v>
      </c>
      <c r="H989" s="6" t="n">
        <v>37.08705076551256</v>
      </c>
      <c r="I989" s="6" t="n">
        <v>112.3886397480872</v>
      </c>
    </row>
    <row r="990">
      <c r="A990" s="6" t="inlineStr">
        <is>
          <t>1 wt% Re | 250 C</t>
        </is>
      </c>
      <c r="B990" s="8" t="n">
        <v>0.198</v>
      </c>
      <c r="C990" s="6" t="n">
        <v>1633.084223214363</v>
      </c>
      <c r="D990" s="6" t="n">
        <v>74291.03929309628</v>
      </c>
      <c r="E990" s="8" t="n">
        <v>0.01223895349684768</v>
      </c>
      <c r="F990" s="8" t="n">
        <v>0.001840428309474459</v>
      </c>
      <c r="G990" s="6" t="n">
        <v>1170.306535183499</v>
      </c>
      <c r="H990" s="6" t="n">
        <v>37.16796802723104</v>
      </c>
      <c r="I990" s="6" t="n">
        <v>112.581177951894</v>
      </c>
    </row>
    <row r="991">
      <c r="A991" s="6" t="inlineStr">
        <is>
          <t>1 wt% Re | 250 C</t>
        </is>
      </c>
      <c r="B991" s="8" t="n">
        <v>0.199</v>
      </c>
      <c r="C991" s="6" t="n">
        <v>1636.814140095356</v>
      </c>
      <c r="D991" s="6" t="n">
        <v>74193.72499414175</v>
      </c>
      <c r="E991" s="8" t="n">
        <v>0.01218777938696308</v>
      </c>
      <c r="F991" s="8" t="n">
        <v>0.001828991411090852</v>
      </c>
      <c r="G991" s="6" t="n">
        <v>1173.203725731601</v>
      </c>
      <c r="H991" s="6" t="n">
        <v>37.24888576812013</v>
      </c>
      <c r="I991" s="6" t="n">
        <v>112.7734435842609</v>
      </c>
    </row>
    <row r="992">
      <c r="A992" s="6" t="inlineStr">
        <is>
          <t>1 wt% Re | 250 C</t>
        </is>
      </c>
      <c r="B992" s="8" t="n">
        <v>0.2</v>
      </c>
      <c r="C992" s="6" t="n">
        <v>1640.543793165709</v>
      </c>
      <c r="D992" s="6" t="n">
        <v>74096.46914812591</v>
      </c>
      <c r="E992" s="8" t="n">
        <v>0.01213711179470562</v>
      </c>
      <c r="F992" s="8" t="n">
        <v>0.001817667714297742</v>
      </c>
      <c r="G992" s="6" t="n">
        <v>1176.100916279703</v>
      </c>
      <c r="H992" s="6" t="n">
        <v>37.32980398099222</v>
      </c>
      <c r="I992" s="6" t="n">
        <v>112.9654382671185</v>
      </c>
    </row>
    <row r="993">
      <c r="A993" s="6" t="inlineStr">
        <is>
          <t>1 wt% Re | 250 C</t>
        </is>
      </c>
      <c r="B993" s="8" t="n">
        <v>0.201</v>
      </c>
      <c r="C993" s="6" t="n">
        <v>1644.273183982662</v>
      </c>
      <c r="D993" s="6" t="n">
        <v>73999.27088261675</v>
      </c>
      <c r="E993" s="8" t="n">
        <v>0.01208694323689719</v>
      </c>
      <c r="F993" s="8" t="n">
        <v>0.001806455546680153</v>
      </c>
      <c r="G993" s="6" t="n">
        <v>1178.998106827805</v>
      </c>
      <c r="H993" s="6" t="n">
        <v>37.41072265880284</v>
      </c>
      <c r="I993" s="6" t="n">
        <v>113.1571636046943</v>
      </c>
    </row>
    <row r="994">
      <c r="A994" s="6" t="inlineStr">
        <is>
          <t>1 wt% Re | 250 C</t>
        </is>
      </c>
      <c r="B994" s="8" t="n">
        <v>0.202</v>
      </c>
      <c r="C994" s="6" t="n">
        <v>1648.002314086609</v>
      </c>
      <c r="D994" s="6" t="n">
        <v>73902.12934245825</v>
      </c>
      <c r="E994" s="8" t="n">
        <v>0.01203726637704372</v>
      </c>
      <c r="F994" s="8" t="n">
        <v>0.001795353268605519</v>
      </c>
      <c r="G994" s="6" t="n">
        <v>1181.895297375907</v>
      </c>
      <c r="H994" s="6" t="n">
        <v>37.49164179464691</v>
      </c>
      <c r="I994" s="6" t="n">
        <v>113.3486211837944</v>
      </c>
    </row>
    <row r="995">
      <c r="A995" s="6" t="inlineStr">
        <is>
          <t>1 wt% Re | 250 C</t>
        </is>
      </c>
      <c r="B995" s="8" t="n">
        <v>0.203</v>
      </c>
      <c r="C995" s="6" t="n">
        <v>1651.73118500137</v>
      </c>
      <c r="D995" s="6" t="n">
        <v>73805.04368934476</v>
      </c>
      <c r="E995" s="8" t="n">
        <v>0.0119880740217586</v>
      </c>
      <c r="F995" s="8" t="n">
        <v>0.001784359272424349</v>
      </c>
      <c r="G995" s="6" t="n">
        <v>1184.792487924009</v>
      </c>
      <c r="H995" s="6" t="n">
        <v>37.5725613817555</v>
      </c>
      <c r="I995" s="6" t="n">
        <v>113.5398125740781</v>
      </c>
    </row>
    <row r="996">
      <c r="A996" s="6" t="inlineStr">
        <is>
          <t>1 wt% Re | 250 C</t>
        </is>
      </c>
      <c r="B996" s="8" t="n">
        <v>0.204</v>
      </c>
      <c r="C996" s="6" t="n">
        <v>1655.459798234448</v>
      </c>
      <c r="D996" s="6" t="n">
        <v>73708.01310140798</v>
      </c>
      <c r="E996" s="8" t="n">
        <v>0.01193935911729029</v>
      </c>
      <c r="F996" s="8" t="n">
        <v>0.001773471981694182</v>
      </c>
      <c r="G996" s="6" t="n">
        <v>1187.68967847211</v>
      </c>
      <c r="H996" s="6" t="n">
        <v>37.65348141349234</v>
      </c>
      <c r="I996" s="6" t="n">
        <v>113.7307393283278</v>
      </c>
    </row>
    <row r="997">
      <c r="A997" s="6" t="inlineStr">
        <is>
          <t>1 wt% Re | 250 C</t>
        </is>
      </c>
      <c r="B997" s="8" t="n">
        <v>0.205</v>
      </c>
      <c r="C997" s="6" t="n">
        <v>1659.188155277281</v>
      </c>
      <c r="D997" s="6" t="n">
        <v>73611.03677281603</v>
      </c>
      <c r="E997" s="8" t="n">
        <v>0.01189111474615043</v>
      </c>
      <c r="F997" s="8" t="n">
        <v>0.001762689850426013</v>
      </c>
      <c r="G997" s="6" t="n">
        <v>1190.586869020212</v>
      </c>
      <c r="H997" s="6" t="n">
        <v>37.73440188335069</v>
      </c>
      <c r="I997" s="6" t="n">
        <v>113.9214029827132</v>
      </c>
    </row>
    <row r="998">
      <c r="A998" s="6" t="inlineStr">
        <is>
          <t>1 wt% Re | 250 C</t>
        </is>
      </c>
      <c r="B998" s="8" t="n">
        <v>0.206</v>
      </c>
      <c r="C998" s="6" t="n">
        <v>1662.916257605493</v>
      </c>
      <c r="D998" s="6" t="n">
        <v>73514.11391338427</v>
      </c>
      <c r="E998" s="8" t="n">
        <v>0.01184333412383939</v>
      </c>
      <c r="F998" s="8" t="n">
        <v>0.001752011362352471</v>
      </c>
      <c r="G998" s="6" t="n">
        <v>1193.484059568314</v>
      </c>
      <c r="H998" s="6" t="n">
        <v>37.81532278495015</v>
      </c>
      <c r="I998" s="6" t="n">
        <v>114.1118050570494</v>
      </c>
    </row>
    <row r="999">
      <c r="A999" s="6" t="inlineStr">
        <is>
          <t>1 wt% Re | 250 C</t>
        </is>
      </c>
      <c r="B999" s="8" t="n">
        <v>0.207</v>
      </c>
      <c r="C999" s="6" t="n">
        <v>1666.644106679139</v>
      </c>
      <c r="D999" s="6" t="n">
        <v>73417.24374819735</v>
      </c>
      <c r="E999" s="8" t="n">
        <v>0.01179601059566554</v>
      </c>
      <c r="F999" s="8" t="n">
        <v>0.001741435030216972</v>
      </c>
      <c r="G999" s="6" t="n">
        <v>1196.381250116416</v>
      </c>
      <c r="H999" s="6" t="n">
        <v>37.89624411203359</v>
      </c>
      <c r="I999" s="6" t="n">
        <v>114.3019470550509</v>
      </c>
    </row>
    <row r="1000">
      <c r="A1000" s="6" t="inlineStr">
        <is>
          <t>1 wt% Re | 250 C</t>
        </is>
      </c>
      <c r="B1000" s="8" t="n">
        <v>0.208</v>
      </c>
      <c r="C1000" s="6" t="n">
        <v>1670.371703942937</v>
      </c>
      <c r="D1000" s="6" t="n">
        <v>73320.42551724211</v>
      </c>
      <c r="E1000" s="8" t="n">
        <v>0.01174913763365559</v>
      </c>
      <c r="F1000" s="8" t="n">
        <v>0.001730959395083205</v>
      </c>
      <c r="G1000" s="6" t="n">
        <v>1199.278440664517</v>
      </c>
      <c r="H1000" s="6" t="n">
        <v>37.97716585846421</v>
      </c>
      <c r="I1000" s="6" t="n">
        <v>114.4918304645794</v>
      </c>
    </row>
    <row r="1001">
      <c r="A1001" s="6" t="inlineStr">
        <is>
          <t>1 wt% Re | 250 C</t>
        </is>
      </c>
      <c r="B1001" s="8" t="n">
        <v>0.209</v>
      </c>
      <c r="C1001" s="6" t="n">
        <v>1674.099050826513</v>
      </c>
      <c r="D1001" s="6" t="n">
        <v>73223.65847505114</v>
      </c>
      <c r="E1001" s="8" t="n">
        <v>0.01170270883355265</v>
      </c>
      <c r="F1001" s="8" t="n">
        <v>0.001720583025664228</v>
      </c>
      <c r="G1001" s="6" t="n">
        <v>1202.175631212619</v>
      </c>
      <c r="H1001" s="6" t="n">
        <v>38.05808801822268</v>
      </c>
      <c r="I1001" s="6" t="n">
        <v>114.6814567578874</v>
      </c>
    </row>
    <row r="1002">
      <c r="A1002" s="6" t="inlineStr">
        <is>
          <t>1 wt% Re | 250 C</t>
        </is>
      </c>
      <c r="B1002" s="8" t="n">
        <v>0.21</v>
      </c>
      <c r="C1002" s="6" t="n">
        <v>1677.826148744622</v>
      </c>
      <c r="D1002" s="6" t="n">
        <v>73126.94189035635</v>
      </c>
      <c r="E1002" s="8" t="n">
        <v>0.01165671791189927</v>
      </c>
      <c r="F1002" s="8" t="n">
        <v>0.001710304517670552</v>
      </c>
      <c r="G1002" s="6" t="n">
        <v>1205.072821760721</v>
      </c>
      <c r="H1002" s="6" t="n">
        <v>38.13901058540434</v>
      </c>
      <c r="I1002" s="6" t="n">
        <v>114.8708273918565</v>
      </c>
    </row>
    <row r="1003">
      <c r="A1003" s="6" t="inlineStr">
        <is>
          <t>1 wt% Re | 250 C</t>
        </is>
      </c>
      <c r="B1003" s="8" t="n">
        <v>0.211</v>
      </c>
      <c r="C1003" s="6" t="n">
        <v>1681.552999097376</v>
      </c>
      <c r="D1003" s="6" t="n">
        <v>73030.2750457526</v>
      </c>
      <c r="E1003" s="8" t="n">
        <v>0.01161115870320255</v>
      </c>
      <c r="F1003" s="8" t="n">
        <v>0.001700122493176586</v>
      </c>
      <c r="G1003" s="6" t="n">
        <v>1207.970012308823</v>
      </c>
      <c r="H1003" s="6" t="n">
        <v>38.21993355421642</v>
      </c>
      <c r="I1003" s="6" t="n">
        <v>115.059943808231</v>
      </c>
    </row>
    <row r="1004">
      <c r="A1004" s="6" t="inlineStr">
        <is>
          <t>1 wt% Re | 250 C</t>
        </is>
      </c>
      <c r="B1004" s="8" t="n">
        <v>0.212</v>
      </c>
      <c r="C1004" s="6" t="n">
        <v>1685.279603270463</v>
      </c>
      <c r="D1004" s="6" t="n">
        <v>72933.65723737064</v>
      </c>
      <c r="E1004" s="8" t="n">
        <v>0.01156602515717881</v>
      </c>
      <c r="F1004" s="8" t="n">
        <v>0.001690035600004839</v>
      </c>
      <c r="G1004" s="6" t="n">
        <v>1210.867202856925</v>
      </c>
      <c r="H1004" s="6" t="n">
        <v>38.30085691897547</v>
      </c>
      <c r="I1004" s="6" t="n">
        <v>115.2488074338468</v>
      </c>
    </row>
    <row r="1005">
      <c r="A1005" s="6" t="inlineStr">
        <is>
          <t>1 wt% Re | 250 C</t>
        </is>
      </c>
      <c r="B1005" s="8" t="n">
        <v>0.213</v>
      </c>
      <c r="C1005" s="6" t="n">
        <v>1689.005962635366</v>
      </c>
      <c r="D1005" s="6" t="n">
        <v>72837.08777455951</v>
      </c>
      <c r="E1005" s="8" t="n">
        <v>0.0115213113360751</v>
      </c>
      <c r="F1005" s="8" t="n">
        <v>0.001680042511127296</v>
      </c>
      <c r="G1005" s="6" t="n">
        <v>1213.764393405027</v>
      </c>
      <c r="H1005" s="6" t="n">
        <v>38.38178067410477</v>
      </c>
      <c r="I1005" s="6" t="n">
        <v>115.4374196808563</v>
      </c>
    </row>
    <row r="1006">
      <c r="A1006" s="6" t="inlineStr">
        <is>
          <t>1 wt% Re | 250 C</t>
        </is>
      </c>
      <c r="B1006" s="8" t="n">
        <v>0.214</v>
      </c>
      <c r="C1006" s="6" t="n">
        <v>1692.732078549572</v>
      </c>
      <c r="D1006" s="6" t="n">
        <v>72740.56597957754</v>
      </c>
      <c r="E1006" s="8" t="n">
        <v>0.011477011412065</v>
      </c>
      <c r="F1006" s="8" t="n">
        <v>0.001670141924083429</v>
      </c>
      <c r="G1006" s="6" t="n">
        <v>1216.661583953128</v>
      </c>
      <c r="H1006" s="6" t="n">
        <v>38.46270481413186</v>
      </c>
      <c r="I1006" s="6" t="n">
        <v>115.6257819469482</v>
      </c>
    </row>
    <row r="1007">
      <c r="A1007" s="6" t="inlineStr">
        <is>
          <t>1 wt% Re | 250 C</t>
        </is>
      </c>
      <c r="B1007" s="8" t="n">
        <v>0.215</v>
      </c>
      <c r="C1007" s="6" t="n">
        <v>1696.457952356783</v>
      </c>
      <c r="D1007" s="6" t="n">
        <v>72644.09118729222</v>
      </c>
      <c r="E1007" s="8" t="n">
        <v>0.01143311966471657</v>
      </c>
      <c r="F1007" s="8" t="n">
        <v>0.001660332560414283</v>
      </c>
      <c r="G1007" s="6" t="n">
        <v>1219.55877450123</v>
      </c>
      <c r="H1007" s="6" t="n">
        <v>38.54362933368605</v>
      </c>
      <c r="I1007" s="6" t="n">
        <v>115.813895615563</v>
      </c>
    </row>
    <row r="1008">
      <c r="A1008" s="6" t="inlineStr">
        <is>
          <t>1 wt% Re | 250 C</t>
        </is>
      </c>
      <c r="B1008" s="8" t="n">
        <v>0.216</v>
      </c>
      <c r="C1008" s="6" t="n">
        <v>1700.183585387115</v>
      </c>
      <c r="D1008" s="6" t="n">
        <v>72547.66274488831</v>
      </c>
      <c r="E1008" s="8" t="n">
        <v>0.01138963047852982</v>
      </c>
      <c r="F1008" s="8" t="n">
        <v>0.001650613165112144</v>
      </c>
      <c r="G1008" s="6" t="n">
        <v>1222.455965049332</v>
      </c>
      <c r="H1008" s="6" t="n">
        <v>38.62455422749615</v>
      </c>
      <c r="I1008" s="6" t="n">
        <v>116.0017620561052</v>
      </c>
    </row>
    <row r="1009">
      <c r="A1009" s="6" t="inlineStr">
        <is>
          <t>1 wt% Re | 250 C</t>
        </is>
      </c>
      <c r="B1009" s="8" t="n">
        <v>0.217</v>
      </c>
      <c r="C1009" s="6" t="n">
        <v>1703.908978957304</v>
      </c>
      <c r="D1009" s="6" t="n">
        <v>72451.28001158408</v>
      </c>
      <c r="E1009" s="8" t="n">
        <v>0.01134653834054171</v>
      </c>
      <c r="F1009" s="8" t="n">
        <v>0.001640982506085271</v>
      </c>
      <c r="G1009" s="6" t="n">
        <v>1225.353155597434</v>
      </c>
      <c r="H1009" s="6" t="n">
        <v>38.7054794903881</v>
      </c>
      <c r="I1009" s="6" t="n">
        <v>116.1893826241503</v>
      </c>
    </row>
    <row r="1010">
      <c r="A1010" s="6" t="inlineStr">
        <is>
          <t>1 wt% Re | 250 C</t>
        </is>
      </c>
      <c r="B1010" s="8" t="n">
        <v>0.218</v>
      </c>
      <c r="C1010" s="6" t="n">
        <v>1707.634134370894</v>
      </c>
      <c r="D1010" s="6" t="n">
        <v>72354.9423583552</v>
      </c>
      <c r="E1010" s="8" t="n">
        <v>0.01130383783799641</v>
      </c>
      <c r="F1010" s="8" t="n">
        <v>0.001631439373637229</v>
      </c>
      <c r="G1010" s="6" t="n">
        <v>1228.250346145536</v>
      </c>
      <c r="H1010" s="6" t="n">
        <v>38.7864051172828</v>
      </c>
      <c r="I1010" s="6" t="n">
        <v>116.3767586616483</v>
      </c>
    </row>
    <row r="1011">
      <c r="A1011" s="6" t="inlineStr">
        <is>
          <t>1 wt% Re | 250 C</t>
        </is>
      </c>
      <c r="B1011" s="8" t="n">
        <v>0.219</v>
      </c>
      <c r="C1011" s="6" t="n">
        <v>1711.359052918439</v>
      </c>
      <c r="D1011" s="6" t="n">
        <v>72258.64916766637</v>
      </c>
      <c r="E1011" s="8" t="n">
        <v>0.01126152365607886</v>
      </c>
      <c r="F1011" s="8" t="n">
        <v>0.001621982579960352</v>
      </c>
      <c r="G1011" s="6" t="n">
        <v>1231.147536693637</v>
      </c>
      <c r="H1011" s="6" t="n">
        <v>38.86733110319391</v>
      </c>
      <c r="I1011" s="6" t="n">
        <v>116.5638914971234</v>
      </c>
    </row>
    <row r="1012">
      <c r="A1012" s="6" t="inlineStr">
        <is>
          <t>1 wt% Re | 250 C</t>
        </is>
      </c>
      <c r="B1012" s="8" t="n">
        <v>0.22</v>
      </c>
      <c r="C1012" s="6" t="n">
        <v>1715.083735877684</v>
      </c>
      <c r="D1012" s="6" t="n">
        <v>72162.39983321026</v>
      </c>
      <c r="E1012" s="8" t="n">
        <v>0.01121959057570943</v>
      </c>
      <c r="F1012" s="8" t="n">
        <v>0.001612610958642888</v>
      </c>
      <c r="G1012" s="6" t="n">
        <v>1234.044727241739</v>
      </c>
      <c r="H1012" s="6" t="n">
        <v>38.94825744322576</v>
      </c>
      <c r="I1012" s="6" t="n">
        <v>116.7507824458698</v>
      </c>
    </row>
    <row r="1013">
      <c r="A1013" s="6" t="inlineStr">
        <is>
          <t>1 wt% Re | 250 C</t>
        </is>
      </c>
      <c r="B1013" s="8" t="n">
        <v>0.221</v>
      </c>
      <c r="C1013" s="6" t="n">
        <v>1718.808184513752</v>
      </c>
      <c r="D1013" s="6" t="n">
        <v>72066.19375965338</v>
      </c>
      <c r="E1013" s="8" t="n">
        <v>0.01117803347139806</v>
      </c>
      <c r="F1013" s="8" t="n">
        <v>0.001603323364189408</v>
      </c>
      <c r="G1013" s="6" t="n">
        <v>1236.941917789841</v>
      </c>
      <c r="H1013" s="6" t="n">
        <v>39.02918413257125</v>
      </c>
      <c r="I1013" s="6" t="n">
        <v>116.9374328101431</v>
      </c>
    </row>
    <row r="1014">
      <c r="A1014" s="6" t="inlineStr">
        <is>
          <t>1 wt% Re | 250 C</t>
        </is>
      </c>
      <c r="B1014" s="8" t="n">
        <v>0.222</v>
      </c>
      <c r="C1014" s="6" t="n">
        <v>1722.532400079327</v>
      </c>
      <c r="D1014" s="6" t="n">
        <v>71970.03036238899</v>
      </c>
      <c r="E1014" s="8" t="n">
        <v>0.01113684730915577</v>
      </c>
      <c r="F1014" s="8" t="n">
        <v>0.001594118671554051</v>
      </c>
      <c r="G1014" s="6" t="n">
        <v>1239.839108337943</v>
      </c>
      <c r="H1014" s="6" t="n">
        <v>39.11011116650995</v>
      </c>
      <c r="I1014" s="6" t="n">
        <v>117.1238438793496</v>
      </c>
    </row>
    <row r="1015">
      <c r="A1015" s="6" t="inlineStr">
        <is>
          <t>1 wt% Re | 250 C</t>
        </is>
      </c>
      <c r="B1015" s="8" t="n">
        <v>0.223</v>
      </c>
      <c r="C1015" s="6" t="n">
        <v>1726.256383814833</v>
      </c>
      <c r="D1015" s="6" t="n">
        <v>71873.90906729655</v>
      </c>
      <c r="E1015" s="8" t="n">
        <v>0.01109602714446186</v>
      </c>
      <c r="F1015" s="8" t="n">
        <v>0.001584995775686217</v>
      </c>
      <c r="G1015" s="6" t="n">
        <v>1242.736298886045</v>
      </c>
      <c r="H1015" s="6" t="n">
        <v>39.19103854040608</v>
      </c>
      <c r="I1015" s="6" t="n">
        <v>117.3100169302304</v>
      </c>
    </row>
    <row r="1016">
      <c r="A1016" s="6" t="inlineStr">
        <is>
          <t>1 wt% Re | 250 C</t>
        </is>
      </c>
      <c r="B1016" s="8" t="n">
        <v>0.224</v>
      </c>
      <c r="C1016" s="6" t="n">
        <v>1729.980136948604</v>
      </c>
      <c r="D1016" s="6" t="n">
        <v>71777.82931050772</v>
      </c>
      <c r="E1016" s="8" t="n">
        <v>0.01105556812028507</v>
      </c>
      <c r="F1016" s="8" t="n">
        <v>0.001575953591088317</v>
      </c>
      <c r="G1016" s="6" t="n">
        <v>1245.633489434147</v>
      </c>
      <c r="H1016" s="6" t="n">
        <v>39.27196624970663</v>
      </c>
      <c r="I1016" s="6" t="n">
        <v>117.4959532270429</v>
      </c>
    </row>
    <row r="1017">
      <c r="A1017" s="6" t="inlineStr">
        <is>
          <t>1 wt% Re | 250 C</t>
        </is>
      </c>
      <c r="B1017" s="8" t="n">
        <v>0.225</v>
      </c>
      <c r="C1017" s="6" t="n">
        <v>1733.70366069706</v>
      </c>
      <c r="D1017" s="6" t="n">
        <v>71681.79053817839</v>
      </c>
      <c r="E1017" s="8" t="n">
        <v>0.01101546546515704</v>
      </c>
      <c r="F1017" s="8" t="n">
        <v>0.001566991051385207</v>
      </c>
      <c r="G1017" s="6" t="n">
        <v>1248.530679982249</v>
      </c>
      <c r="H1017" s="6" t="n">
        <v>39.35289428993956</v>
      </c>
      <c r="I1017" s="6" t="n">
        <v>117.6816540217388</v>
      </c>
    </row>
    <row r="1018">
      <c r="A1018" s="6" t="inlineStr">
        <is>
          <t>1 wt% Re | 250 C</t>
        </is>
      </c>
      <c r="B1018" s="8" t="n">
        <v>0.226</v>
      </c>
      <c r="C1018" s="6" t="n">
        <v>1737.426956264875</v>
      </c>
      <c r="D1018" s="6" t="n">
        <v>71585.7922062671</v>
      </c>
      <c r="E1018" s="8" t="n">
        <v>0.01097571449129643</v>
      </c>
      <c r="F1018" s="8" t="n">
        <v>0.001558107108904951</v>
      </c>
      <c r="G1018" s="6" t="n">
        <v>1251.42787053035</v>
      </c>
      <c r="H1018" s="6" t="n">
        <v>39.43382265671193</v>
      </c>
      <c r="I1018" s="6" t="n">
        <v>117.8671205541388</v>
      </c>
    </row>
    <row r="1019">
      <c r="A1019" s="6" t="inlineStr">
        <is>
          <t>1 wt% Re | 250 C</t>
        </is>
      </c>
      <c r="B1019" s="8" t="n">
        <v>0.227</v>
      </c>
      <c r="C1019" s="6" t="n">
        <v>1741.150024845139</v>
      </c>
      <c r="D1019" s="6" t="n">
        <v>71489.83378031899</v>
      </c>
      <c r="E1019" s="8" t="n">
        <v>0.01093631059278222</v>
      </c>
      <c r="F1019" s="8" t="n">
        <v>0.001549300734270566</v>
      </c>
      <c r="G1019" s="6" t="n">
        <v>1254.325061078452</v>
      </c>
      <c r="H1019" s="6" t="n">
        <v>39.51475134570826</v>
      </c>
      <c r="I1019" s="6" t="n">
        <v>118.0523540521036</v>
      </c>
    </row>
    <row r="1020">
      <c r="A1020" s="6" t="inlineStr">
        <is>
          <t>1 wt% Re | 250 C</t>
        </is>
      </c>
      <c r="B1020" s="8" t="n">
        <v>0.228</v>
      </c>
      <c r="C1020" s="6" t="n">
        <v>1744.872867619524</v>
      </c>
      <c r="D1020" s="6" t="n">
        <v>71393.9147352556</v>
      </c>
      <c r="E1020" s="8" t="n">
        <v>0.01089724924377457</v>
      </c>
      <c r="F1020" s="8" t="n">
        <v>0.001540570916002415</v>
      </c>
      <c r="G1020" s="6" t="n">
        <v>1257.222251626554</v>
      </c>
      <c r="H1020" s="6" t="n">
        <v>39.59568035268875</v>
      </c>
      <c r="I1020" s="6" t="n">
        <v>118.2373557317026</v>
      </c>
    </row>
    <row r="1021">
      <c r="A1021" s="6" t="inlineStr">
        <is>
          <t>1 wt% Re | 250 C</t>
        </is>
      </c>
      <c r="B1021" s="8" t="n">
        <v>0.229</v>
      </c>
      <c r="C1021" s="6" t="n">
        <v>1748.595485758441</v>
      </c>
      <c r="D1021" s="6" t="n">
        <v>71298.03455517012</v>
      </c>
      <c r="E1021" s="8" t="n">
        <v>0.01085852599678201</v>
      </c>
      <c r="F1021" s="8" t="n">
        <v>0.001531916660130923</v>
      </c>
      <c r="G1021" s="6" t="n">
        <v>1260.119442174656</v>
      </c>
      <c r="H1021" s="6" t="n">
        <v>39.67660967348768</v>
      </c>
      <c r="I1021" s="6" t="n">
        <v>118.4221267973786</v>
      </c>
    </row>
    <row r="1022">
      <c r="A1022" s="6" t="inlineStr">
        <is>
          <t>1 wt% Re | 250 C</t>
        </is>
      </c>
      <c r="B1022" s="8" t="n">
        <v>0.23</v>
      </c>
      <c r="C1022" s="6" t="n">
        <v>1752.317880421198</v>
      </c>
      <c r="D1022" s="6" t="n">
        <v>71202.19273312806</v>
      </c>
      <c r="E1022" s="8" t="n">
        <v>0.01082013648097326</v>
      </c>
      <c r="F1022" s="8" t="n">
        <v>0.001523336989819301</v>
      </c>
      <c r="G1022" s="6" t="n">
        <v>1263.016632722758</v>
      </c>
      <c r="H1022" s="6" t="n">
        <v>39.75753930401177</v>
      </c>
      <c r="I1022" s="6" t="n">
        <v>118.6066684421102</v>
      </c>
    </row>
    <row r="1023">
      <c r="A1023" s="6" t="inlineStr">
        <is>
          <t>1 wt% Re | 250 C</t>
        </is>
      </c>
      <c r="B1023" s="8" t="n">
        <v>0.231</v>
      </c>
      <c r="C1023" s="6" t="n">
        <v>1756.040052756152</v>
      </c>
      <c r="D1023" s="6" t="n">
        <v>71106.38877097305</v>
      </c>
      <c r="E1023" s="8" t="n">
        <v>0.01078207640053265</v>
      </c>
      <c r="F1023" s="8" t="n">
        <v>0.001514830944995998</v>
      </c>
      <c r="G1023" s="6" t="n">
        <v>1265.913823270859</v>
      </c>
      <c r="H1023" s="6" t="n">
        <v>39.83846924023861</v>
      </c>
      <c r="I1023" s="6" t="n">
        <v>118.7909818475709</v>
      </c>
    </row>
    <row r="1024">
      <c r="A1024" s="6" t="inlineStr">
        <is>
          <t>1 wt% Re | 250 C</t>
        </is>
      </c>
      <c r="B1024" s="8" t="n">
        <v>0.232</v>
      </c>
      <c r="C1024" s="6" t="n">
        <v>1759.76200390086</v>
      </c>
      <c r="D1024" s="6" t="n">
        <v>71010.62217913756</v>
      </c>
      <c r="E1024" s="8" t="n">
        <v>0.01074434153305767</v>
      </c>
      <c r="F1024" s="8" t="n">
        <v>0.001506397581996558</v>
      </c>
      <c r="G1024" s="6" t="n">
        <v>1268.811013818961</v>
      </c>
      <c r="H1024" s="6" t="n">
        <v>39.91939947821513</v>
      </c>
      <c r="I1024" s="6" t="n">
        <v>118.975068184285</v>
      </c>
    </row>
    <row r="1025">
      <c r="A1025" s="6" t="inlineStr">
        <is>
          <t>1 wt% Re | 250 C</t>
        </is>
      </c>
      <c r="B1025" s="8" t="n">
        <v>0.233</v>
      </c>
      <c r="C1025" s="6" t="n">
        <v>1763.483734982227</v>
      </c>
      <c r="D1025" s="6" t="n">
        <v>70914.89247645863</v>
      </c>
      <c r="E1025" s="8" t="n">
        <v>0.01070692772799738</v>
      </c>
      <c r="F1025" s="8" t="n">
        <v>0.001498035973214626</v>
      </c>
      <c r="G1025" s="6" t="n">
        <v>1271.708204367063</v>
      </c>
      <c r="H1025" s="6" t="n">
        <v>40.00033001405617</v>
      </c>
      <c r="I1025" s="6" t="n">
        <v>119.1589286117815</v>
      </c>
    </row>
    <row r="1026">
      <c r="A1026" s="6" t="inlineStr">
        <is>
          <t>1 wt% Re | 250 C</t>
        </is>
      </c>
      <c r="B1026" s="8" t="n">
        <v>0.234</v>
      </c>
      <c r="C1026" s="6" t="n">
        <v>1767.205247116652</v>
      </c>
      <c r="D1026" s="6" t="n">
        <v>70819.19918999843</v>
      </c>
      <c r="E1026" s="8" t="n">
        <v>0.01066983090513052</v>
      </c>
      <c r="F1026" s="8" t="n">
        <v>0.00148974520676183</v>
      </c>
      <c r="G1026" s="6" t="n">
        <v>1274.605394915165</v>
      </c>
      <c r="H1026" s="6" t="n">
        <v>40.08126084394292</v>
      </c>
      <c r="I1026" s="6" t="n">
        <v>119.3425642787443</v>
      </c>
    </row>
    <row r="1027">
      <c r="A1027" s="6" t="inlineStr">
        <is>
          <t>1 wt% Re | 250 C</t>
        </is>
      </c>
      <c r="B1027" s="8" t="n">
        <v>0.235</v>
      </c>
      <c r="C1027" s="6" t="n">
        <v>1770.926541410172</v>
      </c>
      <c r="D1027" s="6" t="n">
        <v>70723.54185486904</v>
      </c>
      <c r="E1027" s="8" t="n">
        <v>0.01063304705308216</v>
      </c>
      <c r="F1027" s="8" t="n">
        <v>0.001481524386136257</v>
      </c>
      <c r="G1027" s="6" t="n">
        <v>1277.502585463267</v>
      </c>
      <c r="H1027" s="6" t="n">
        <v>40.16219196412165</v>
      </c>
      <c r="I1027" s="6" t="n">
        <v>119.5259763231605</v>
      </c>
    </row>
    <row r="1028">
      <c r="A1028" s="6" t="inlineStr">
        <is>
          <t>1 wt% Re | 250 C</t>
        </is>
      </c>
      <c r="B1028" s="8" t="n">
        <v>0.236</v>
      </c>
      <c r="C1028" s="6" t="n">
        <v>1774.647618958598</v>
      </c>
      <c r="D1028" s="6" t="n">
        <v>70627.92001406198</v>
      </c>
      <c r="E1028" s="8" t="n">
        <v>0.01059657222787775</v>
      </c>
      <c r="F1028" s="8" t="n">
        <v>0.0014733726298993</v>
      </c>
      <c r="G1028" s="6" t="n">
        <v>1280.399776011368</v>
      </c>
      <c r="H1028" s="6" t="n">
        <v>40.24312337090216</v>
      </c>
      <c r="I1028" s="6" t="n">
        <v>119.7091658724657</v>
      </c>
    </row>
    <row r="1029">
      <c r="A1029" s="6" t="inlineStr">
        <is>
          <t>1 wt% Re | 250 C</t>
        </is>
      </c>
      <c r="B1029" s="8" t="n">
        <v>0.237</v>
      </c>
      <c r="C1029" s="6" t="n">
        <v>1778.368480847658</v>
      </c>
      <c r="D1029" s="6" t="n">
        <v>70532.33321828207</v>
      </c>
      <c r="E1029" s="8" t="n">
        <v>0.01056040255153343</v>
      </c>
      <c r="F1029" s="8" t="n">
        <v>0.001465289071360603</v>
      </c>
      <c r="G1029" s="6" t="n">
        <v>1283.29696655947</v>
      </c>
      <c r="H1029" s="6" t="n">
        <v>40.32405506065661</v>
      </c>
      <c r="I1029" s="6" t="n">
        <v>119.8921340436865</v>
      </c>
    </row>
    <row r="1030">
      <c r="A1030" s="6" t="inlineStr">
        <is>
          <t>1 wt% Re | 250 C</t>
        </is>
      </c>
      <c r="B1030" s="8" t="n">
        <v>0.238</v>
      </c>
      <c r="C1030" s="6" t="n">
        <v>1782.089128153127</v>
      </c>
      <c r="D1030" s="6" t="n">
        <v>70436.78102578527</v>
      </c>
      <c r="E1030" s="8" t="n">
        <v>0.01052453421068157</v>
      </c>
      <c r="F1030" s="8" t="n">
        <v>0.00145727285827089</v>
      </c>
      <c r="G1030" s="6" t="n">
        <v>1286.194157107572</v>
      </c>
      <c r="H1030" s="6" t="n">
        <v>40.40498702981809</v>
      </c>
      <c r="I1030" s="6" t="n">
        <v>120.0748819435808</v>
      </c>
    </row>
    <row r="1031">
      <c r="A1031" s="6" t="inlineStr">
        <is>
          <t>1 wt% Re | 250 C</t>
        </is>
      </c>
      <c r="B1031" s="8" t="n">
        <v>0.239</v>
      </c>
      <c r="C1031" s="6" t="n">
        <v>1785.809561940966</v>
      </c>
      <c r="D1031" s="6" t="n">
        <v>70341.26300222072</v>
      </c>
      <c r="E1031" s="8" t="n">
        <v>0.01048896345523052</v>
      </c>
      <c r="F1031" s="8" t="n">
        <v>0.001449323152522435</v>
      </c>
      <c r="G1031" s="6" t="n">
        <v>1289.091347655674</v>
      </c>
      <c r="H1031" s="6" t="n">
        <v>40.48591927487941</v>
      </c>
      <c r="I1031" s="6" t="n">
        <v>120.2574106687756</v>
      </c>
    </row>
    <row r="1032">
      <c r="A1032" s="6" t="inlineStr">
        <is>
          <t>1 wt% Re | 250 C</t>
        </is>
      </c>
      <c r="B1032" s="8" t="n">
        <v>0.24</v>
      </c>
      <c r="C1032" s="6" t="n">
        <v>1789.529783267443</v>
      </c>
      <c r="D1032" s="6" t="n">
        <v>70245.7787204768</v>
      </c>
      <c r="E1032" s="8" t="n">
        <v>0.01045368659705764</v>
      </c>
      <c r="F1032" s="8" t="n">
        <v>0.001441439129856953</v>
      </c>
      <c r="G1032" s="6" t="n">
        <v>1291.988538203776</v>
      </c>
      <c r="H1032" s="6" t="n">
        <v>40.56685179239182</v>
      </c>
      <c r="I1032" s="6" t="n">
        <v>120.4397213059023</v>
      </c>
    </row>
    <row r="1033">
      <c r="A1033" s="6" t="inlineStr">
        <is>
          <t>1 wt% Re | 250 C</t>
        </is>
      </c>
      <c r="B1033" s="8" t="n">
        <v>0.241</v>
      </c>
      <c r="C1033" s="6" t="n">
        <v>1793.249793179278</v>
      </c>
      <c r="D1033" s="6" t="n">
        <v>70150.3277605308</v>
      </c>
      <c r="E1033" s="8" t="n">
        <v>0.0104187000087345</v>
      </c>
      <c r="F1033" s="8" t="n">
        <v>0.001433619979580707</v>
      </c>
      <c r="G1033" s="6" t="n">
        <v>1294.885728751878</v>
      </c>
      <c r="H1033" s="6" t="n">
        <v>40.64778457896381</v>
      </c>
      <c r="I1033" s="6" t="n">
        <v>120.6218149317296</v>
      </c>
    </row>
    <row r="1034">
      <c r="A1034" s="6" t="inlineStr">
        <is>
          <t>1 wt% Re | 250 C</t>
        </is>
      </c>
      <c r="B1034" s="8" t="n">
        <v>0.242</v>
      </c>
      <c r="C1034" s="6" t="n">
        <v>1796.96959271375</v>
      </c>
      <c r="D1034" s="6" t="n">
        <v>70054.90970930262</v>
      </c>
      <c r="E1034" s="8" t="n">
        <v>0.01038400012228348</v>
      </c>
      <c r="F1034" s="8" t="n">
        <v>0.001425864904286621</v>
      </c>
      <c r="G1034" s="6" t="n">
        <v>1297.78291929998</v>
      </c>
      <c r="H1034" s="6" t="n">
        <v>40.7287176312599</v>
      </c>
      <c r="I1034" s="6" t="n">
        <v>120.8036926132941</v>
      </c>
    </row>
    <row r="1035">
      <c r="A1035" s="6" t="inlineStr">
        <is>
          <t>1 wt% Re | 250 C</t>
        </is>
      </c>
      <c r="B1035" s="8" t="n">
        <v>0.243</v>
      </c>
      <c r="C1035" s="6" t="n">
        <v>1800.689182898833</v>
      </c>
      <c r="D1035" s="6" t="n">
        <v>69959.52416051179</v>
      </c>
      <c r="E1035" s="8" t="n">
        <v>0.01034958342796481</v>
      </c>
      <c r="F1035" s="8" t="n">
        <v>0.001418173119583186</v>
      </c>
      <c r="G1035" s="6" t="n">
        <v>1300.680109848081</v>
      </c>
      <c r="H1035" s="6" t="n">
        <v>40.80965094599959</v>
      </c>
      <c r="I1035" s="6" t="n">
        <v>120.9853554080287</v>
      </c>
    </row>
    <row r="1036">
      <c r="A1036" s="6" t="inlineStr">
        <is>
          <t>1 wt% Re | 250 C</t>
        </is>
      </c>
      <c r="B1036" s="8" t="n">
        <v>0.244</v>
      </c>
      <c r="C1036" s="6" t="n">
        <v>1804.408564753314</v>
      </c>
      <c r="D1036" s="6" t="n">
        <v>69864.17071453818</v>
      </c>
      <c r="E1036" s="8" t="n">
        <v>0.01031544647309315</v>
      </c>
      <c r="F1036" s="8" t="n">
        <v>0.001410543853829988</v>
      </c>
      <c r="G1036" s="6" t="n">
        <v>1303.577300396183</v>
      </c>
      <c r="H1036" s="6" t="n">
        <v>40.8905845199561</v>
      </c>
      <c r="I1036" s="6" t="n">
        <v>121.1668043638887</v>
      </c>
    </row>
    <row r="1037">
      <c r="A1037" s="6" t="inlineStr">
        <is>
          <t>1 wt% Re | 250 C</t>
        </is>
      </c>
      <c r="B1037" s="8" t="n">
        <v>0.245</v>
      </c>
      <c r="C1037" s="6" t="n">
        <v>1808.127739286914</v>
      </c>
      <c r="D1037" s="6" t="n">
        <v>69768.84897828604</v>
      </c>
      <c r="E1037" s="8" t="n">
        <v>0.01028158586088294</v>
      </c>
      <c r="F1037" s="8" t="n">
        <v>0.001402976347879655</v>
      </c>
      <c r="G1037" s="6" t="n">
        <v>1306.474490944285</v>
      </c>
      <c r="H1037" s="6" t="n">
        <v>40.97151834995534</v>
      </c>
      <c r="I1037" s="6" t="n">
        <v>121.3480405194759</v>
      </c>
    </row>
    <row r="1038">
      <c r="A1038" s="6" t="inlineStr">
        <is>
          <t>1 wt% Re | 250 C</t>
        </is>
      </c>
      <c r="B1038" s="8" t="n">
        <v>0.246</v>
      </c>
      <c r="C1038" s="6" t="n">
        <v>1811.846707500404</v>
      </c>
      <c r="D1038" s="6" t="n">
        <v>69673.55856505147</v>
      </c>
      <c r="E1038" s="8" t="n">
        <v>0.01024799824932172</v>
      </c>
      <c r="F1038" s="8" t="n">
        <v>0.001395469854826038</v>
      </c>
      <c r="G1038" s="6" t="n">
        <v>1309.371681492387</v>
      </c>
      <c r="H1038" s="6" t="n">
        <v>41.05245243287485</v>
      </c>
      <c r="I1038" s="6" t="n">
        <v>121.5290649041605</v>
      </c>
    </row>
    <row r="1039">
      <c r="A1039" s="6" t="inlineStr">
        <is>
          <t>1 wt% Re | 250 C</t>
        </is>
      </c>
      <c r="B1039" s="8" t="n">
        <v>0.247</v>
      </c>
      <c r="C1039" s="6" t="n">
        <v>1815.565470385724</v>
      </c>
      <c r="D1039" s="6" t="n">
        <v>69578.29909439299</v>
      </c>
      <c r="E1039" s="8" t="n">
        <v>0.01021468035007045</v>
      </c>
      <c r="F1039" s="8" t="n">
        <v>0.001388023639758472</v>
      </c>
      <c r="G1039" s="6" t="n">
        <v>1312.268872040489</v>
      </c>
      <c r="H1039" s="6" t="n">
        <v>41.13338676564271</v>
      </c>
      <c r="I1039" s="6" t="n">
        <v>121.7098785382004</v>
      </c>
    </row>
    <row r="1040">
      <c r="A1040" s="6" t="inlineStr">
        <is>
          <t>1 wt% Re | 250 C</t>
        </is>
      </c>
      <c r="B1040" s="8" t="n">
        <v>0.248</v>
      </c>
      <c r="C1040" s="6" t="n">
        <v>1819.28402892609</v>
      </c>
      <c r="D1040" s="6" t="n">
        <v>69483.07019200518</v>
      </c>
      <c r="E1040" s="8" t="n">
        <v>0.01018162892739039</v>
      </c>
      <c r="F1040" s="8" t="n">
        <v>0.001380636979521924</v>
      </c>
      <c r="G1040" s="6" t="n">
        <v>1315.16606258859</v>
      </c>
      <c r="H1040" s="6" t="n">
        <v>41.21432134523658</v>
      </c>
      <c r="I1040" s="6" t="n">
        <v>121.8904824328596</v>
      </c>
    </row>
    <row r="1041">
      <c r="A1041" s="6" t="inlineStr">
        <is>
          <t>1 wt% Re | 250 C</t>
        </is>
      </c>
      <c r="B1041" s="8" t="n">
        <v>0.249</v>
      </c>
      <c r="C1041" s="6" t="n">
        <v>1823.002384096114</v>
      </c>
      <c r="D1041" s="6" t="n">
        <v>69387.87148959567</v>
      </c>
      <c r="E1041" s="8" t="n">
        <v>0.01014884079709554</v>
      </c>
      <c r="F1041" s="8" t="n">
        <v>0.001373309162482873</v>
      </c>
      <c r="G1041" s="6" t="n">
        <v>1318.063253136692</v>
      </c>
      <c r="H1041" s="6" t="n">
        <v>41.29525616868261</v>
      </c>
      <c r="I1041" s="6" t="n">
        <v>122.0708775905233</v>
      </c>
    </row>
    <row r="1042">
      <c r="A1042" s="6" t="inlineStr">
        <is>
          <t>1 wt% Re | 250 C</t>
        </is>
      </c>
      <c r="B1042" s="8" t="n">
        <v>0.25</v>
      </c>
      <c r="C1042" s="6" t="n">
        <v>1826.72053686191</v>
      </c>
      <c r="D1042" s="6" t="n">
        <v>69292.7026247647</v>
      </c>
      <c r="E1042" s="8" t="n">
        <v>0.01011631282552997</v>
      </c>
      <c r="F1042" s="8" t="n">
        <v>0.001366039488300769</v>
      </c>
      <c r="G1042" s="6" t="n">
        <v>1320.960443684794</v>
      </c>
      <c r="H1042" s="6" t="n">
        <v>41.37619123305461</v>
      </c>
      <c r="I1042" s="6" t="n">
        <v>122.2510650048124</v>
      </c>
    </row>
    <row r="1043">
      <c r="A1043" s="6" t="inlineStr">
        <is>
          <t>1 wt% Re | 250 C</t>
        </is>
      </c>
      <c r="B1043" s="8" t="n">
        <v>0.251</v>
      </c>
      <c r="C1043" s="6" t="n">
        <v>1830.4384881812</v>
      </c>
      <c r="D1043" s="6" t="n">
        <v>69197.56324088784</v>
      </c>
      <c r="E1043" s="8" t="n">
        <v>0.01008404192856949</v>
      </c>
      <c r="F1043" s="8" t="n">
        <v>0.001358827267704903</v>
      </c>
      <c r="G1043" s="6" t="n">
        <v>1323.857634232896</v>
      </c>
      <c r="H1043" s="6" t="n">
        <v>41.45712653547301</v>
      </c>
      <c r="I1043" s="6" t="n">
        <v>122.4310456606946</v>
      </c>
    </row>
    <row r="1044">
      <c r="A1044" s="6" t="inlineStr">
        <is>
          <t>1 wt% Re | 250 C</t>
        </is>
      </c>
      <c r="B1044" s="8" t="n">
        <v>0.252</v>
      </c>
      <c r="C1044" s="6" t="n">
        <v>1834.156239003424</v>
      </c>
      <c r="D1044" s="6" t="n">
        <v>69102.45298700134</v>
      </c>
      <c r="E1044" s="8" t="n">
        <v>0.01005202507064685</v>
      </c>
      <c r="F1044" s="8" t="n">
        <v>0.001351671822276555</v>
      </c>
      <c r="G1044" s="6" t="n">
        <v>1326.754824780998</v>
      </c>
      <c r="H1044" s="6" t="n">
        <v>41.53806207310387</v>
      </c>
      <c r="I1044" s="6" t="n">
        <v>122.6108205345951</v>
      </c>
    </row>
    <row r="1045">
      <c r="A1045" s="6" t="inlineStr">
        <is>
          <t>1 wt% Re | 250 C</t>
        </is>
      </c>
      <c r="B1045" s="8" t="n">
        <v>0.253</v>
      </c>
      <c r="C1045" s="6" t="n">
        <v>1837.873790269843</v>
      </c>
      <c r="D1045" s="6" t="n">
        <v>69007.37151769029</v>
      </c>
      <c r="E1045" s="8" t="n">
        <v>0.01002025926379988</v>
      </c>
      <c r="F1045" s="8" t="n">
        <v>0.001344572484236257</v>
      </c>
      <c r="G1045" s="6" t="n">
        <v>1329.6520153291</v>
      </c>
      <c r="H1045" s="6" t="n">
        <v>41.61899784315813</v>
      </c>
      <c r="I1045" s="6" t="n">
        <v>122.7903905945042</v>
      </c>
    </row>
    <row r="1046">
      <c r="A1046" s="6" t="inlineStr">
        <is>
          <t>1 wt% Re | 250 C</t>
        </is>
      </c>
      <c r="B1046" s="8" t="n">
        <v>0.254</v>
      </c>
      <c r="C1046" s="6" t="n">
        <v>1841.591142913641</v>
      </c>
      <c r="D1046" s="6" t="n">
        <v>68912.31849297941</v>
      </c>
      <c r="E1046" s="8" t="n">
        <v>0.009988741566741892</v>
      </c>
      <c r="F1046" s="8" t="n">
        <v>0.00133752859623605</v>
      </c>
      <c r="G1046" s="6" t="n">
        <v>1332.549205877202</v>
      </c>
      <c r="H1046" s="6" t="n">
        <v>41.69993384289064</v>
      </c>
      <c r="I1046" s="6" t="n">
        <v>122.9697568000841</v>
      </c>
    </row>
    <row r="1047">
      <c r="A1047" s="6" t="inlineStr">
        <is>
          <t>1 wt% Re | 250 C</t>
        </is>
      </c>
      <c r="B1047" s="8" t="n">
        <v>0.255</v>
      </c>
      <c r="C1047" s="6" t="n">
        <v>1845.308297860028</v>
      </c>
      <c r="D1047" s="6" t="n">
        <v>68817.29357822632</v>
      </c>
      <c r="E1047" s="8" t="n">
        <v>0.009957469083953889</v>
      </c>
      <c r="F1047" s="8" t="n">
        <v>0.001330539511156584</v>
      </c>
      <c r="G1047" s="6" t="n">
        <v>1335.446396425303</v>
      </c>
      <c r="H1047" s="6" t="n">
        <v>41.7808700695993</v>
      </c>
      <c r="I1047" s="6" t="n">
        <v>123.1489201027733</v>
      </c>
    </row>
    <row r="1048">
      <c r="A1048" s="6" t="inlineStr">
        <is>
          <t>1 wt% Re | 250 C</t>
        </is>
      </c>
      <c r="B1048" s="8" t="n">
        <v>0.256</v>
      </c>
      <c r="C1048" s="6" t="n">
        <v>1849.025256026338</v>
      </c>
      <c r="D1048" s="6" t="n">
        <v>68722.29644401748</v>
      </c>
      <c r="E1048" s="8" t="n">
        <v>0.009926438964797746</v>
      </c>
      <c r="F1048" s="8" t="n">
        <v>0.001323604591908936</v>
      </c>
      <c r="G1048" s="6" t="n">
        <v>1338.343586973405</v>
      </c>
      <c r="H1048" s="6" t="n">
        <v>41.86180652062423</v>
      </c>
      <c r="I1048" s="6" t="n">
        <v>123.3278814458896</v>
      </c>
    </row>
    <row r="1049">
      <c r="A1049" s="6" t="inlineStr">
        <is>
          <t>1 wt% Re | 250 C</t>
        </is>
      </c>
      <c r="B1049" s="8" t="n">
        <v>0.257</v>
      </c>
      <c r="C1049" s="6" t="n">
        <v>1852.742018322128</v>
      </c>
      <c r="D1049" s="6" t="n">
        <v>68627.32676606634</v>
      </c>
      <c r="E1049" s="8" t="n">
        <v>0.009895648402650019</v>
      </c>
      <c r="F1049" s="8" t="n">
        <v>0.001316723211241021</v>
      </c>
      <c r="G1049" s="6" t="n">
        <v>1341.240777521507</v>
      </c>
      <c r="H1049" s="6" t="n">
        <v>41.94274319334697</v>
      </c>
      <c r="I1049" s="6" t="n">
        <v>123.5066417647312</v>
      </c>
    </row>
    <row r="1050">
      <c r="A1050" s="6" t="inlineStr">
        <is>
          <t>1 wt% Re | 250 C</t>
        </is>
      </c>
      <c r="B1050" s="8" t="n">
        <v>0.258</v>
      </c>
      <c r="C1050" s="6" t="n">
        <v>1856.458585649271</v>
      </c>
      <c r="D1050" s="6" t="n">
        <v>68532.38422511415</v>
      </c>
      <c r="E1050" s="8" t="n">
        <v>0.0098650946340557</v>
      </c>
      <c r="F1050" s="8" t="n">
        <v>0.001309894751548465</v>
      </c>
      <c r="G1050" s="6" t="n">
        <v>1344.137968069609</v>
      </c>
      <c r="H1050" s="6" t="n">
        <v>42.0236800851896</v>
      </c>
      <c r="I1050" s="6" t="n">
        <v>123.6852019866764</v>
      </c>
    </row>
    <row r="1051">
      <c r="A1051" s="6" t="inlineStr">
        <is>
          <t>1 wt% Re | 250 C</t>
        </is>
      </c>
      <c r="B1051" s="8" t="n">
        <v>0.259</v>
      </c>
      <c r="C1051" s="6" t="n">
        <v>1860.174958902056</v>
      </c>
      <c r="D1051" s="6" t="n">
        <v>68437.46850683267</v>
      </c>
      <c r="E1051" s="8" t="n">
        <v>0.009834774937901462</v>
      </c>
      <c r="F1051" s="8" t="n">
        <v>0.001303118604689833</v>
      </c>
      <c r="G1051" s="6" t="n">
        <v>1347.035158617711</v>
      </c>
      <c r="H1051" s="6" t="n">
        <v>42.1046171936141</v>
      </c>
      <c r="I1051" s="6" t="n">
        <v>123.8635630312812</v>
      </c>
    </row>
    <row r="1052">
      <c r="A1052" s="6" t="inlineStr">
        <is>
          <t>1 wt% Re | 250 C</t>
        </is>
      </c>
      <c r="B1052" s="8" t="n">
        <v>0.26</v>
      </c>
      <c r="C1052" s="6" t="n">
        <v>1863.891138967276</v>
      </c>
      <c r="D1052" s="6" t="n">
        <v>68342.57930172959</v>
      </c>
      <c r="E1052" s="8" t="n">
        <v>0.009804686634607767</v>
      </c>
      <c r="F1052" s="8" t="n">
        <v>0.001296394171806075</v>
      </c>
      <c r="G1052" s="6" t="n">
        <v>1349.932349165812</v>
      </c>
      <c r="H1052" s="6" t="n">
        <v>42.18555451612139</v>
      </c>
      <c r="I1052" s="6" t="n">
        <v>124.0417258103763</v>
      </c>
    </row>
    <row r="1053">
      <c r="A1053" s="6" t="inlineStr">
        <is>
          <t>1 wt% Re | 250 C</t>
        </is>
      </c>
      <c r="B1053" s="8" t="n">
        <v>0.261</v>
      </c>
      <c r="C1053" s="6" t="n">
        <v>1867.607126724325</v>
      </c>
      <c r="D1053" s="6" t="n">
        <v>68247.71630505571</v>
      </c>
      <c r="E1053" s="8" t="n">
        <v>0.009774827085339463</v>
      </c>
      <c r="F1053" s="8" t="n">
        <v>0.001289720863144098</v>
      </c>
      <c r="G1053" s="6" t="n">
        <v>1352.829539713914</v>
      </c>
      <c r="H1053" s="6" t="n">
        <v>42.26649205025079</v>
      </c>
      <c r="I1053" s="6" t="n">
        <v>124.2196912281612</v>
      </c>
    </row>
    <row r="1054">
      <c r="A1054" s="6" t="inlineStr">
        <is>
          <t>1 wt% Re | 250 C</t>
        </is>
      </c>
      <c r="B1054" s="8" t="n">
        <v>0.262</v>
      </c>
      <c r="C1054" s="6" t="n">
        <v>1871.322923045281</v>
      </c>
      <c r="D1054" s="6" t="n">
        <v>68152.87921671454</v>
      </c>
      <c r="E1054" s="8" t="n">
        <v>0.009745193691234284</v>
      </c>
      <c r="F1054" s="8" t="n">
        <v>0.00128309809788435</v>
      </c>
      <c r="G1054" s="6" t="n">
        <v>1355.726730262016</v>
      </c>
      <c r="H1054" s="6" t="n">
        <v>42.34742979357915</v>
      </c>
      <c r="I1054" s="6" t="n">
        <v>124.3974601812977</v>
      </c>
    </row>
    <row r="1055">
      <c r="A1055" s="6" t="inlineStr">
        <is>
          <t>1 wt% Re | 250 C</t>
        </is>
      </c>
      <c r="B1055" s="8" t="n">
        <v>0.263</v>
      </c>
      <c r="C1055" s="6" t="n">
        <v>1875.038528795003</v>
      </c>
      <c r="D1055" s="6" t="n">
        <v>68058.06774117374</v>
      </c>
      <c r="E1055" s="8" t="n">
        <v>0.009715783892648822</v>
      </c>
      <c r="F1055" s="8" t="n">
        <v>0.001276525303972297</v>
      </c>
      <c r="G1055" s="6" t="n">
        <v>1358.623920810118</v>
      </c>
      <c r="H1055" s="6" t="n">
        <v>42.42836774372015</v>
      </c>
      <c r="I1055" s="6" t="n">
        <v>124.5750335590019</v>
      </c>
    </row>
    <row r="1056">
      <c r="A1056" s="6" t="inlineStr">
        <is>
          <t>1 wt% Re | 250 C</t>
        </is>
      </c>
      <c r="B1056" s="8" t="n">
        <v>0.264</v>
      </c>
      <c r="C1056" s="6" t="n">
        <v>1878.75394483121</v>
      </c>
      <c r="D1056" s="6" t="n">
        <v>67963.28158737879</v>
      </c>
      <c r="E1056" s="8" t="n">
        <v>0.009686595168421503</v>
      </c>
      <c r="F1056" s="8" t="n">
        <v>0.001270001917953709</v>
      </c>
      <c r="G1056" s="6" t="n">
        <v>1361.52111135822</v>
      </c>
      <c r="H1056" s="6" t="n">
        <v>42.50930589832365</v>
      </c>
      <c r="I1056" s="6" t="n">
        <v>124.7524122431341</v>
      </c>
    </row>
    <row r="1057">
      <c r="A1057" s="6" t="inlineStr">
        <is>
          <t>1 wt% Re | 250 C</t>
        </is>
      </c>
      <c r="B1057" s="8" t="n">
        <v>0.265</v>
      </c>
      <c r="C1057" s="6" t="n">
        <v>1882.469172004574</v>
      </c>
      <c r="D1057" s="6" t="n">
        <v>67868.52046866837</v>
      </c>
      <c r="E1057" s="8" t="n">
        <v>0.009657625035152134</v>
      </c>
      <c r="F1057" s="8" t="n">
        <v>0.001263527384813641</v>
      </c>
      <c r="G1057" s="6" t="n">
        <v>1364.418301906322</v>
      </c>
      <c r="H1057" s="6" t="n">
        <v>42.59024425507499</v>
      </c>
      <c r="I1057" s="6" t="n">
        <v>124.9295971082881</v>
      </c>
    </row>
    <row r="1058">
      <c r="A1058" s="6" t="inlineStr">
        <is>
          <t>1 wt% Re | 250 C</t>
        </is>
      </c>
      <c r="B1058" s="8" t="n">
        <v>0.266</v>
      </c>
      <c r="C1058" s="6" t="n">
        <v>1886.184211158802</v>
      </c>
      <c r="D1058" s="6" t="n">
        <v>67773.78410269193</v>
      </c>
      <c r="E1058" s="8" t="n">
        <v>0.009628871046497543</v>
      </c>
      <c r="F1058" s="8" t="n">
        <v>0.001257101157819025</v>
      </c>
      <c r="G1058" s="6" t="n">
        <v>1367.315492454424</v>
      </c>
      <c r="H1058" s="6" t="n">
        <v>42.67118281169429</v>
      </c>
      <c r="I1058" s="6" t="n">
        <v>125.1065890218782</v>
      </c>
    </row>
    <row r="1059">
      <c r="A1059" s="6" t="inlineStr">
        <is>
          <t>1 wt% Re | 250 C</t>
        </is>
      </c>
      <c r="B1059" s="8" t="n">
        <v>0.267</v>
      </c>
      <c r="C1059" s="6" t="n">
        <v>1889.899063130716</v>
      </c>
      <c r="D1059" s="6" t="n">
        <v>67679.07221132886</v>
      </c>
      <c r="E1059" s="8" t="n">
        <v>0.00960033079248296</v>
      </c>
      <c r="F1059" s="8" t="n">
        <v>0.001250722698364759</v>
      </c>
      <c r="G1059" s="6" t="n">
        <v>1370.212683002525</v>
      </c>
      <c r="H1059" s="6" t="n">
        <v>42.75212156593587</v>
      </c>
      <c r="I1059" s="6" t="n">
        <v>125.2833888442258</v>
      </c>
    </row>
    <row r="1060">
      <c r="A1060" s="6" t="inlineStr">
        <is>
          <t>1 wt% Re | 250 C</t>
        </is>
      </c>
      <c r="B1060" s="8" t="n">
        <v>0.268</v>
      </c>
      <c r="C1060" s="6" t="n">
        <v>1893.613728750339</v>
      </c>
      <c r="D1060" s="6" t="n">
        <v>67584.38452060964</v>
      </c>
      <c r="E1060" s="8" t="n">
        <v>0.009572001898828683</v>
      </c>
      <c r="F1060" s="8" t="n">
        <v>0.001244391475823233</v>
      </c>
      <c r="G1060" s="6" t="n">
        <v>1373.109873550627</v>
      </c>
      <c r="H1060" s="6" t="n">
        <v>42.83306051558751</v>
      </c>
      <c r="I1060" s="6" t="n">
        <v>125.4599974286435</v>
      </c>
    </row>
    <row r="1061">
      <c r="A1061" s="6" t="inlineStr">
        <is>
          <t>1 wt% Re | 250 C</t>
        </is>
      </c>
      <c r="B1061" s="8" t="n">
        <v>0.269</v>
      </c>
      <c r="C1061" s="6" t="n">
        <v>1897.328208840978</v>
      </c>
      <c r="D1061" s="6" t="n">
        <v>67489.72076063856</v>
      </c>
      <c r="E1061" s="8" t="n">
        <v>0.009543882026291655</v>
      </c>
      <c r="F1061" s="8" t="n">
        <v>0.001238106967397172</v>
      </c>
      <c r="G1061" s="6" t="n">
        <v>1376.007064098729</v>
      </c>
      <c r="H1061" s="6" t="n">
        <v>42.91399965846993</v>
      </c>
      <c r="I1061" s="6" t="n">
        <v>125.6364156215189</v>
      </c>
    </row>
    <row r="1062">
      <c r="A1062" s="6" t="inlineStr">
        <is>
          <t>1 wt% Re | 250 C</t>
        </is>
      </c>
      <c r="B1062" s="8" t="n">
        <v>0.27</v>
      </c>
      <c r="C1062" s="6" t="n">
        <v>1901.042504219296</v>
      </c>
      <c r="D1062" s="6" t="n">
        <v>67395.08066551846</v>
      </c>
      <c r="E1062" s="8" t="n">
        <v>0.009515968870021534</v>
      </c>
      <c r="F1062" s="8" t="n">
        <v>0.001231868657975729</v>
      </c>
      <c r="G1062" s="6" t="n">
        <v>1378.904254646831</v>
      </c>
      <c r="H1062" s="6" t="n">
        <v>42.99493899243613</v>
      </c>
      <c r="I1062" s="6" t="n">
        <v>125.8126442623969</v>
      </c>
    </row>
    <row r="1063">
      <c r="A1063" s="6" t="inlineStr">
        <is>
          <t>1 wt% Re | 250 C</t>
        </is>
      </c>
      <c r="B1063" s="8" t="n">
        <v>0.271</v>
      </c>
      <c r="C1063" s="6" t="n">
        <v>1904.756615695394</v>
      </c>
      <c r="D1063" s="6" t="n">
        <v>67300.4639732768</v>
      </c>
      <c r="E1063" s="8" t="n">
        <v>0.009488260158930962</v>
      </c>
      <c r="F1063" s="8" t="n">
        <v>0.001225676039993742</v>
      </c>
      <c r="G1063" s="6" t="n">
        <v>1381.801445194933</v>
      </c>
      <c r="H1063" s="6" t="n">
        <v>43.07587851537078</v>
      </c>
      <c r="I1063" s="6" t="n">
        <v>125.9886841840598</v>
      </c>
    </row>
    <row r="1064">
      <c r="A1064" s="6" t="inlineStr">
        <is>
          <t>1 wt% Re | 250 C</t>
        </is>
      </c>
      <c r="B1064" s="8" t="n">
        <v>0.272</v>
      </c>
      <c r="C1064" s="6" t="n">
        <v>1908.470544072889</v>
      </c>
      <c r="D1064" s="6" t="n">
        <v>67205.87042579359</v>
      </c>
      <c r="E1064" s="8" t="n">
        <v>0.009460753655079574</v>
      </c>
      <c r="F1064" s="8" t="n">
        <v>0.001219528613294069</v>
      </c>
      <c r="G1064" s="6" t="n">
        <v>1384.698635743035</v>
      </c>
      <c r="H1064" s="6" t="n">
        <v>43.15681822518967</v>
      </c>
      <c r="I1064" s="6" t="n">
        <v>126.1645362126076</v>
      </c>
    </row>
    <row r="1065">
      <c r="A1065" s="6" t="inlineStr">
        <is>
          <t>1 wt% Re | 250 C</t>
        </is>
      </c>
      <c r="B1065" s="8" t="n">
        <v>0.273</v>
      </c>
      <c r="C1065" s="6" t="n">
        <v>1912.184290148991</v>
      </c>
      <c r="D1065" s="6" t="n">
        <v>67111.29976873082</v>
      </c>
      <c r="E1065" s="8" t="n">
        <v>0.009433447153071473</v>
      </c>
      <c r="F1065" s="8" t="n">
        <v>0.00121342588499293</v>
      </c>
      <c r="G1065" s="6" t="n">
        <v>1387.595826291136</v>
      </c>
      <c r="H1065" s="6" t="n">
        <v>43.23775811983913</v>
      </c>
      <c r="I1065" s="6" t="n">
        <v>126.3402011675357</v>
      </c>
    </row>
    <row r="1066">
      <c r="A1066" s="6" t="inlineStr">
        <is>
          <t>1 wt% Re | 250 C</t>
        </is>
      </c>
      <c r="B1066" s="8" t="n">
        <v>0.274</v>
      </c>
      <c r="C1066" s="6" t="n">
        <v>1915.897854714573</v>
      </c>
      <c r="D1066" s="6" t="n">
        <v>67016.7517514635</v>
      </c>
      <c r="E1066" s="8" t="n">
        <v>0.009406338479465773</v>
      </c>
      <c r="F1066" s="8" t="n">
        <v>0.001207367369348166</v>
      </c>
      <c r="G1066" s="6" t="n">
        <v>1390.493016839238</v>
      </c>
      <c r="H1066" s="6" t="n">
        <v>43.31869819729545</v>
      </c>
      <c r="I1066" s="6" t="n">
        <v>126.5156798618127</v>
      </c>
    </row>
    <row r="1067">
      <c r="A1067" s="6" t="inlineStr">
        <is>
          <t>1 wt% Re | 250 C</t>
        </is>
      </c>
      <c r="B1067" s="8" t="n">
        <v>0.275</v>
      </c>
      <c r="C1067" s="6" t="n">
        <v>1919.611238554246</v>
      </c>
      <c r="D1067" s="6" t="n">
        <v>66922.22612701198</v>
      </c>
      <c r="E1067" s="8" t="n">
        <v>0.009379425492199953</v>
      </c>
      <c r="F1067" s="8" t="n">
        <v>0.001201352587630369</v>
      </c>
      <c r="G1067" s="6" t="n">
        <v>1393.39020738734</v>
      </c>
      <c r="H1067" s="6" t="n">
        <v>43.3996384555644</v>
      </c>
      <c r="I1067" s="6" t="n">
        <v>126.6909731019558</v>
      </c>
    </row>
    <row r="1068">
      <c r="A1068" s="6" t="inlineStr">
        <is>
          <t>1 wt% Re | 250 C</t>
        </is>
      </c>
      <c r="B1068" s="8" t="n">
        <v>0.276</v>
      </c>
      <c r="C1068" s="6" t="n">
        <v>1923.324442446436</v>
      </c>
      <c r="D1068" s="6" t="n">
        <v>66827.72265197612</v>
      </c>
      <c r="E1068" s="8" t="n">
        <v>0.009352706080025589</v>
      </c>
      <c r="F1068" s="8" t="n">
        <v>0.001195381067996769</v>
      </c>
      <c r="G1068" s="6" t="n">
        <v>1396.287397935442</v>
      </c>
      <c r="H1068" s="6" t="n">
        <v>43.48057889268062</v>
      </c>
      <c r="I1068" s="6" t="n">
        <v>126.8660816881056</v>
      </c>
    </row>
    <row r="1069">
      <c r="A1069" s="6" t="inlineStr">
        <is>
          <t>1 wt% Re | 250 C</t>
        </is>
      </c>
      <c r="B1069" s="8" t="n">
        <v>0.277</v>
      </c>
      <c r="C1069" s="6" t="n">
        <v>1927.037467163449</v>
      </c>
      <c r="D1069" s="6" t="n">
        <v>66733.24108647055</v>
      </c>
      <c r="E1069" s="8" t="n">
        <v>0.009326178161956284</v>
      </c>
      <c r="F1069" s="8" t="n">
        <v>0.001189452345367857</v>
      </c>
      <c r="G1069" s="6" t="n">
        <v>1399.184588483544</v>
      </c>
      <c r="H1069" s="6" t="n">
        <v>43.56151950670713</v>
      </c>
      <c r="I1069" s="6" t="n">
        <v>127.0410064141002</v>
      </c>
    </row>
    <row r="1070">
      <c r="A1070" s="6" t="inlineStr">
        <is>
          <t>1 wt% Re | 250 C</t>
        </is>
      </c>
      <c r="B1070" s="8" t="n">
        <v>0.278</v>
      </c>
      <c r="C1070" s="6" t="n">
        <v>1930.750313471543</v>
      </c>
      <c r="D1070" s="6" t="n">
        <v>66638.78119406149</v>
      </c>
      <c r="E1070" s="8" t="n">
        <v>0.009299839686727384</v>
      </c>
      <c r="F1070" s="8" t="n">
        <v>0.001183565961306633</v>
      </c>
      <c r="G1070" s="6" t="n">
        <v>1402.081779031646</v>
      </c>
      <c r="H1070" s="6" t="n">
        <v>43.64246029573482</v>
      </c>
      <c r="I1070" s="6" t="n">
        <v>127.2157480675473</v>
      </c>
    </row>
    <row r="1071">
      <c r="A1071" s="6" t="inlineStr">
        <is>
          <t>1 wt% Re | 250 C</t>
        </is>
      </c>
      <c r="B1071" s="8" t="n">
        <v>0.279</v>
      </c>
      <c r="C1071" s="6" t="n">
        <v>1934.462982131001</v>
      </c>
      <c r="D1071" s="6" t="n">
        <v>66544.34274170488</v>
      </c>
      <c r="E1071" s="8" t="n">
        <v>0.00927368863226723</v>
      </c>
      <c r="F1071" s="8" t="n">
        <v>0.001177721463900438</v>
      </c>
      <c r="G1071" s="6" t="n">
        <v>1404.978969579747</v>
      </c>
      <c r="H1071" s="6" t="n">
        <v>43.72340125788197</v>
      </c>
      <c r="I1071" s="6" t="n">
        <v>127.3903074298959</v>
      </c>
    </row>
    <row r="1072">
      <c r="A1072" s="6" t="inlineStr">
        <is>
          <t>1 wt% Re | 250 C</t>
        </is>
      </c>
      <c r="B1072" s="8" t="n">
        <v>0.28</v>
      </c>
      <c r="C1072" s="6" t="n">
        <v>1938.175473896194</v>
      </c>
      <c r="D1072" s="6" t="n">
        <v>66449.92549968588</v>
      </c>
      <c r="E1072" s="8" t="n">
        <v>0.009247723005179682</v>
      </c>
      <c r="F1072" s="8" t="n">
        <v>0.001171918407645302</v>
      </c>
      <c r="G1072" s="6" t="n">
        <v>1407.876160127849</v>
      </c>
      <c r="H1072" s="6" t="n">
        <v>43.80434239129371</v>
      </c>
      <c r="I1072" s="6" t="n">
        <v>127.5646852765062</v>
      </c>
    </row>
    <row r="1073">
      <c r="A1073" s="6" t="inlineStr">
        <is>
          <t>1 wt% Re | 250 C</t>
        </is>
      </c>
      <c r="B1073" s="8" t="n">
        <v>0.281</v>
      </c>
      <c r="C1073" s="6" t="n">
        <v>1941.88778951565</v>
      </c>
      <c r="D1073" s="6" t="n">
        <v>66355.5292415596</v>
      </c>
      <c r="E1073" s="8" t="n">
        <v>0.009221940840237587</v>
      </c>
      <c r="F1073" s="8" t="n">
        <v>0.001166156353332739</v>
      </c>
      <c r="G1073" s="6" t="n">
        <v>1410.773350675951</v>
      </c>
      <c r="H1073" s="6" t="n">
        <v>43.88528369414161</v>
      </c>
      <c r="I1073" s="6" t="n">
        <v>127.7388823767196</v>
      </c>
    </row>
    <row r="1074">
      <c r="A1074" s="6" t="inlineStr">
        <is>
          <t>1 wt% Re | 250 C</t>
        </is>
      </c>
      <c r="B1074" s="8" t="n">
        <v>0.282</v>
      </c>
      <c r="C1074" s="6" t="n">
        <v>1945.59992973212</v>
      </c>
      <c r="D1074" s="6" t="n">
        <v>66261.15374409317</v>
      </c>
      <c r="E1074" s="8" t="n">
        <v>0.00919634019988696</v>
      </c>
      <c r="F1074" s="8" t="n">
        <v>0.001160434867938941</v>
      </c>
      <c r="G1074" s="6" t="n">
        <v>1413.670541224053</v>
      </c>
      <c r="H1074" s="6" t="n">
        <v>43.96622516462315</v>
      </c>
      <c r="I1074" s="6" t="n">
        <v>127.9128994939264</v>
      </c>
    </row>
    <row r="1075">
      <c r="A1075" s="6" t="inlineStr">
        <is>
          <t>1 wt% Re | 250 C</t>
        </is>
      </c>
      <c r="B1075" s="8" t="n">
        <v>0.283</v>
      </c>
      <c r="C1075" s="6" t="n">
        <v>1949.311895282644</v>
      </c>
      <c r="D1075" s="6" t="n">
        <v>66166.79878720887</v>
      </c>
      <c r="E1075" s="8" t="n">
        <v>0.009170919173761581</v>
      </c>
      <c r="F1075" s="8" t="n">
        <v>0.00115475352451629</v>
      </c>
      <c r="G1075" s="6" t="n">
        <v>1416.567731772154</v>
      </c>
      <c r="H1075" s="6" t="n">
        <v>44.04716680096129</v>
      </c>
      <c r="I1075" s="6" t="n">
        <v>128.0867373856333</v>
      </c>
    </row>
    <row r="1076">
      <c r="A1076" s="6" t="inlineStr">
        <is>
          <t>1 wt% Re | 250 C</t>
        </is>
      </c>
      <c r="B1076" s="8" t="n">
        <v>0.284</v>
      </c>
      <c r="C1076" s="6" t="n">
        <v>1953.023686898616</v>
      </c>
      <c r="D1076" s="6" t="n">
        <v>66072.46415392877</v>
      </c>
      <c r="E1076" s="8" t="n">
        <v>0.00914567587820782</v>
      </c>
      <c r="F1076" s="8" t="n">
        <v>0.00114911190208716</v>
      </c>
      <c r="G1076" s="6" t="n">
        <v>1419.464922320256</v>
      </c>
      <c r="H1076" s="6" t="n">
        <v>44.12810860140405</v>
      </c>
      <c r="I1076" s="6" t="n">
        <v>128.2603968035295</v>
      </c>
    </row>
    <row r="1077">
      <c r="A1077" s="6" t="inlineStr">
        <is>
          <t>1 wt% Re | 250 C</t>
        </is>
      </c>
      <c r="B1077" s="8" t="n">
        <v>0.285</v>
      </c>
      <c r="C1077" s="6" t="n">
        <v>1956.735305305842</v>
      </c>
      <c r="D1077" s="6" t="n">
        <v>65978.14963032016</v>
      </c>
      <c r="E1077" s="8" t="n">
        <v>0.009120608455819329</v>
      </c>
      <c r="F1077" s="8" t="n">
        <v>0.001143509585539934</v>
      </c>
      <c r="G1077" s="6" t="n">
        <v>1422.362112868358</v>
      </c>
      <c r="H1077" s="6" t="n">
        <v>44.20905056422396</v>
      </c>
      <c r="I1077" s="6" t="n">
        <v>128.4338784935522</v>
      </c>
    </row>
    <row r="1078">
      <c r="A1078" s="6" t="inlineStr">
        <is>
          <t>1 wt% Re | 250 C</t>
        </is>
      </c>
      <c r="B1078" s="8" t="n">
        <v>0.286</v>
      </c>
      <c r="C1078" s="6" t="n">
        <v>1960.446751224609</v>
      </c>
      <c r="D1078" s="6" t="n">
        <v>65883.85500544244</v>
      </c>
      <c r="E1078" s="8" t="n">
        <v>0.009095715074981477</v>
      </c>
      <c r="F1078" s="8" t="n">
        <v>0.001137946165527179</v>
      </c>
      <c r="G1078" s="6" t="n">
        <v>1425.25930341646</v>
      </c>
      <c r="H1078" s="6" t="n">
        <v>44.28999268771785</v>
      </c>
      <c r="I1078" s="6" t="n">
        <v>128.6071831959507</v>
      </c>
    </row>
    <row r="1079">
      <c r="A1079" s="6" t="inlineStr">
        <is>
          <t>1 wt% Re | 250 C</t>
        </is>
      </c>
      <c r="B1079" s="8" t="n">
        <v>0.287</v>
      </c>
      <c r="C1079" s="6" t="n">
        <v>1964.158025369742</v>
      </c>
      <c r="D1079" s="6" t="n">
        <v>65789.58007129496</v>
      </c>
      <c r="E1079" s="8" t="n">
        <v>0.009070993929425218</v>
      </c>
      <c r="F1079" s="8" t="n">
        <v>0.001132421238365948</v>
      </c>
      <c r="G1079" s="6" t="n">
        <v>1428.156493964562</v>
      </c>
      <c r="H1079" s="6" t="n">
        <v>44.37093497020611</v>
      </c>
      <c r="I1079" s="6" t="n">
        <v>128.7803116453497</v>
      </c>
    </row>
    <row r="1080">
      <c r="A1080" s="6" t="inlineStr">
        <is>
          <t>1 wt% Re | 250 C</t>
        </is>
      </c>
      <c r="B1080" s="8" t="n">
        <v>0.288</v>
      </c>
      <c r="C1080" s="6" t="n">
        <v>1967.869128450664</v>
      </c>
      <c r="D1080" s="6" t="n">
        <v>65695.3246227659</v>
      </c>
      <c r="E1080" s="8" t="n">
        <v>0.0090464432377902</v>
      </c>
      <c r="F1080" s="8" t="n">
        <v>0.001126934405940135</v>
      </c>
      <c r="G1080" s="6" t="n">
        <v>1431.053684512664</v>
      </c>
      <c r="H1080" s="6" t="n">
        <v>44.4518774100326</v>
      </c>
      <c r="I1080" s="6" t="n">
        <v>128.9532645708121</v>
      </c>
    </row>
    <row r="1081">
      <c r="A1081" s="6" t="inlineStr">
        <is>
          <t>1 wt% Re | 250 C</t>
        </is>
      </c>
      <c r="B1081" s="8" t="n">
        <v>0.289</v>
      </c>
      <c r="C1081" s="6" t="n">
        <v>1971.580061171459</v>
      </c>
      <c r="D1081" s="6" t="n">
        <v>65601.08845758242</v>
      </c>
      <c r="E1081" s="8" t="n">
        <v>0.009022061243196858</v>
      </c>
      <c r="F1081" s="8" t="n">
        <v>0.001121485275604845</v>
      </c>
      <c r="G1081" s="6" t="n">
        <v>1433.950875060765</v>
      </c>
      <c r="H1081" s="6" t="n">
        <v>44.53282000556403</v>
      </c>
      <c r="I1081" s="6" t="n">
        <v>129.1260426959002</v>
      </c>
    </row>
    <row r="1082">
      <c r="A1082" s="6" t="inlineStr">
        <is>
          <t>1 wt% Re | 250 C</t>
        </is>
      </c>
      <c r="B1082" s="8" t="n">
        <v>0.29</v>
      </c>
      <c r="C1082" s="6" t="n">
        <v>1975.290824230932</v>
      </c>
      <c r="D1082" s="6" t="n">
        <v>65506.87137626168</v>
      </c>
      <c r="E1082" s="8" t="n">
        <v>0.008997846212827319</v>
      </c>
      <c r="F1082" s="8" t="n">
        <v>0.001116073460092726</v>
      </c>
      <c r="G1082" s="6" t="n">
        <v>1436.848065608868</v>
      </c>
      <c r="H1082" s="6" t="n">
        <v>44.61376275518967</v>
      </c>
      <c r="I1082" s="6" t="n">
        <v>129.2986467387364</v>
      </c>
    </row>
    <row r="1083">
      <c r="A1083" s="6" t="inlineStr">
        <is>
          <t>1 wt% Re | 250 C</t>
        </is>
      </c>
      <c r="B1083" s="8" t="n">
        <v>0.291</v>
      </c>
      <c r="C1083" s="6" t="n">
        <v>1979.001418322656</v>
      </c>
      <c r="D1083" s="6" t="n">
        <v>65412.67318206278</v>
      </c>
      <c r="E1083" s="8" t="n">
        <v>0.008973796437514886</v>
      </c>
      <c r="F1083" s="8" t="n">
        <v>0.00111069857742223</v>
      </c>
      <c r="G1083" s="6" t="n">
        <v>1439.745256156969</v>
      </c>
      <c r="H1083" s="6" t="n">
        <v>44.69470565732091</v>
      </c>
      <c r="I1083" s="6" t="n">
        <v>129.4710774120628</v>
      </c>
    </row>
    <row r="1084">
      <c r="A1084" s="6" t="inlineStr">
        <is>
          <t>1 wt% Re | 250 C</t>
        </is>
      </c>
      <c r="B1084" s="8" t="n">
        <v>0.292</v>
      </c>
      <c r="C1084" s="6" t="n">
        <v>1982.711844135046</v>
      </c>
      <c r="D1084" s="6" t="n">
        <v>65318.49368093994</v>
      </c>
      <c r="E1084" s="8" t="n">
        <v>0.00894991023134189</v>
      </c>
      <c r="F1084" s="8" t="n">
        <v>0.001105360250807728</v>
      </c>
      <c r="G1084" s="6" t="n">
        <v>1442.642446705071</v>
      </c>
      <c r="H1084" s="6" t="n">
        <v>44.77564871039096</v>
      </c>
      <c r="I1084" s="6" t="n">
        <v>129.6433354233006</v>
      </c>
    </row>
    <row r="1085">
      <c r="A1085" s="6" t="inlineStr">
        <is>
          <t>1 wt% Re | 250 C</t>
        </is>
      </c>
      <c r="B1085" s="8" t="n">
        <v>0.293</v>
      </c>
      <c r="C1085" s="6" t="n">
        <v>1986.422102351398</v>
      </c>
      <c r="D1085" s="6" t="n">
        <v>65224.33268149653</v>
      </c>
      <c r="E1085" s="8" t="n">
        <v>0.008926185931245716</v>
      </c>
      <c r="F1085" s="8" t="n">
        <v>0.001100058108571469</v>
      </c>
      <c r="G1085" s="6" t="n">
        <v>1445.539637253173</v>
      </c>
      <c r="H1085" s="6" t="n">
        <v>44.85659191285426</v>
      </c>
      <c r="I1085" s="6" t="n">
        <v>129.8154214746076</v>
      </c>
    </row>
    <row r="1086">
      <c r="A1086" s="6" t="inlineStr">
        <is>
          <t>1 wt% Re | 250 C</t>
        </is>
      </c>
      <c r="B1086" s="8" t="n">
        <v>0.294</v>
      </c>
      <c r="C1086" s="6" t="n">
        <v>1990.132193649958</v>
      </c>
      <c r="D1086" s="6" t="n">
        <v>65130.18999493984</v>
      </c>
      <c r="E1086" s="8" t="n">
        <v>0.008902621896632821</v>
      </c>
      <c r="F1086" s="8" t="n">
        <v>0.001094791784057311</v>
      </c>
      <c r="G1086" s="6" t="n">
        <v>1448.436827801275</v>
      </c>
      <c r="H1086" s="6" t="n">
        <v>44.93753526318651</v>
      </c>
      <c r="I1086" s="6" t="n">
        <v>129.9873362629357</v>
      </c>
    </row>
    <row r="1087">
      <c r="A1087" s="6" t="inlineStr">
        <is>
          <t>1 wt% Re | 250 C</t>
        </is>
      </c>
      <c r="B1087" s="8" t="n">
        <v>0.295</v>
      </c>
      <c r="C1087" s="6" t="n">
        <v>1993.842118703968</v>
      </c>
      <c r="D1087" s="6" t="n">
        <v>65036.06543503718</v>
      </c>
      <c r="E1087" s="8" t="n">
        <v>0.008879216509000552</v>
      </c>
      <c r="F1087" s="8" t="n">
        <v>0.001089560915546207</v>
      </c>
      <c r="G1087" s="6" t="n">
        <v>1451.334018349376</v>
      </c>
      <c r="H1087" s="6" t="n">
        <v>45.0184787598839</v>
      </c>
      <c r="I1087" s="6" t="n">
        <v>130.1590804800871</v>
      </c>
    </row>
    <row r="1088">
      <c r="A1088" s="6" t="inlineStr">
        <is>
          <t>1 wt% Re | 250 C</t>
        </is>
      </c>
      <c r="B1088" s="8" t="n">
        <v>0.296</v>
      </c>
      <c r="C1088" s="6" t="n">
        <v>1997.551878181725</v>
      </c>
      <c r="D1088" s="6" t="n">
        <v>64941.95881807243</v>
      </c>
      <c r="E1088" s="8" t="n">
        <v>0.008855968171566572</v>
      </c>
      <c r="F1088" s="8" t="n">
        <v>0.001084365146173378</v>
      </c>
      <c r="G1088" s="6" t="n">
        <v>1454.231208897478</v>
      </c>
      <c r="H1088" s="6" t="n">
        <v>45.099422401463</v>
      </c>
      <c r="I1088" s="6" t="n">
        <v>130.33065481277</v>
      </c>
    </row>
    <row r="1089">
      <c r="A1089" s="6" t="inlineStr">
        <is>
          <t>1 wt% Re | 250 C</t>
        </is>
      </c>
      <c r="B1089" s="8" t="n">
        <v>0.297</v>
      </c>
      <c r="C1089" s="6" t="n">
        <v>2001.26147274663</v>
      </c>
      <c r="D1089" s="6" t="n">
        <v>64847.86996280379</v>
      </c>
      <c r="E1089" s="8" t="n">
        <v>0.008832875308905709</v>
      </c>
      <c r="F1089" s="8" t="n">
        <v>0.001079204123847159</v>
      </c>
      <c r="G1089" s="6" t="n">
        <v>1457.12839944558</v>
      </c>
      <c r="H1089" s="6" t="n">
        <v>45.18036618646036</v>
      </c>
      <c r="I1089" s="6" t="n">
        <v>130.5020599426535</v>
      </c>
    </row>
    <row r="1090">
      <c r="A1090" s="6" t="inlineStr">
        <is>
          <t>1 wt% Re | 250 C</t>
        </is>
      </c>
      <c r="B1090" s="8" t="n">
        <v>0.298</v>
      </c>
      <c r="C1090" s="6" t="n">
        <v>2004.970903057243</v>
      </c>
      <c r="D1090" s="6" t="n">
        <v>64753.79869042225</v>
      </c>
      <c r="E1090" s="8" t="n">
        <v>0.008809936366594091</v>
      </c>
      <c r="F1090" s="8" t="n">
        <v>0.001074077501169461</v>
      </c>
      <c r="G1090" s="6" t="n">
        <v>1460.025589993682</v>
      </c>
      <c r="H1090" s="6" t="n">
        <v>45.26131011343218</v>
      </c>
      <c r="I1090" s="6" t="n">
        <v>130.6732965464216</v>
      </c>
    </row>
    <row r="1091">
      <c r="A1091" s="6" t="inlineStr">
        <is>
          <t>1 wt% Re | 250 C</t>
        </is>
      </c>
      <c r="B1091" s="8" t="n">
        <v>0.299</v>
      </c>
      <c r="C1091" s="6" t="n">
        <v>2008.680169767336</v>
      </c>
      <c r="D1091" s="6" t="n">
        <v>64659.74482451089</v>
      </c>
      <c r="E1091" s="8" t="n">
        <v>0.008787149810860345</v>
      </c>
      <c r="F1091" s="8" t="n">
        <v>0.001068984935357826</v>
      </c>
      <c r="G1091" s="6" t="n">
        <v>1462.922780541783</v>
      </c>
      <c r="H1091" s="6" t="n">
        <v>45.34225418095397</v>
      </c>
      <c r="I1091" s="6" t="n">
        <v>130.844365295826</v>
      </c>
    </row>
    <row r="1092">
      <c r="A1092" s="6" t="inlineStr">
        <is>
          <t>1 wt% Re | 250 C</t>
        </is>
      </c>
      <c r="B1092" s="8" t="n">
        <v>0.3</v>
      </c>
      <c r="C1092" s="6" t="n">
        <v>2012.38927352594</v>
      </c>
      <c r="D1092" s="6" t="n">
        <v>64565.70819100497</v>
      </c>
      <c r="E1092" s="8" t="n">
        <v>0.00876451412824376</v>
      </c>
      <c r="F1092" s="8" t="n">
        <v>0.001063926088169019</v>
      </c>
      <c r="G1092" s="6" t="n">
        <v>1465.819971089886</v>
      </c>
      <c r="H1092" s="6" t="n">
        <v>45.42319838762023</v>
      </c>
      <c r="I1092" s="6" t="n">
        <v>131.0152668577394</v>
      </c>
    </row>
    <row r="1093">
      <c r="A1093" s="6" t="inlineStr">
        <is>
          <t>1 wt% Re | 250 C</t>
        </is>
      </c>
      <c r="B1093" s="8" t="n">
        <v>0.301</v>
      </c>
      <c r="C1093" s="6" t="n">
        <v>2016.098214977395</v>
      </c>
      <c r="D1093" s="6" t="n">
        <v>64471.688618153</v>
      </c>
      <c r="E1093" s="8" t="n">
        <v>0.008742027825259173</v>
      </c>
      <c r="F1093" s="8" t="n">
        <v>0.00105890062582414</v>
      </c>
      <c r="G1093" s="6" t="n">
        <v>1468.717161637987</v>
      </c>
      <c r="H1093" s="6" t="n">
        <v>45.5041427320441</v>
      </c>
      <c r="I1093" s="6" t="n">
        <v>131.1860018942068</v>
      </c>
    </row>
    <row r="1094">
      <c r="A1094" s="6" t="inlineStr">
        <is>
          <t>1 wt% Re | 250 C</t>
        </is>
      </c>
      <c r="B1094" s="8" t="n">
        <v>0.302</v>
      </c>
      <c r="C1094" s="6" t="n">
        <v>2019.806994761407</v>
      </c>
      <c r="D1094" s="6" t="n">
        <v>64377.68593647824</v>
      </c>
      <c r="E1094" s="8" t="n">
        <v>0.008719689428068497</v>
      </c>
      <c r="F1094" s="8" t="n">
        <v>0.001053908218935218</v>
      </c>
      <c r="G1094" s="6" t="n">
        <v>1471.614352186089</v>
      </c>
      <c r="H1094" s="6" t="n">
        <v>45.5850872128572</v>
      </c>
      <c r="I1094" s="6" t="n">
        <v>131.3565710624965</v>
      </c>
    </row>
    <row r="1095">
      <c r="A1095" s="6" t="inlineStr">
        <is>
          <t>1 wt% Re | 250 C</t>
        </is>
      </c>
      <c r="B1095" s="8" t="n">
        <v>0.303</v>
      </c>
      <c r="C1095" s="6" t="n">
        <v>2023.515613513084</v>
      </c>
      <c r="D1095" s="6" t="n">
        <v>64283.69997874132</v>
      </c>
      <c r="E1095" s="8" t="n">
        <v>0.008697497482158725</v>
      </c>
      <c r="F1095" s="8" t="n">
        <v>0.001048948542433236</v>
      </c>
      <c r="G1095" s="6" t="n">
        <v>1474.511542734191</v>
      </c>
      <c r="H1095" s="6" t="n">
        <v>45.66603182870906</v>
      </c>
      <c r="I1095" s="6" t="n">
        <v>131.5269750151507</v>
      </c>
    </row>
    <row r="1096">
      <c r="A1096" s="6" t="inlineStr">
        <is>
          <t>1 wt% Re | 250 C</t>
        </is>
      </c>
      <c r="B1096" s="8" t="n">
        <v>0.304</v>
      </c>
      <c r="C1096" s="6" t="n">
        <v>2027.224071862998</v>
      </c>
      <c r="D1096" s="6" t="n">
        <v>64189.73057990339</v>
      </c>
      <c r="E1096" s="8" t="n">
        <v>0.0086754505520262</v>
      </c>
      <c r="F1096" s="8" t="n">
        <v>0.001044021275497577</v>
      </c>
      <c r="G1096" s="6" t="n">
        <v>1477.408733282293</v>
      </c>
      <c r="H1096" s="6" t="n">
        <v>45.74697657826713</v>
      </c>
      <c r="I1096" s="6" t="n">
        <v>131.6972144000351</v>
      </c>
    </row>
    <row r="1097">
      <c r="A1097" s="6" t="inlineStr">
        <is>
          <t>1 wt% Re | 250 C</t>
        </is>
      </c>
      <c r="B1097" s="8" t="n">
        <v>0.305</v>
      </c>
      <c r="C1097" s="6" t="n">
        <v>2030.93237043722</v>
      </c>
      <c r="D1097" s="6" t="n">
        <v>64095.77757709004</v>
      </c>
      <c r="E1097" s="8" t="n">
        <v>0.008653547220867084</v>
      </c>
      <c r="F1097" s="8" t="n">
        <v>0.001039126101486848</v>
      </c>
      <c r="G1097" s="6" t="n">
        <v>1480.305923830394</v>
      </c>
      <c r="H1097" s="6" t="n">
        <v>45.82792146021622</v>
      </c>
      <c r="I1097" s="6" t="n">
        <v>131.8672898603875</v>
      </c>
    </row>
    <row r="1098">
      <c r="A1098" s="6" t="inlineStr">
        <is>
          <t>1 wt% Re | 250 C</t>
        </is>
      </c>
      <c r="B1098" s="8" t="n">
        <v>0.306</v>
      </c>
      <c r="C1098" s="6" t="n">
        <v>2034.64050985738</v>
      </c>
      <c r="D1098" s="6" t="n">
        <v>64001.84080955591</v>
      </c>
      <c r="E1098" s="8" t="n">
        <v>0.008631786090273871</v>
      </c>
      <c r="F1098" s="8" t="n">
        <v>0.001034262707871049</v>
      </c>
      <c r="G1098" s="6" t="n">
        <v>1483.203114378497</v>
      </c>
      <c r="H1098" s="6" t="n">
        <v>45.90886647325843</v>
      </c>
      <c r="I1098" s="6" t="n">
        <v>132.0372020348668</v>
      </c>
    </row>
    <row r="1099">
      <c r="A1099" s="6" t="inlineStr">
        <is>
          <t>1 wt% Re | 250 C</t>
        </is>
      </c>
      <c r="B1099" s="8" t="n">
        <v>0.307</v>
      </c>
      <c r="C1099" s="6" t="n">
        <v>2038.348490740698</v>
      </c>
      <c r="D1099" s="6" t="n">
        <v>63907.92011865009</v>
      </c>
      <c r="E1099" s="8" t="n">
        <v>0.008610165779937734</v>
      </c>
      <c r="F1099" s="8" t="n">
        <v>0.001029430786165054</v>
      </c>
      <c r="G1099" s="6" t="n">
        <v>1486.100304926598</v>
      </c>
      <c r="H1099" s="6" t="n">
        <v>45.98981161611266</v>
      </c>
      <c r="I1099" s="6" t="n">
        <v>132.2069515576</v>
      </c>
    </row>
    <row r="1100">
      <c r="A1100" s="6" t="inlineStr">
        <is>
          <t>1 wt% Re | 250 C</t>
        </is>
      </c>
      <c r="B1100" s="8" t="n">
        <v>0.308</v>
      </c>
      <c r="C1100" s="6" t="n">
        <v>2042.056313700042</v>
      </c>
      <c r="D1100" s="6" t="n">
        <v>63814.01534778199</v>
      </c>
      <c r="E1100" s="8" t="n">
        <v>0.008588684927356711</v>
      </c>
      <c r="F1100" s="8" t="n">
        <v>0.001024630031863389</v>
      </c>
      <c r="G1100" s="6" t="n">
        <v>1488.9974954747</v>
      </c>
      <c r="H1100" s="6" t="n">
        <v>46.07075688751456</v>
      </c>
      <c r="I1100" s="6" t="n">
        <v>132.3765390582294</v>
      </c>
    </row>
    <row r="1101">
      <c r="A1101" s="6" t="inlineStr">
        <is>
          <t>1 wt% Re | 250 C</t>
        </is>
      </c>
      <c r="B1101" s="8" t="n">
        <v>0.309</v>
      </c>
      <c r="C1101" s="6" t="n">
        <v>2045.763979343965</v>
      </c>
      <c r="D1101" s="6" t="n">
        <v>63720.12634238822</v>
      </c>
      <c r="E1101" s="8" t="n">
        <v>0.008567342187549454</v>
      </c>
      <c r="F1101" s="8" t="n">
        <v>0.001019860144376264</v>
      </c>
      <c r="G1101" s="6" t="n">
        <v>1491.894686022802</v>
      </c>
      <c r="H1101" s="6" t="n">
        <v>46.15170228621603</v>
      </c>
      <c r="I1101" s="6" t="n">
        <v>132.5459651619588</v>
      </c>
    </row>
    <row r="1102">
      <c r="A1102" s="6" t="inlineStr">
        <is>
          <t>1 wt% Re | 250 C</t>
        </is>
      </c>
      <c r="B1102" s="8" t="n">
        <v>0.31</v>
      </c>
      <c r="C1102" s="6" t="n">
        <v>2049.471488276755</v>
      </c>
      <c r="D1102" s="6" t="n">
        <v>63626.2529498996</v>
      </c>
      <c r="E1102" s="8" t="n">
        <v>0.008546136232774511</v>
      </c>
      <c r="F1102" s="8" t="n">
        <v>0.00101512082696683</v>
      </c>
      <c r="G1102" s="6" t="n">
        <v>1494.791876570904</v>
      </c>
      <c r="H1102" s="6" t="n">
        <v>46.2326478109852</v>
      </c>
      <c r="I1102" s="6" t="n">
        <v>132.7152304895998</v>
      </c>
    </row>
    <row r="1103">
      <c r="A1103" s="6" t="inlineStr">
        <is>
          <t>1 wt% Re | 250 C</t>
        </is>
      </c>
      <c r="B1103" s="8" t="n">
        <v>0.311</v>
      </c>
      <c r="C1103" s="6" t="n">
        <v>2053.178841098476</v>
      </c>
      <c r="D1103" s="6" t="n">
        <v>63532.39501970938</v>
      </c>
      <c r="E1103" s="8" t="n">
        <v>0.008525065752254982</v>
      </c>
      <c r="F1103" s="8" t="n">
        <v>0.001010411786689647</v>
      </c>
      <c r="G1103" s="6" t="n">
        <v>1497.689067119005</v>
      </c>
      <c r="H1103" s="6" t="n">
        <v>46.31359346060595</v>
      </c>
      <c r="I1103" s="6" t="n">
        <v>132.8843356576159</v>
      </c>
    </row>
    <row r="1104">
      <c r="A1104" s="6" t="inlineStr">
        <is>
          <t>1 wt% Re | 250 C</t>
        </is>
      </c>
      <c r="B1104" s="8" t="n">
        <v>0.312</v>
      </c>
      <c r="C1104" s="6" t="n">
        <v>2056.886038405011</v>
      </c>
      <c r="D1104" s="6" t="n">
        <v>63438.55240314156</v>
      </c>
      <c r="E1104" s="8" t="n">
        <v>0.008504129451908447</v>
      </c>
      <c r="F1104" s="8" t="n">
        <v>0.00100573273433032</v>
      </c>
      <c r="G1104" s="6" t="n">
        <v>1500.586257667108</v>
      </c>
      <c r="H1104" s="6" t="n">
        <v>46.39453923387781</v>
      </c>
      <c r="I1104" s="6" t="n">
        <v>133.0532812781678</v>
      </c>
    </row>
    <row r="1105">
      <c r="A1105" s="6" t="inlineStr">
        <is>
          <t>1 wt% Re | 250 C</t>
        </is>
      </c>
      <c r="B1105" s="8" t="n">
        <v>0.313</v>
      </c>
      <c r="C1105" s="6" t="n">
        <v>2060.593080788102</v>
      </c>
      <c r="D1105" s="6" t="n">
        <v>63344.72495342025</v>
      </c>
      <c r="E1105" s="8" t="n">
        <v>0.008483326054082007</v>
      </c>
      <c r="F1105" s="8" t="n">
        <v>0.001001083384346291</v>
      </c>
      <c r="G1105" s="6" t="n">
        <v>1503.483448215209</v>
      </c>
      <c r="H1105" s="6" t="n">
        <v>46.47548512961558</v>
      </c>
      <c r="I1105" s="6" t="n">
        <v>133.2220679591568</v>
      </c>
    </row>
    <row r="1106">
      <c r="A1106" s="6" t="inlineStr">
        <is>
          <t>1 wt% Re | 250 C</t>
        </is>
      </c>
      <c r="B1106" s="8" t="n">
        <v>0.314</v>
      </c>
      <c r="C1106" s="6" t="n">
        <v>2064.2999688354</v>
      </c>
      <c r="D1106" s="6" t="n">
        <v>63250.91252563925</v>
      </c>
      <c r="E1106" s="8" t="n">
        <v>0.008462654297292394</v>
      </c>
      <c r="F1106" s="8" t="n">
        <v>0.0009964634548087464</v>
      </c>
      <c r="G1106" s="6" t="n">
        <v>1506.380638763311</v>
      </c>
      <c r="H1106" s="6" t="n">
        <v>46.55643114664927</v>
      </c>
      <c r="I1106" s="6" t="n">
        <v>133.3906963042684</v>
      </c>
    </row>
    <row r="1107">
      <c r="A1107" s="6" t="inlineStr">
        <is>
          <t>1 wt% Re | 250 C</t>
        </is>
      </c>
      <c r="B1107" s="8" t="n">
        <v>0.315</v>
      </c>
      <c r="C1107" s="6" t="n">
        <v>2068.006703130496</v>
      </c>
      <c r="D1107" s="6" t="n">
        <v>63157.11497673249</v>
      </c>
      <c r="E1107" s="8" t="n">
        <v>0.008442112935970971</v>
      </c>
      <c r="F1107" s="8" t="n">
        <v>0.0009918726673456368</v>
      </c>
      <c r="G1107" s="6" t="n">
        <v>1509.277829311413</v>
      </c>
      <c r="H1107" s="6" t="n">
        <v>46.63737728382363</v>
      </c>
      <c r="I1107" s="6" t="n">
        <v>133.5591669130149</v>
      </c>
    </row>
    <row r="1108">
      <c r="A1108" s="6" t="inlineStr">
        <is>
          <t>1 wt% Re | 250 C</t>
        </is>
      </c>
      <c r="B1108" s="8" t="n">
        <v>0.316</v>
      </c>
      <c r="C1108" s="6" t="n">
        <v>2071.713284252971</v>
      </c>
      <c r="D1108" s="6" t="n">
        <v>63063.33216544481</v>
      </c>
      <c r="E1108" s="8" t="n">
        <v>0.008421700740213553</v>
      </c>
      <c r="F1108" s="8" t="n">
        <v>0.0009873107470857569</v>
      </c>
      <c r="G1108" s="6" t="n">
        <v>1512.175019859515</v>
      </c>
      <c r="H1108" s="6" t="n">
        <v>46.7183235399981</v>
      </c>
      <c r="I1108" s="6" t="n">
        <v>133.7274803807774</v>
      </c>
    </row>
    <row r="1109">
      <c r="A1109" s="6" t="inlineStr">
        <is>
          <t>1 wt% Re | 250 C</t>
        </is>
      </c>
      <c r="B1109" s="8" t="n">
        <v>0.317</v>
      </c>
      <c r="C1109" s="6" t="n">
        <v>2075.41971277843</v>
      </c>
      <c r="D1109" s="6" t="n">
        <v>62969.56395230346</v>
      </c>
      <c r="E1109" s="8" t="n">
        <v>0.008401416495534924</v>
      </c>
      <c r="F1109" s="8" t="n">
        <v>0.0009827774226038892</v>
      </c>
      <c r="G1109" s="6" t="n">
        <v>1515.072210407616</v>
      </c>
      <c r="H1109" s="6" t="n">
        <v>46.79926991404648</v>
      </c>
      <c r="I1109" s="6" t="n">
        <v>133.8956372988475</v>
      </c>
    </row>
    <row r="1110">
      <c r="A1110" s="6" t="inlineStr">
        <is>
          <t>1 wt% Re | 250 C</t>
        </is>
      </c>
      <c r="B1110" s="8" t="n">
        <v>0.318</v>
      </c>
      <c r="C1110" s="6" t="n">
        <v>2079.125989278546</v>
      </c>
      <c r="D1110" s="6" t="n">
        <v>62875.81019959012</v>
      </c>
      <c r="E1110" s="8" t="n">
        <v>0.008381259002627975</v>
      </c>
      <c r="F1110" s="8" t="n">
        <v>0.000978272425866967</v>
      </c>
      <c r="G1110" s="6" t="n">
        <v>1517.969400955719</v>
      </c>
      <c r="H1110" s="6" t="n">
        <v>46.88021640485678</v>
      </c>
      <c r="I1110" s="6" t="n">
        <v>134.0636382544685</v>
      </c>
    </row>
    <row r="1111">
      <c r="A1111" s="6" t="inlineStr">
        <is>
          <t>1 wt% Re | 250 C</t>
        </is>
      </c>
      <c r="B1111" s="8" t="n">
        <v>0.319</v>
      </c>
      <c r="C1111" s="6" t="n">
        <v>2082.832114321095</v>
      </c>
      <c r="D1111" s="6" t="n">
        <v>62782.0707713133</v>
      </c>
      <c r="E1111" s="8" t="n">
        <v>0.008361227077127322</v>
      </c>
      <c r="F1111" s="8" t="n">
        <v>0.000973795492181251</v>
      </c>
      <c r="G1111" s="6" t="n">
        <v>1520.86659150382</v>
      </c>
      <c r="H1111" s="6" t="n">
        <v>46.9611630113309</v>
      </c>
      <c r="I1111" s="6" t="n">
        <v>134.2314838308755</v>
      </c>
    </row>
    <row r="1112">
      <c r="A1112" s="6" t="inlineStr">
        <is>
          <t>1 wt% Re | 250 C</t>
        </is>
      </c>
      <c r="B1112" s="8" t="n">
        <v>0.32</v>
      </c>
      <c r="C1112" s="6" t="n">
        <v>2086.538088469998</v>
      </c>
      <c r="D1112" s="6" t="n">
        <v>62688.34553318135</v>
      </c>
      <c r="E1112" s="8" t="n">
        <v>0.008341319549377344</v>
      </c>
      <c r="F1112" s="8" t="n">
        <v>0.0009693463601404835</v>
      </c>
      <c r="G1112" s="6" t="n">
        <v>1523.763782051922</v>
      </c>
      <c r="H1112" s="6" t="n">
        <v>47.04210973238453</v>
      </c>
      <c r="I1112" s="6" t="n">
        <v>134.3991746073357</v>
      </c>
    </row>
    <row r="1113">
      <c r="A1113" s="6" t="inlineStr">
        <is>
          <t>1 wt% Re | 250 C</t>
        </is>
      </c>
      <c r="B1113" s="8" t="n">
        <v>0.321</v>
      </c>
      <c r="C1113" s="6" t="n">
        <v>2090.243912285357</v>
      </c>
      <c r="D1113" s="6" t="n">
        <v>62594.63435257615</v>
      </c>
      <c r="E1113" s="8" t="n">
        <v>0.008321535264204507</v>
      </c>
      <c r="F1113" s="8" t="n">
        <v>0.0009649247715750106</v>
      </c>
      <c r="G1113" s="6" t="n">
        <v>1526.660972600024</v>
      </c>
      <c r="H1113" s="6" t="n">
        <v>47.12305656694677</v>
      </c>
      <c r="I1113" s="6" t="n">
        <v>134.5667111591877</v>
      </c>
    </row>
    <row r="1114">
      <c r="A1114" s="6" t="inlineStr">
        <is>
          <t>1 wt% Re | 250 C</t>
        </is>
      </c>
      <c r="B1114" s="8" t="n">
        <v>0.322</v>
      </c>
      <c r="C1114" s="6" t="n">
        <v>2093.949586323499</v>
      </c>
      <c r="D1114" s="6" t="n">
        <v>62500.93709852693</v>
      </c>
      <c r="E1114" s="8" t="n">
        <v>0.008301873080693934</v>
      </c>
      <c r="F1114" s="8" t="n">
        <v>0.0009605304715018421</v>
      </c>
      <c r="G1114" s="6" t="n">
        <v>1529.558163148126</v>
      </c>
      <c r="H1114" s="6" t="n">
        <v>47.20400351396015</v>
      </c>
      <c r="I1114" s="6" t="n">
        <v>134.7340940578805</v>
      </c>
    </row>
    <row r="1115">
      <c r="A1115" s="6" t="inlineStr">
        <is>
          <t>1 wt% Re | 250 C</t>
        </is>
      </c>
      <c r="B1115" s="8" t="n">
        <v>0.323</v>
      </c>
      <c r="C1115" s="6" t="n">
        <v>2097.655111137002</v>
      </c>
      <c r="D1115" s="6" t="n">
        <v>62407.2536416849</v>
      </c>
      <c r="E1115" s="8" t="n">
        <v>0.008282331871970076</v>
      </c>
      <c r="F1115" s="8" t="n">
        <v>0.0009561632080756383</v>
      </c>
      <c r="G1115" s="6" t="n">
        <v>1532.455353696227</v>
      </c>
      <c r="H1115" s="6" t="n">
        <v>47.28495057238018</v>
      </c>
      <c r="I1115" s="6" t="n">
        <v>134.9013238710116</v>
      </c>
    </row>
    <row r="1116">
      <c r="A1116" s="6" t="inlineStr">
        <is>
          <t>1 wt% Re | 250 C</t>
        </is>
      </c>
      <c r="B1116" s="8" t="n">
        <v>0.324</v>
      </c>
      <c r="C1116" s="6" t="n">
        <v>2101.360487274743</v>
      </c>
      <c r="D1116" s="6" t="n">
        <v>62313.58385429812</v>
      </c>
      <c r="E1116" s="8" t="n">
        <v>0.008262910524981433</v>
      </c>
      <c r="F1116" s="8" t="n">
        <v>0.0009518227325405919</v>
      </c>
      <c r="G1116" s="6" t="n">
        <v>1535.352544244329</v>
      </c>
      <c r="H1116" s="6" t="n">
        <v>47.36589774117537</v>
      </c>
      <c r="I1116" s="6" t="n">
        <v>135.0684011623655</v>
      </c>
    </row>
    <row r="1117">
      <c r="A1117" s="6" t="inlineStr">
        <is>
          <t>1 wt% Re | 250 C</t>
        </is>
      </c>
      <c r="B1117" s="8" t="n">
        <v>0.325</v>
      </c>
      <c r="C1117" s="6" t="n">
        <v>2105.065715281927</v>
      </c>
      <c r="D1117" s="6" t="n">
        <v>62219.92761018701</v>
      </c>
      <c r="E1117" s="8" t="n">
        <v>0.008243607940289201</v>
      </c>
      <c r="F1117" s="8" t="n">
        <v>0.0009475087991832006</v>
      </c>
      <c r="G1117" s="6" t="n">
        <v>1538.249734792431</v>
      </c>
      <c r="H1117" s="6" t="n">
        <v>47.44684501932684</v>
      </c>
      <c r="I1117" s="6" t="n">
        <v>135.2353264919504</v>
      </c>
    </row>
    <row r="1118">
      <c r="A1118" s="6" t="inlineStr">
        <is>
          <t>1 wt% Re | 250 C</t>
        </is>
      </c>
      <c r="B1118" s="8" t="n">
        <v>0.326</v>
      </c>
      <c r="C1118" s="6" t="n">
        <v>2108.770795700125</v>
      </c>
      <c r="D1118" s="6" t="n">
        <v>62126.28478472017</v>
      </c>
      <c r="E1118" s="8" t="n">
        <v>0.008224423031859822</v>
      </c>
      <c r="F1118" s="8" t="n">
        <v>0.0009432211652858962</v>
      </c>
      <c r="G1118" s="6" t="n">
        <v>1541.146925340533</v>
      </c>
      <c r="H1118" s="6" t="n">
        <v>47.52779240582824</v>
      </c>
      <c r="I1118" s="6" t="n">
        <v>135.4021004160356</v>
      </c>
    </row>
    <row r="1119">
      <c r="A1119" s="6" t="inlineStr">
        <is>
          <t>1 wt% Re | 250 C</t>
        </is>
      </c>
      <c r="B1119" s="8" t="n">
        <v>0.327</v>
      </c>
      <c r="C1119" s="6" t="n">
        <v>2112.475729067311</v>
      </c>
      <c r="D1119" s="6" t="n">
        <v>62032.65525479082</v>
      </c>
      <c r="E1119" s="8" t="n">
        <v>0.008205354726861278</v>
      </c>
      <c r="F1119" s="8" t="n">
        <v>0.0009389595910815238</v>
      </c>
      <c r="G1119" s="6" t="n">
        <v>1544.044115888635</v>
      </c>
      <c r="H1119" s="6" t="n">
        <v>47.60873989968554</v>
      </c>
      <c r="I1119" s="6" t="n">
        <v>135.568723487188</v>
      </c>
    </row>
    <row r="1120">
      <c r="A1120" s="6" t="inlineStr">
        <is>
          <t>1 wt% Re | 250 C</t>
        </is>
      </c>
      <c r="B1120" s="8" t="n">
        <v>0.328</v>
      </c>
      <c r="C1120" s="6" t="n">
        <v>2116.180515917892</v>
      </c>
      <c r="D1120" s="6" t="n">
        <v>61939.03889879339</v>
      </c>
      <c r="E1120" s="8" t="n">
        <v>0.008186401965463117</v>
      </c>
      <c r="F1120" s="8" t="n">
        <v>0.0009347238397086462</v>
      </c>
      <c r="G1120" s="6" t="n">
        <v>1546.941306436737</v>
      </c>
      <c r="H1120" s="6" t="n">
        <v>47.68968749991682</v>
      </c>
      <c r="I1120" s="6" t="n">
        <v>135.7351962543078</v>
      </c>
    </row>
    <row r="1121">
      <c r="A1121" s="6" t="inlineStr">
        <is>
          <t>1 wt% Re | 250 C</t>
        </is>
      </c>
      <c r="B1121" s="8" t="n">
        <v>0.329</v>
      </c>
      <c r="C1121" s="6" t="n">
        <v>2119.885156782751</v>
      </c>
      <c r="D1121" s="6" t="n">
        <v>61845.43559660089</v>
      </c>
      <c r="E1121" s="8" t="n">
        <v>0.008167563700640089</v>
      </c>
      <c r="F1121" s="8" t="n">
        <v>0.000930513677167661</v>
      </c>
      <c r="G1121" s="6" t="n">
        <v>1549.838496984838</v>
      </c>
      <c r="H1121" s="6" t="n">
        <v>47.77063520555213</v>
      </c>
      <c r="I1121" s="6" t="n">
        <v>135.9015192626643</v>
      </c>
    </row>
    <row r="1122">
      <c r="A1122" s="6" t="inlineStr">
        <is>
          <t>1 wt% Re | 250 C</t>
        </is>
      </c>
      <c r="B1122" s="8" t="n">
        <v>0.33</v>
      </c>
      <c r="C1122" s="6" t="n">
        <v>2123.589652189271</v>
      </c>
      <c r="D1122" s="6" t="n">
        <v>61751.8452295423</v>
      </c>
      <c r="E1122" s="8" t="n">
        <v>0.008148838897979325</v>
      </c>
      <c r="F1122" s="8" t="n">
        <v>0.0009263288722777052</v>
      </c>
      <c r="G1122" s="6" t="n">
        <v>1552.735687532941</v>
      </c>
      <c r="H1122" s="6" t="n">
        <v>47.85158301563323</v>
      </c>
      <c r="I1122" s="6" t="n">
        <v>136.0676930539307</v>
      </c>
    </row>
    <row r="1123">
      <c r="A1123" s="6" t="inlineStr">
        <is>
          <t>1 wt% Re | 250 C</t>
        </is>
      </c>
      <c r="B1123" s="8" t="n">
        <v>0.331</v>
      </c>
      <c r="C1123" s="6" t="n">
        <v>2127.294002661376</v>
      </c>
      <c r="D1123" s="6" t="n">
        <v>61658.26768038082</v>
      </c>
      <c r="E1123" s="8" t="n">
        <v>0.008130226535491015</v>
      </c>
      <c r="F1123" s="8" t="n">
        <v>0.0009221691966343446</v>
      </c>
      <c r="G1123" s="6" t="n">
        <v>1555.632878081042</v>
      </c>
      <c r="H1123" s="6" t="n">
        <v>47.93253092921348</v>
      </c>
      <c r="I1123" s="6" t="n">
        <v>136.233718166219</v>
      </c>
    </row>
    <row r="1124">
      <c r="A1124" s="6" t="inlineStr">
        <is>
          <t>1 wt% Re | 250 C</t>
        </is>
      </c>
      <c r="B1124" s="8" t="n">
        <v>0.332</v>
      </c>
      <c r="C1124" s="6" t="n">
        <v>2130.998208719565</v>
      </c>
      <c r="D1124" s="6" t="n">
        <v>61564.70283329204</v>
      </c>
      <c r="E1124" s="8" t="n">
        <v>0.008111725603422446</v>
      </c>
      <c r="F1124" s="8" t="n">
        <v>0.000918034424568013</v>
      </c>
      <c r="G1124" s="6" t="n">
        <v>1558.530068629144</v>
      </c>
      <c r="H1124" s="6" t="n">
        <v>48.01347894535768</v>
      </c>
      <c r="I1124" s="6" t="n">
        <v>136.3995951341141</v>
      </c>
    </row>
    <row r="1125">
      <c r="A1125" s="6" t="inlineStr">
        <is>
          <t>1 wt% Re | 250 C</t>
        </is>
      </c>
      <c r="B1125" s="8" t="n">
        <v>0.333</v>
      </c>
      <c r="C1125" s="6" t="n">
        <v>2134.702270880933</v>
      </c>
      <c r="D1125" s="6" t="n">
        <v>61471.15057384291</v>
      </c>
      <c r="E1125" s="8" t="n">
        <v>0.00809333510407541</v>
      </c>
      <c r="F1125" s="8" t="n">
        <v>0.0009139243331032058</v>
      </c>
      <c r="G1125" s="6" t="n">
        <v>1561.427259177246</v>
      </c>
      <c r="H1125" s="6" t="n">
        <v>48.09442706314178</v>
      </c>
      <c r="I1125" s="6" t="n">
        <v>136.5653244887074</v>
      </c>
    </row>
    <row r="1126">
      <c r="A1126" s="6" t="inlineStr">
        <is>
          <t>1 wt% Re | 250 C</t>
        </is>
      </c>
      <c r="B1126" s="8" t="n">
        <v>0.334</v>
      </c>
      <c r="C1126" s="6" t="n">
        <v>2138.40618965922</v>
      </c>
      <c r="D1126" s="6" t="n">
        <v>61377.61078897075</v>
      </c>
      <c r="E1126" s="8" t="n">
        <v>0.008075054051626852</v>
      </c>
      <c r="F1126" s="8" t="n">
        <v>0.0009098387019183938</v>
      </c>
      <c r="G1126" s="6" t="n">
        <v>1564.324449725348</v>
      </c>
      <c r="H1126" s="6" t="n">
        <v>48.17537528165288</v>
      </c>
      <c r="I1126" s="6" t="n">
        <v>136.7309067576304</v>
      </c>
    </row>
    <row r="1127">
      <c r="A1127" s="6" t="inlineStr">
        <is>
          <t>1 wt% Re | 250 C</t>
        </is>
      </c>
      <c r="B1127" s="8" t="n">
        <v>0.335</v>
      </c>
      <c r="C1127" s="6" t="n">
        <v>2142.109965564827</v>
      </c>
      <c r="D1127" s="6" t="n">
        <v>61284.08336696295</v>
      </c>
      <c r="E1127" s="8" t="n">
        <v>0.008056881471952708</v>
      </c>
      <c r="F1127" s="8" t="n">
        <v>0.0009057773133066557</v>
      </c>
      <c r="G1127" s="6" t="n">
        <v>1567.221640273449</v>
      </c>
      <c r="H1127" s="6" t="n">
        <v>48.25632359998892</v>
      </c>
      <c r="I1127" s="6" t="n">
        <v>136.8963424650873</v>
      </c>
    </row>
    <row r="1128">
      <c r="A1128" s="6" t="inlineStr">
        <is>
          <t>1 wt% Re | 250 C</t>
        </is>
      </c>
      <c r="B1128" s="8" t="n">
        <v>0.336</v>
      </c>
      <c r="C1128" s="6" t="n">
        <v>2145.813599104863</v>
      </c>
      <c r="D1128" s="6" t="n">
        <v>61190.56819743682</v>
      </c>
      <c r="E1128" s="8" t="n">
        <v>0.008038816402454877</v>
      </c>
      <c r="F1128" s="8" t="n">
        <v>0.0009017399521370062</v>
      </c>
      <c r="G1128" s="6" t="n">
        <v>1570.118830821551</v>
      </c>
      <c r="H1128" s="6" t="n">
        <v>48.33727201725863</v>
      </c>
      <c r="I1128" s="6" t="n">
        <v>137.0616321318881</v>
      </c>
    </row>
    <row r="1129">
      <c r="A1129" s="6" t="inlineStr">
        <is>
          <t>1 wt% Re | 250 C</t>
        </is>
      </c>
      <c r="B1129" s="8" t="n">
        <v>0.337</v>
      </c>
      <c r="C1129" s="6" t="n">
        <v>2149.517090783165</v>
      </c>
      <c r="D1129" s="6" t="n">
        <v>61097.0651713198</v>
      </c>
      <c r="E1129" s="8" t="n">
        <v>0.00802085789189126</v>
      </c>
      <c r="F1129" s="8" t="n">
        <v>0.0008977264058164124</v>
      </c>
      <c r="G1129" s="6" t="n">
        <v>1573.016021369653</v>
      </c>
      <c r="H1129" s="6" t="n">
        <v>48.41822053258127</v>
      </c>
      <c r="I1129" s="6" t="n">
        <v>137.2267762754798</v>
      </c>
    </row>
    <row r="1130">
      <c r="A1130" s="6" t="inlineStr">
        <is>
          <t>1 wt% Re | 250 C</t>
        </is>
      </c>
      <c r="B1130" s="8" t="n">
        <v>0.338</v>
      </c>
      <c r="C1130" s="6" t="n">
        <v>2153.22044110033</v>
      </c>
      <c r="D1130" s="6" t="n">
        <v>61003.57418083012</v>
      </c>
      <c r="E1130" s="8" t="n">
        <v>0.008003005000208775</v>
      </c>
      <c r="F1130" s="8" t="n">
        <v>0.0008937364642524745</v>
      </c>
      <c r="G1130" s="6" t="n">
        <v>1575.913211917755</v>
      </c>
      <c r="H1130" s="6" t="n">
        <v>48.49916914508661</v>
      </c>
      <c r="I1130" s="6" t="n">
        <v>137.3917754099787</v>
      </c>
    </row>
    <row r="1131">
      <c r="A1131" s="6" t="inlineStr">
        <is>
          <t>1 wt% Re | 250 C</t>
        </is>
      </c>
      <c r="B1131" s="8" t="n">
        <v>0.339</v>
      </c>
      <c r="C1131" s="6" t="n">
        <v>2156.923650553747</v>
      </c>
      <c r="D1131" s="6" t="n">
        <v>60910.09511945784</v>
      </c>
      <c r="E1131" s="8" t="n">
        <v>0.007985256798379343</v>
      </c>
      <c r="F1131" s="8" t="n">
        <v>0.0008897699198167693</v>
      </c>
      <c r="G1131" s="6" t="n">
        <v>1578.810402465857</v>
      </c>
      <c r="H1131" s="6" t="n">
        <v>48.58011785391455</v>
      </c>
      <c r="I1131" s="6" t="n">
        <v>137.556630046202</v>
      </c>
    </row>
    <row r="1132">
      <c r="A1132" s="6" t="inlineStr">
        <is>
          <t>1 wt% Re | 250 C</t>
        </is>
      </c>
      <c r="B1132" s="8" t="n">
        <v>0.34</v>
      </c>
      <c r="C1132" s="6" t="n">
        <v>2160.626719637635</v>
      </c>
      <c r="D1132" s="6" t="n">
        <v>60816.62788194606</v>
      </c>
      <c r="E1132" s="8" t="n">
        <v>0.00796761236823872</v>
      </c>
      <c r="F1132" s="8" t="n">
        <v>0.0008858265673088314</v>
      </c>
      <c r="G1132" s="6" t="n">
        <v>1581.707593013959</v>
      </c>
      <c r="H1132" s="6" t="n">
        <v>48.66106665821525</v>
      </c>
      <c r="I1132" s="6" t="n">
        <v>137.7213406916977</v>
      </c>
    </row>
    <row r="1133">
      <c r="A1133" s="6" t="inlineStr">
        <is>
          <t>1 wt% Re | 250 C</t>
        </is>
      </c>
      <c r="B1133" s="8" t="n">
        <v>0.341</v>
      </c>
      <c r="C1133" s="6" t="n">
        <v>2164.329648843055</v>
      </c>
      <c r="D1133" s="6" t="n">
        <v>60723.17236427253</v>
      </c>
      <c r="E1133" s="8" t="n">
        <v>0.007950070802328167</v>
      </c>
      <c r="F1133" s="8" t="n">
        <v>0.000881906203920769</v>
      </c>
      <c r="G1133" s="6" t="n">
        <v>1584.60478356206</v>
      </c>
      <c r="H1133" s="6" t="n">
        <v>48.74201555714869</v>
      </c>
      <c r="I1133" s="6" t="n">
        <v>137.8859078507762</v>
      </c>
    </row>
    <row r="1134">
      <c r="A1134" s="6" t="inlineStr">
        <is>
          <t>1 wt% Re | 250 C</t>
        </is>
      </c>
      <c r="B1134" s="8" t="n">
        <v>0.342</v>
      </c>
      <c r="C1134" s="6" t="n">
        <v>2168.032438657957</v>
      </c>
      <c r="D1134" s="6" t="n">
        <v>60629.72846363163</v>
      </c>
      <c r="E1134" s="8" t="n">
        <v>0.007932631203738881</v>
      </c>
      <c r="F1134" s="8" t="n">
        <v>0.0008780086292024918</v>
      </c>
      <c r="G1134" s="6" t="n">
        <v>1587.501974110162</v>
      </c>
      <c r="H1134" s="6" t="n">
        <v>48.82296454988485</v>
      </c>
      <c r="I1134" s="6" t="n">
        <v>138.0503320245398</v>
      </c>
    </row>
    <row r="1135">
      <c r="A1135" s="6" t="inlineStr">
        <is>
          <t>1 wt% Re | 250 C</t>
        </is>
      </c>
      <c r="B1135" s="8" t="n">
        <v>0.343</v>
      </c>
      <c r="C1135" s="6" t="n">
        <v>2171.735089567196</v>
      </c>
      <c r="D1135" s="6" t="n">
        <v>60536.29607841668</v>
      </c>
      <c r="E1135" s="8" t="n">
        <v>0.007915292685959108</v>
      </c>
      <c r="F1135" s="8" t="n">
        <v>0.0008741336450275493</v>
      </c>
      <c r="G1135" s="6" t="n">
        <v>1590.399164658264</v>
      </c>
      <c r="H1135" s="6" t="n">
        <v>48.90391363560322</v>
      </c>
      <c r="I1135" s="6" t="n">
        <v>138.2146137109125</v>
      </c>
    </row>
    <row r="1136">
      <c r="A1136" s="6" t="inlineStr">
        <is>
          <t>1 wt% Re | 250 C</t>
        </is>
      </c>
      <c r="B1136" s="8" t="n">
        <v>0.344</v>
      </c>
      <c r="C1136" s="6" t="n">
        <v>2175.43760205257</v>
      </c>
      <c r="D1136" s="6" t="n">
        <v>60442.87510820245</v>
      </c>
      <c r="E1136" s="8" t="n">
        <v>0.007898054372723938</v>
      </c>
      <c r="F1136" s="8" t="n">
        <v>0.0008702810555595548</v>
      </c>
      <c r="G1136" s="6" t="n">
        <v>1593.296355206366</v>
      </c>
      <c r="H1136" s="6" t="n">
        <v>48.98486281349299</v>
      </c>
      <c r="I1136" s="6" t="n">
        <v>138.3787534046701</v>
      </c>
    </row>
    <row r="1137">
      <c r="A1137" s="6" t="inlineStr">
        <is>
          <t>1 wt% Re | 250 C</t>
        </is>
      </c>
      <c r="B1137" s="8" t="n">
        <v>0.345</v>
      </c>
      <c r="C1137" s="6" t="n">
        <v>2179.13997659284</v>
      </c>
      <c r="D1137" s="6" t="n">
        <v>60349.46545372805</v>
      </c>
      <c r="E1137" s="8" t="n">
        <v>0.007880915397867677</v>
      </c>
      <c r="F1137" s="8" t="n">
        <v>0.0008664506672191956</v>
      </c>
      <c r="G1137" s="6" t="n">
        <v>1596.193545754468</v>
      </c>
      <c r="H1137" s="6" t="n">
        <v>49.0658120827526</v>
      </c>
      <c r="I1137" s="6" t="n">
        <v>138.5427515974683</v>
      </c>
    </row>
    <row r="1138">
      <c r="A1138" s="6" t="inlineStr">
        <is>
          <t>1 wt% Re | 250 C</t>
        </is>
      </c>
      <c r="B1138" s="8" t="n">
        <v>0.346</v>
      </c>
      <c r="C1138" s="6" t="n">
        <v>2182.842213663766</v>
      </c>
      <c r="D1138" s="6" t="n">
        <v>60256.06701688017</v>
      </c>
      <c r="E1138" s="8" t="n">
        <v>0.00786387490517877</v>
      </c>
      <c r="F1138" s="8" t="n">
        <v>0.0008626422886518093</v>
      </c>
      <c r="G1138" s="6" t="n">
        <v>1599.090736302569</v>
      </c>
      <c r="H1138" s="6" t="n">
        <v>49.14676144258983</v>
      </c>
      <c r="I1138" s="6" t="n">
        <v>138.706608777872</v>
      </c>
    </row>
    <row r="1139">
      <c r="A1139" s="6" t="inlineStr">
        <is>
          <t>1 wt% Re | 250 C</t>
        </is>
      </c>
      <c r="B1139" s="8" t="n">
        <v>0.347</v>
      </c>
      <c r="C1139" s="6" t="n">
        <v>2186.544313738128</v>
      </c>
      <c r="D1139" s="6" t="n">
        <v>60162.67970067641</v>
      </c>
      <c r="E1139" s="8" t="n">
        <v>0.007846932048257224</v>
      </c>
      <c r="F1139" s="8" t="n">
        <v>0.0008588557306955172</v>
      </c>
      <c r="G1139" s="6" t="n">
        <v>1601.987926850671</v>
      </c>
      <c r="H1139" s="6" t="n">
        <v>49.22771089222162</v>
      </c>
      <c r="I1139" s="6" t="n">
        <v>138.8703254313839</v>
      </c>
    </row>
    <row r="1140">
      <c r="A1140" s="6" t="inlineStr">
        <is>
          <t>1 wt% Re | 250 C</t>
        </is>
      </c>
      <c r="B1140" s="8" t="n">
        <v>0.348</v>
      </c>
      <c r="C1140" s="6" t="n">
        <v>2190.246277285753</v>
      </c>
      <c r="D1140" s="6" t="n">
        <v>60069.30340924915</v>
      </c>
      <c r="E1140" s="8" t="n">
        <v>0.007830085990374453</v>
      </c>
      <c r="F1140" s="8" t="n">
        <v>0.0008550908063499049</v>
      </c>
      <c r="G1140" s="6" t="n">
        <v>1604.885117398773</v>
      </c>
      <c r="H1140" s="6" t="n">
        <v>49.30866043087388</v>
      </c>
      <c r="I1140" s="6" t="n">
        <v>139.0339020404716</v>
      </c>
    </row>
    <row r="1141">
      <c r="A1141" s="6" t="inlineStr">
        <is>
          <t>1 wt% Re | 250 C</t>
        </is>
      </c>
      <c r="B1141" s="8" t="n">
        <v>0.349</v>
      </c>
      <c r="C1141" s="6" t="n">
        <v>2193.948104773551</v>
      </c>
      <c r="D1141" s="6" t="n">
        <v>59975.93804782954</v>
      </c>
      <c r="E1141" s="8" t="n">
        <v>0.00781333590433555</v>
      </c>
      <c r="F1141" s="8" t="n">
        <v>0.000851347330745237</v>
      </c>
      <c r="G1141" s="6" t="n">
        <v>1607.782307946875</v>
      </c>
      <c r="H1141" s="6" t="n">
        <v>49.38961005778139</v>
      </c>
      <c r="I1141" s="6" t="n">
        <v>139.1973390845964</v>
      </c>
    </row>
    <row r="1142">
      <c r="A1142" s="6" t="inlineStr">
        <is>
          <t>1 wt% Re | 250 C</t>
        </is>
      </c>
      <c r="B1142" s="8" t="n">
        <v>0.35</v>
      </c>
      <c r="C1142" s="6" t="n">
        <v>2197.649796665527</v>
      </c>
      <c r="D1142" s="6" t="n">
        <v>59882.58352273183</v>
      </c>
      <c r="E1142" s="8" t="n">
        <v>0.007796680972343872</v>
      </c>
      <c r="F1142" s="8" t="n">
        <v>0.0008476251211121977</v>
      </c>
      <c r="G1142" s="6" t="n">
        <v>1610.679498494977</v>
      </c>
      <c r="H1142" s="6" t="n">
        <v>49.47055977218764</v>
      </c>
      <c r="I1142" s="6" t="n">
        <v>139.3606370402397</v>
      </c>
    </row>
    <row r="1143">
      <c r="A1143" s="6" t="inlineStr">
        <is>
          <t>1 wt% Re | 250 C</t>
        </is>
      </c>
      <c r="B1143" s="8" t="n">
        <v>0.351</v>
      </c>
      <c r="C1143" s="6" t="n">
        <v>2201.351353422822</v>
      </c>
      <c r="D1143" s="6" t="n">
        <v>59789.23974133784</v>
      </c>
      <c r="E1143" s="8" t="n">
        <v>0.007780120385867962</v>
      </c>
      <c r="F1143" s="8" t="n">
        <v>0.0008439239967521455</v>
      </c>
      <c r="G1143" s="6" t="n">
        <v>1613.576689043078</v>
      </c>
      <c r="H1143" s="6" t="n">
        <v>49.55150957334482</v>
      </c>
      <c r="I1143" s="6" t="n">
        <v>139.5237963809306</v>
      </c>
    </row>
    <row r="1144">
      <c r="A1144" s="6" t="inlineStr">
        <is>
          <t>1 wt% Re | 250 C</t>
        </is>
      </c>
      <c r="B1144" s="8" t="n">
        <v>0.352</v>
      </c>
      <c r="C1144" s="6" t="n">
        <v>2205.052775503729</v>
      </c>
      <c r="D1144" s="6" t="n">
        <v>59695.90661208195</v>
      </c>
      <c r="E1144" s="8" t="n">
        <v>0.007763653345510694</v>
      </c>
      <c r="F1144" s="8" t="n">
        <v>0.00084024377900787</v>
      </c>
      <c r="G1144" s="6" t="n">
        <v>1616.47387959118</v>
      </c>
      <c r="H1144" s="6" t="n">
        <v>49.63245946051355</v>
      </c>
      <c r="I1144" s="6" t="n">
        <v>139.6868175772724</v>
      </c>
    </row>
    <row r="1145">
      <c r="A1145" s="6" t="inlineStr">
        <is>
          <t>1 wt% Re | 250 C</t>
        </is>
      </c>
      <c r="B1145" s="8" t="n">
        <v>0.353</v>
      </c>
      <c r="C1145" s="6" t="n">
        <v>2208.754063363722</v>
      </c>
      <c r="D1145" s="6" t="n">
        <v>59602.58404443607</v>
      </c>
      <c r="E1145" s="8" t="n">
        <v>0.007747279060880647</v>
      </c>
      <c r="F1145" s="8" t="n">
        <v>0.0008365842912348461</v>
      </c>
      <c r="G1145" s="6" t="n">
        <v>1619.371070139282</v>
      </c>
      <c r="H1145" s="6" t="n">
        <v>49.71340943296286</v>
      </c>
      <c r="I1145" s="6" t="n">
        <v>139.8497010969691</v>
      </c>
    </row>
    <row r="1146">
      <c r="A1146" s="6" t="inlineStr">
        <is>
          <t>1 wt% Re | 250 C</t>
        </is>
      </c>
      <c r="B1146" s="8" t="n">
        <v>0.354</v>
      </c>
      <c r="C1146" s="6" t="n">
        <v>2212.455217455481</v>
      </c>
      <c r="D1146" s="6" t="n">
        <v>59509.271948895</v>
      </c>
      <c r="E1146" s="8" t="n">
        <v>0.007730996750465647</v>
      </c>
      <c r="F1146" s="8" t="n">
        <v>0.0008329453587729706</v>
      </c>
      <c r="G1146" s="6" t="n">
        <v>1622.268260687384</v>
      </c>
      <c r="H1146" s="6" t="n">
        <v>49.79435948997003</v>
      </c>
      <c r="I1146" s="6" t="n">
        <v>140.0124474048511</v>
      </c>
    </row>
    <row r="1147">
      <c r="A1147" s="6" t="inlineStr">
        <is>
          <t>1 wt% Re | 250 C</t>
        </is>
      </c>
      <c r="B1147" s="8" t="n">
        <v>0.355</v>
      </c>
      <c r="C1147" s="6" t="n">
        <v>2216.156238228918</v>
      </c>
      <c r="D1147" s="6" t="n">
        <v>59415.97023696209</v>
      </c>
      <c r="E1147" s="8" t="n">
        <v>0.007714805641508428</v>
      </c>
      <c r="F1147" s="8" t="n">
        <v>0.0008293268089187731</v>
      </c>
      <c r="G1147" s="6" t="n">
        <v>1625.165451235486</v>
      </c>
      <c r="H1147" s="6" t="n">
        <v>49.87530963082052</v>
      </c>
      <c r="I1147" s="6" t="n">
        <v>140.1750569629017</v>
      </c>
    </row>
    <row r="1148">
      <c r="A1148" s="6" t="inlineStr">
        <is>
          <t>1 wt% Re | 250 C</t>
        </is>
      </c>
      <c r="B1148" s="8" t="n">
        <v>0.356</v>
      </c>
      <c r="C1148" s="6" t="n">
        <v>2219.857126131197</v>
      </c>
      <c r="D1148" s="6" t="n">
        <v>59322.67882113505</v>
      </c>
      <c r="E1148" s="8" t="n">
        <v>0.00769870496988437</v>
      </c>
      <c r="F1148" s="8" t="n">
        <v>0.000825728470898094</v>
      </c>
      <c r="G1148" s="6" t="n">
        <v>1628.062641783588</v>
      </c>
      <c r="H1148" s="6" t="n">
        <v>49.95625985480773</v>
      </c>
      <c r="I1148" s="6" t="n">
        <v>140.3375302302815</v>
      </c>
    </row>
    <row r="1149">
      <c r="A1149" s="6" t="inlineStr">
        <is>
          <t>1 wt% Re | 250 C</t>
        </is>
      </c>
      <c r="B1149" s="8" t="n">
        <v>0.357</v>
      </c>
      <c r="C1149" s="6" t="n">
        <v>2223.557881606768</v>
      </c>
      <c r="D1149" s="6" t="n">
        <v>59229.39761489195</v>
      </c>
      <c r="E1149" s="8" t="n">
        <v>0.007682693979981294</v>
      </c>
      <c r="F1149" s="8" t="n">
        <v>0.0008221501758392188</v>
      </c>
      <c r="G1149" s="6" t="n">
        <v>1630.95983233169</v>
      </c>
      <c r="H1149" s="6" t="n">
        <v>50.03721016123308</v>
      </c>
      <c r="I1149" s="6" t="n">
        <v>140.4998676633548</v>
      </c>
    </row>
    <row r="1150">
      <c r="A1150" s="6" t="inlineStr">
        <is>
          <t>1 wt% Re | 250 C</t>
        </is>
      </c>
      <c r="B1150" s="8" t="n">
        <v>0.358</v>
      </c>
      <c r="C1150" s="6" t="n">
        <v>2227.258505097381</v>
      </c>
      <c r="D1150" s="6" t="n">
        <v>59136.12653267763</v>
      </c>
      <c r="E1150" s="8" t="n">
        <v>0.007666771924581262</v>
      </c>
      <c r="F1150" s="8" t="n">
        <v>0.00081859175674646</v>
      </c>
      <c r="G1150" s="6" t="n">
        <v>1633.857022879791</v>
      </c>
      <c r="H1150" s="6" t="n">
        <v>50.11816054940569</v>
      </c>
      <c r="I1150" s="6" t="n">
        <v>140.6620697157132</v>
      </c>
    </row>
    <row r="1151">
      <c r="A1151" s="6" t="inlineStr">
        <is>
          <t>1 wt% Re | 250 C</t>
        </is>
      </c>
      <c r="B1151" s="8" t="n">
        <v>0.359</v>
      </c>
      <c r="C1151" s="6" t="n">
        <v>2230.958997042114</v>
      </c>
      <c r="D1151" s="6" t="n">
        <v>59042.8654898902</v>
      </c>
      <c r="E1151" s="8" t="n">
        <v>0.00765093806474432</v>
      </c>
      <c r="F1151" s="8" t="n">
        <v>0.000815053048474177</v>
      </c>
      <c r="G1151" s="6" t="n">
        <v>1636.754213427893</v>
      </c>
      <c r="H1151" s="6" t="n">
        <v>50.1991110186425</v>
      </c>
      <c r="I1151" s="6" t="n">
        <v>140.8241368382011</v>
      </c>
    </row>
    <row r="1152">
      <c r="A1152" s="6" t="inlineStr">
        <is>
          <t>1 wt% Re | 250 C</t>
        </is>
      </c>
      <c r="B1152" s="8" t="n">
        <v>0.36</v>
      </c>
      <c r="C1152" s="6" t="n">
        <v>2234.6593578774</v>
      </c>
      <c r="D1152" s="6" t="n">
        <v>58949.61440286774</v>
      </c>
      <c r="E1152" s="8" t="n">
        <v>0.007635191669694188</v>
      </c>
      <c r="F1152" s="8" t="n">
        <v>0.000811533887701228</v>
      </c>
      <c r="G1152" s="6" t="n">
        <v>1639.651403975995</v>
      </c>
      <c r="H1152" s="6" t="n">
        <v>50.28006156826794</v>
      </c>
      <c r="I1152" s="6" t="n">
        <v>140.9860694789397</v>
      </c>
    </row>
    <row r="1153">
      <c r="A1153" s="6" t="inlineStr">
        <is>
          <t>1 wt% Re | 250 C</t>
        </is>
      </c>
      <c r="B1153" s="8" t="n">
        <v>0.361</v>
      </c>
      <c r="C1153" s="6" t="n">
        <v>2238.359588037044</v>
      </c>
      <c r="D1153" s="6" t="n">
        <v>58856.37318887536</v>
      </c>
      <c r="E1153" s="8" t="n">
        <v>0.00761953201670583</v>
      </c>
      <c r="F1153" s="8" t="n">
        <v>0.0008080341129058435</v>
      </c>
      <c r="G1153" s="6" t="n">
        <v>1642.548594524097</v>
      </c>
      <c r="H1153" s="6" t="n">
        <v>50.36101219761397</v>
      </c>
      <c r="I1153" s="6" t="n">
        <v>141.1478680833507</v>
      </c>
    </row>
    <row r="1154">
      <c r="A1154" s="6" t="inlineStr">
        <is>
          <t>1 wt% Re | 250 C</t>
        </is>
      </c>
      <c r="B1154" s="8" t="n">
        <v>0.362</v>
      </c>
      <c r="C1154" s="6" t="n">
        <v>2242.059687952251</v>
      </c>
      <c r="D1154" s="6" t="n">
        <v>58763.14176609241</v>
      </c>
      <c r="E1154" s="8" t="n">
        <v>0.007603958390994883</v>
      </c>
      <c r="F1154" s="8" t="n">
        <v>0.0008045535643409137</v>
      </c>
      <c r="G1154" s="6" t="n">
        <v>1645.445785072199</v>
      </c>
      <c r="H1154" s="6" t="n">
        <v>50.44196290601993</v>
      </c>
      <c r="I1154" s="6" t="n">
        <v>141.3095330941804</v>
      </c>
    </row>
    <row r="1155">
      <c r="A1155" s="6" t="inlineStr">
        <is>
          <t>1 wt% Re | 250 C</t>
        </is>
      </c>
      <c r="B1155" s="8" t="n">
        <v>0.363</v>
      </c>
      <c r="C1155" s="6" t="n">
        <v>2245.759658051642</v>
      </c>
      <c r="D1155" s="6" t="n">
        <v>58669.92005359974</v>
      </c>
      <c r="E1155" s="8" t="n">
        <v>0.007588470085608897</v>
      </c>
      <c r="F1155" s="8" t="n">
        <v>0.000801092084009683</v>
      </c>
      <c r="G1155" s="6" t="n">
        <v>1648.3429756203</v>
      </c>
      <c r="H1155" s="6" t="n">
        <v>50.52291369283241</v>
      </c>
      <c r="I1155" s="6" t="n">
        <v>141.4710649515231</v>
      </c>
    </row>
    <row r="1156">
      <c r="A1156" s="6" t="inlineStr">
        <is>
          <t>1 wt% Re | 250 C</t>
        </is>
      </c>
      <c r="B1156" s="8" t="n">
        <v>0.364</v>
      </c>
      <c r="C1156" s="6" t="n">
        <v>2249.459498761289</v>
      </c>
      <c r="D1156" s="6" t="n">
        <v>58576.70797136753</v>
      </c>
      <c r="E1156" s="8" t="n">
        <v>0.007573066401320349</v>
      </c>
      <c r="F1156" s="8" t="n">
        <v>0.0007976495156418399</v>
      </c>
      <c r="G1156" s="6" t="n">
        <v>1651.240166168402</v>
      </c>
      <c r="H1156" s="6" t="n">
        <v>50.6038645574052</v>
      </c>
      <c r="I1156" s="6" t="n">
        <v>141.6324640928441</v>
      </c>
    </row>
    <row r="1157">
      <c r="A1157" s="6" t="inlineStr">
        <is>
          <t>1 wt% Re | 250 C</t>
        </is>
      </c>
      <c r="B1157" s="8" t="n">
        <v>0.365</v>
      </c>
      <c r="C1157" s="6" t="n">
        <v>2253.159210504723</v>
      </c>
      <c r="D1157" s="6" t="n">
        <v>58483.50544024294</v>
      </c>
      <c r="E1157" s="8" t="n">
        <v>0.00755774664652144</v>
      </c>
      <c r="F1157" s="8" t="n">
        <v>0.0007942257046700031</v>
      </c>
      <c r="G1157" s="6" t="n">
        <v>1654.137356716504</v>
      </c>
      <c r="H1157" s="6" t="n">
        <v>50.68481549909922</v>
      </c>
      <c r="I1157" s="6" t="n">
        <v>141.7937309530028</v>
      </c>
    </row>
    <row r="1158">
      <c r="A1158" s="6" t="inlineStr">
        <is>
          <t>1 wt% Re | 250 C</t>
        </is>
      </c>
      <c r="B1158" s="8" t="n">
        <v>0.366</v>
      </c>
      <c r="C1158" s="6" t="n">
        <v>2256.858793702966</v>
      </c>
      <c r="D1158" s="6" t="n">
        <v>58390.31238193821</v>
      </c>
      <c r="E1158" s="8" t="n">
        <v>0.007542510137120562</v>
      </c>
      <c r="F1158" s="8" t="n">
        <v>0.0007908204982065854</v>
      </c>
      <c r="G1158" s="6" t="n">
        <v>1657.034547264606</v>
      </c>
      <c r="H1158" s="6" t="n">
        <v>50.76576651728227</v>
      </c>
      <c r="I1158" s="6" t="n">
        <v>141.9548659642748</v>
      </c>
    </row>
    <row r="1159">
      <c r="A1159" s="6" t="inlineStr">
        <is>
          <t>1 wt% Re | 250 C</t>
        </is>
      </c>
      <c r="B1159" s="8" t="n">
        <v>0.367</v>
      </c>
      <c r="C1159" s="6" t="n">
        <v>2260.558248774546</v>
      </c>
      <c r="D1159" s="6" t="n">
        <v>58297.12871901885</v>
      </c>
      <c r="E1159" s="8" t="n">
        <v>0.007527356196440477</v>
      </c>
      <c r="F1159" s="8" t="n">
        <v>0.0007874337450210367</v>
      </c>
      <c r="G1159" s="6" t="n">
        <v>1659.931737812708</v>
      </c>
      <c r="H1159" s="6" t="n">
        <v>50.84671761132913</v>
      </c>
      <c r="I1159" s="6" t="n">
        <v>142.1158695563755</v>
      </c>
    </row>
    <row r="1160">
      <c r="A1160" s="6" t="inlineStr">
        <is>
          <t>1 wt% Re | 250 C</t>
        </is>
      </c>
      <c r="B1160" s="8" t="n">
        <v>0.368</v>
      </c>
      <c r="C1160" s="6" t="n">
        <v>2264.257576135527</v>
      </c>
      <c r="D1160" s="6" t="n">
        <v>58203.95437489201</v>
      </c>
      <c r="E1160" s="8" t="n">
        <v>0.007512284155118155</v>
      </c>
      <c r="F1160" s="8" t="n">
        <v>0.0007840652955174567</v>
      </c>
      <c r="G1160" s="6" t="n">
        <v>1662.82892836081</v>
      </c>
      <c r="H1160" s="6" t="n">
        <v>50.92766878062135</v>
      </c>
      <c r="I1160" s="6" t="n">
        <v>142.2767421564807</v>
      </c>
    </row>
    <row r="1161">
      <c r="A1161" s="6" t="inlineStr">
        <is>
          <t>1 wt% Re | 250 C</t>
        </is>
      </c>
      <c r="B1161" s="8" t="n">
        <v>0.369</v>
      </c>
      <c r="C1161" s="6" t="n">
        <v>2267.956776199519</v>
      </c>
      <c r="D1161" s="6" t="n">
        <v>58110.78927379518</v>
      </c>
      <c r="E1161" s="8" t="n">
        <v>0.007497293351006182</v>
      </c>
      <c r="F1161" s="8" t="n">
        <v>0.0007807150017125664</v>
      </c>
      <c r="G1161" s="6" t="n">
        <v>1665.726118908911</v>
      </c>
      <c r="H1161" s="6" t="n">
        <v>51.00862002454717</v>
      </c>
      <c r="I1161" s="6" t="n">
        <v>142.4374841892496</v>
      </c>
    </row>
    <row r="1162">
      <c r="A1162" s="6" t="inlineStr">
        <is>
          <t>1 wt% Re | 250 C</t>
        </is>
      </c>
      <c r="B1162" s="8" t="n">
        <v>0.37</v>
      </c>
      <c r="C1162" s="6" t="n">
        <v>2271.655849377709</v>
      </c>
      <c r="D1162" s="6" t="n">
        <v>58017.63334078489</v>
      </c>
      <c r="E1162" s="8" t="n">
        <v>0.007482383129075828</v>
      </c>
      <c r="F1162" s="8" t="n">
        <v>0.0007773827172140374</v>
      </c>
      <c r="G1162" s="6" t="n">
        <v>1668.623309457014</v>
      </c>
      <c r="H1162" s="6" t="n">
        <v>51.08957134250146</v>
      </c>
      <c r="I1162" s="6" t="n">
        <v>142.5980960768462</v>
      </c>
    </row>
    <row r="1163">
      <c r="A1163" s="6" t="inlineStr">
        <is>
          <t>1 wt% Re | 250 C</t>
        </is>
      </c>
      <c r="B1163" s="8" t="n">
        <v>0.371</v>
      </c>
      <c r="C1163" s="6" t="n">
        <v>2275.354796078874</v>
      </c>
      <c r="D1163" s="6" t="n">
        <v>57924.48650172563</v>
      </c>
      <c r="E1163" s="8" t="n">
        <v>0.007467552841321615</v>
      </c>
      <c r="F1163" s="8" t="n">
        <v>0.0007740682971991699</v>
      </c>
      <c r="G1163" s="6" t="n">
        <v>1671.520500005115</v>
      </c>
      <c r="H1163" s="6" t="n">
        <v>51.17052273388558</v>
      </c>
      <c r="I1163" s="6" t="n">
        <v>142.75857823896</v>
      </c>
    </row>
    <row r="1164">
      <c r="A1164" s="6" t="inlineStr">
        <is>
          <t>1 wt% Re | 250 C</t>
        </is>
      </c>
      <c r="B1164" s="8" t="n">
        <v>0.372</v>
      </c>
      <c r="C1164" s="6" t="n">
        <v>2279.05361670941</v>
      </c>
      <c r="D1164" s="6" t="n">
        <v>57831.3486832791</v>
      </c>
      <c r="E1164" s="8" t="n">
        <v>0.007452801846667453</v>
      </c>
      <c r="F1164" s="8" t="n">
        <v>0.0007707715983939106</v>
      </c>
      <c r="G1164" s="6" t="n">
        <v>1674.417690553217</v>
      </c>
      <c r="H1164" s="6" t="n">
        <v>51.25147419810737</v>
      </c>
      <c r="I1164" s="6" t="n">
        <v>142.9189310928283</v>
      </c>
    </row>
    <row r="1165">
      <c r="A1165" s="6" t="inlineStr">
        <is>
          <t>1 wt% Re | 250 C</t>
        </is>
      </c>
      <c r="B1165" s="8" t="n">
        <v>0.373</v>
      </c>
      <c r="C1165" s="6" t="n">
        <v>2282.752311673343</v>
      </c>
      <c r="D1165" s="6" t="n">
        <v>57738.21981289346</v>
      </c>
      <c r="E1165" s="8" t="n">
        <v>0.007438129510874248</v>
      </c>
      <c r="F1165" s="8" t="n">
        <v>0.0007674924790522081</v>
      </c>
      <c r="G1165" s="6" t="n">
        <v>1677.314881101319</v>
      </c>
      <c r="H1165" s="6" t="n">
        <v>51.33242573458104</v>
      </c>
      <c r="I1165" s="6" t="n">
        <v>143.0791550532561</v>
      </c>
    </row>
    <row r="1166">
      <c r="A1166" s="6" t="inlineStr">
        <is>
          <t>1 wt% Re | 250 C</t>
        </is>
      </c>
      <c r="B1166" s="8" t="n">
        <v>0.374</v>
      </c>
      <c r="C1166" s="6" t="n">
        <v>2286.450881372357</v>
      </c>
      <c r="D1166" s="6" t="n">
        <v>57645.09981879281</v>
      </c>
      <c r="E1166" s="8" t="n">
        <v>0.007423535206449024</v>
      </c>
      <c r="F1166" s="8" t="n">
        <v>0.0007642307989356978</v>
      </c>
      <c r="G1166" s="6" t="n">
        <v>1680.212071649421</v>
      </c>
      <c r="H1166" s="6" t="n">
        <v>51.41337734272697</v>
      </c>
      <c r="I1166" s="6" t="n">
        <v>143.2392505326372</v>
      </c>
    </row>
    <row r="1167">
      <c r="A1167" s="6" t="inlineStr">
        <is>
          <t>1 wt% Re | 250 C</t>
        </is>
      </c>
      <c r="B1167" s="8" t="n">
        <v>0.375</v>
      </c>
      <c r="C1167" s="6" t="n">
        <v>2290.149326205807</v>
      </c>
      <c r="D1167" s="6" t="n">
        <v>57551.98862996689</v>
      </c>
      <c r="E1167" s="8" t="n">
        <v>0.007409018312555433</v>
      </c>
      <c r="F1167" s="8" t="n">
        <v>0.0007609864192937076</v>
      </c>
      <c r="G1167" s="6" t="n">
        <v>1683.109262197522</v>
      </c>
      <c r="H1167" s="6" t="n">
        <v>51.49432902197183</v>
      </c>
      <c r="I1167" s="6" t="n">
        <v>143.3992179409747</v>
      </c>
    </row>
    <row r="1168">
      <c r="A1168" s="6" t="inlineStr">
        <is>
          <t>1 wt% Re | 250 C</t>
        </is>
      </c>
      <c r="B1168" s="8" t="n">
        <v>0.376</v>
      </c>
      <c r="C1168" s="6" t="n">
        <v>2293.847646570746</v>
      </c>
      <c r="D1168" s="6" t="n">
        <v>57458.88617616082</v>
      </c>
      <c r="E1168" s="8" t="n">
        <v>0.007394578214925753</v>
      </c>
      <c r="F1168" s="8" t="n">
        <v>0.0007577592028435844</v>
      </c>
      <c r="G1168" s="6" t="n">
        <v>1686.006452745624</v>
      </c>
      <c r="H1168" s="6" t="n">
        <v>51.5752807717483</v>
      </c>
      <c r="I1168" s="6" t="n">
        <v>143.559057685901</v>
      </c>
    </row>
    <row r="1169">
      <c r="A1169" s="6" t="inlineStr">
        <is>
          <t>1 wt% Re | 250 C</t>
        </is>
      </c>
      <c r="B1169" s="8" t="n">
        <v>0.377</v>
      </c>
      <c r="C1169" s="6" t="n">
        <v>2297.545842861938</v>
      </c>
      <c r="D1169" s="6" t="n">
        <v>57365.79238786519</v>
      </c>
      <c r="E1169" s="8" t="n">
        <v>0.007380214305774221</v>
      </c>
      <c r="F1169" s="8" t="n">
        <v>0.0007545490137513294</v>
      </c>
      <c r="G1169" s="6" t="n">
        <v>1688.903643293726</v>
      </c>
      <c r="H1169" s="6" t="n">
        <v>51.65623259149513</v>
      </c>
      <c r="I1169" s="6" t="n">
        <v>143.7187701726979</v>
      </c>
    </row>
    <row r="1170">
      <c r="A1170" s="6" t="inlineStr">
        <is>
          <t>1 wt% Re | 250 C</t>
        </is>
      </c>
      <c r="B1170" s="8" t="n">
        <v>0.378</v>
      </c>
      <c r="C1170" s="6" t="n">
        <v>2301.24391547188</v>
      </c>
      <c r="D1170" s="6" t="n">
        <v>57272.70719630608</v>
      </c>
      <c r="E1170" s="8" t="n">
        <v>0.007365925983711772</v>
      </c>
      <c r="F1170" s="8" t="n">
        <v>0.0007513557176125408</v>
      </c>
      <c r="G1170" s="6" t="n">
        <v>1691.800833841828</v>
      </c>
      <c r="H1170" s="6" t="n">
        <v>51.73718448065705</v>
      </c>
      <c r="I1170" s="6" t="n">
        <v>143.8783558043163</v>
      </c>
    </row>
    <row r="1171">
      <c r="A1171" s="6" t="inlineStr">
        <is>
          <t>1 wt% Re | 250 C</t>
        </is>
      </c>
      <c r="B1171" s="8" t="n">
        <v>0.379</v>
      </c>
      <c r="C1171" s="6" t="n">
        <v>2304.94186479082</v>
      </c>
      <c r="D1171" s="6" t="n">
        <v>57179.63053343547</v>
      </c>
      <c r="E1171" s="8" t="n">
        <v>0.007351712653662099</v>
      </c>
      <c r="F1171" s="8" t="n">
        <v>0.000748179181433654</v>
      </c>
      <c r="G1171" s="6" t="n">
        <v>1694.69802438993</v>
      </c>
      <c r="H1171" s="6" t="n">
        <v>51.81813643868453</v>
      </c>
      <c r="I1171" s="6" t="n">
        <v>144.0378149813959</v>
      </c>
    </row>
    <row r="1172">
      <c r="A1172" s="6" t="inlineStr">
        <is>
          <t>1 wt% Re | 250 C</t>
        </is>
      </c>
      <c r="B1172" s="8" t="n">
        <v>0.38</v>
      </c>
      <c r="C1172" s="6" t="n">
        <v>2308.639691206777</v>
      </c>
      <c r="D1172" s="6" t="n">
        <v>57086.56233192157</v>
      </c>
      <c r="E1172" s="8" t="n">
        <v>0.007337573726779042</v>
      </c>
      <c r="F1172" s="8" t="n">
        <v>0.0007450192736134806</v>
      </c>
      <c r="G1172" s="6" t="n">
        <v>1697.595214938032</v>
      </c>
      <c r="H1172" s="6" t="n">
        <v>51.89908846503394</v>
      </c>
      <c r="I1172" s="6" t="n">
        <v>144.1971481022842</v>
      </c>
    </row>
    <row r="1173">
      <c r="A1173" s="6" t="inlineStr">
        <is>
          <t>1 wt% Re | 250 C</t>
        </is>
      </c>
      <c r="B1173" s="8" t="n">
        <v>0.381</v>
      </c>
      <c r="C1173" s="6" t="n">
        <v>2312.337395105558</v>
      </c>
      <c r="D1173" s="6" t="n">
        <v>56993.50252513959</v>
      </c>
      <c r="E1173" s="8" t="n">
        <v>0.007323508620365261</v>
      </c>
      <c r="F1173" s="8" t="n">
        <v>0.0007418758639250319</v>
      </c>
      <c r="G1173" s="6" t="n">
        <v>1700.492405486134</v>
      </c>
      <c r="H1173" s="6" t="n">
        <v>51.9800405591673</v>
      </c>
      <c r="I1173" s="6" t="n">
        <v>144.356355563056</v>
      </c>
    </row>
    <row r="1174">
      <c r="A1174" s="6" t="inlineStr">
        <is>
          <t>1 wt% Re | 250 C</t>
        </is>
      </c>
      <c r="B1174" s="8" t="n">
        <v>0.382</v>
      </c>
      <c r="C1174" s="6" t="n">
        <v>2316.034976870781</v>
      </c>
      <c r="D1174" s="6" t="n">
        <v>56900.45104716223</v>
      </c>
      <c r="E1174" s="8" t="n">
        <v>0.007309516757792204</v>
      </c>
      <c r="F1174" s="8" t="n">
        <v>0.0007387488234976304</v>
      </c>
      <c r="G1174" s="6" t="n">
        <v>1703.389596034235</v>
      </c>
      <c r="H1174" s="6" t="n">
        <v>52.06099272055227</v>
      </c>
      <c r="I1174" s="6" t="n">
        <v>144.5154377575321</v>
      </c>
    </row>
    <row r="1175">
      <c r="A1175" s="6" t="inlineStr">
        <is>
          <t>1 wt% Re | 250 C</t>
        </is>
      </c>
      <c r="B1175" s="8" t="n">
        <v>0.383</v>
      </c>
      <c r="C1175" s="6" t="n">
        <v>2319.732436883884</v>
      </c>
      <c r="D1175" s="6" t="n">
        <v>56807.40783275087</v>
      </c>
      <c r="E1175" s="8" t="n">
        <v>0.007295597568421282</v>
      </c>
      <c r="F1175" s="8" t="n">
        <v>0.0007356380247992968</v>
      </c>
      <c r="G1175" s="6" t="n">
        <v>1706.286786582337</v>
      </c>
      <c r="H1175" s="6" t="n">
        <v>52.14194494866206</v>
      </c>
      <c r="I1175" s="6" t="n">
        <v>144.6743950772979</v>
      </c>
    </row>
    <row r="1176">
      <c r="A1176" s="6" t="inlineStr">
        <is>
          <t>1 wt% Re | 250 C</t>
        </is>
      </c>
      <c r="B1176" s="8" t="n">
        <v>0.384</v>
      </c>
      <c r="C1176" s="6" t="n">
        <v>2323.429775524153</v>
      </c>
      <c r="D1176" s="6" t="n">
        <v>56714.3728173464</v>
      </c>
      <c r="E1176" s="8" t="n">
        <v>0.007281750487526305</v>
      </c>
      <c r="F1176" s="8" t="n">
        <v>0.0007325433416194128</v>
      </c>
      <c r="G1176" s="6" t="n">
        <v>1709.183977130439</v>
      </c>
      <c r="H1176" s="6" t="n">
        <v>52.22289724297542</v>
      </c>
      <c r="I1176" s="6" t="n">
        <v>144.833227911722</v>
      </c>
    </row>
    <row r="1177">
      <c r="A1177" s="6" t="inlineStr">
        <is>
          <t>1 wt% Re | 250 C</t>
        </is>
      </c>
      <c r="B1177" s="8" t="n">
        <v>0.385</v>
      </c>
      <c r="C1177" s="6" t="n">
        <v>2327.126993168734</v>
      </c>
      <c r="D1177" s="6" t="n">
        <v>56621.34593706042</v>
      </c>
      <c r="E1177" s="8" t="n">
        <v>0.007267974956217107</v>
      </c>
      <c r="F1177" s="8" t="n">
        <v>0.0007294646490516524</v>
      </c>
      <c r="G1177" s="6" t="n">
        <v>1712.081167678541</v>
      </c>
      <c r="H1177" s="6" t="n">
        <v>52.30384960297646</v>
      </c>
      <c r="I1177" s="6" t="n">
        <v>144.9919366479748</v>
      </c>
    </row>
    <row r="1178">
      <c r="A1178" s="6" t="inlineStr">
        <is>
          <t>1 wt% Re | 250 C</t>
        </is>
      </c>
      <c r="B1178" s="8" t="n">
        <v>0.386</v>
      </c>
      <c r="C1178" s="6" t="n">
        <v>2330.824090192649</v>
      </c>
      <c r="D1178" s="6" t="n">
        <v>56528.32712866665</v>
      </c>
      <c r="E1178" s="8" t="n">
        <v>0.007254270421364345</v>
      </c>
      <c r="F1178" s="8" t="n">
        <v>0.0007264018234771757</v>
      </c>
      <c r="G1178" s="6" t="n">
        <v>1714.978358226643</v>
      </c>
      <c r="H1178" s="6" t="n">
        <v>52.38480202815465</v>
      </c>
      <c r="I1178" s="6" t="n">
        <v>145.1505216710457</v>
      </c>
    </row>
    <row r="1179">
      <c r="A1179" s="6" t="inlineStr">
        <is>
          <t>1 wt% Re | 250 C</t>
        </is>
      </c>
      <c r="B1179" s="8" t="n">
        <v>0.387</v>
      </c>
      <c r="C1179" s="6" t="n">
        <v>2334.521066968819</v>
      </c>
      <c r="D1179" s="6" t="n">
        <v>56435.31632959227</v>
      </c>
      <c r="E1179" s="8" t="n">
        <v>0.007240636335525465</v>
      </c>
      <c r="F1179" s="8" t="n">
        <v>0.0007233547425480841</v>
      </c>
      <c r="G1179" s="6" t="n">
        <v>1717.875548774744</v>
      </c>
      <c r="H1179" s="6" t="n">
        <v>52.46575451800474</v>
      </c>
      <c r="I1179" s="6" t="n">
        <v>145.3089833637621</v>
      </c>
    </row>
    <row r="1180">
      <c r="A1180" s="6" t="inlineStr">
        <is>
          <t>1 wt% Re | 250 C</t>
        </is>
      </c>
      <c r="B1180" s="8" t="n">
        <v>0.388</v>
      </c>
      <c r="C1180" s="6" t="n">
        <v>2338.217923868076</v>
      </c>
      <c r="D1180" s="6" t="n">
        <v>56342.31347790956</v>
      </c>
      <c r="E1180" s="8" t="n">
        <v>0.007227072156871816</v>
      </c>
      <c r="F1180" s="8" t="n">
        <v>0.0007203232851711274</v>
      </c>
      <c r="G1180" s="6" t="n">
        <v>1720.772739322846</v>
      </c>
      <c r="H1180" s="6" t="n">
        <v>52.54670707202669</v>
      </c>
      <c r="I1180" s="6" t="n">
        <v>145.4673221068064</v>
      </c>
    </row>
    <row r="1181">
      <c r="A1181" s="6" t="inlineStr">
        <is>
          <t>1 wt% Re | 250 C</t>
        </is>
      </c>
      <c r="B1181" s="8" t="n">
        <v>0.389</v>
      </c>
      <c r="C1181" s="6" t="n">
        <v>2341.914661259188</v>
      </c>
      <c r="D1181" s="6" t="n">
        <v>56249.31851232758</v>
      </c>
      <c r="E1181" s="8" t="n">
        <v>0.007213577349116857</v>
      </c>
      <c r="F1181" s="8" t="n">
        <v>0.0007173073314916637</v>
      </c>
      <c r="G1181" s="6" t="n">
        <v>1723.669929870948</v>
      </c>
      <c r="H1181" s="6" t="n">
        <v>52.6276596897256</v>
      </c>
      <c r="I1181" s="6" t="n">
        <v>145.6255382787335</v>
      </c>
    </row>
    <row r="1182">
      <c r="A1182" s="6" t="inlineStr">
        <is>
          <t>1 wt% Re | 250 C</t>
        </is>
      </c>
      <c r="B1182" s="8" t="n">
        <v>0.39</v>
      </c>
      <c r="C1182" s="6" t="n">
        <v>2345.611279508862</v>
      </c>
      <c r="D1182" s="6" t="n">
        <v>56156.33137218402</v>
      </c>
      <c r="E1182" s="8" t="n">
        <v>0.007200151381445496</v>
      </c>
      <c r="F1182" s="8" t="n">
        <v>0.0007143067628778625</v>
      </c>
      <c r="G1182" s="6" t="n">
        <v>1726.56712041905</v>
      </c>
      <c r="H1182" s="6" t="n">
        <v>52.70861237061166</v>
      </c>
      <c r="I1182" s="6" t="n">
        <v>145.7836322559885</v>
      </c>
    </row>
    <row r="1183">
      <c r="A1183" s="6" t="inlineStr">
        <is>
          <t>1 wt% Re | 250 C</t>
        </is>
      </c>
      <c r="B1183" s="8" t="n">
        <v>0.391</v>
      </c>
      <c r="C1183" s="6" t="n">
        <v>2349.307778981774</v>
      </c>
      <c r="D1183" s="6" t="n">
        <v>56063.35199743714</v>
      </c>
      <c r="E1183" s="8" t="n">
        <v>0.007186793728444467</v>
      </c>
      <c r="F1183" s="8" t="n">
        <v>0.0007113214619051497</v>
      </c>
      <c r="G1183" s="6" t="n">
        <v>1729.464310967152</v>
      </c>
      <c r="H1183" s="6" t="n">
        <v>52.78956511420006</v>
      </c>
      <c r="I1183" s="6" t="n">
        <v>145.9416044129237</v>
      </c>
    </row>
    <row r="1184">
      <c r="A1184" s="6" t="inlineStr">
        <is>
          <t>1 wt% Re | 250 C</t>
        </is>
      </c>
      <c r="B1184" s="8" t="n">
        <v>0.392</v>
      </c>
      <c r="C1184" s="6" t="n">
        <v>2353.00416004058</v>
      </c>
      <c r="D1184" s="6" t="n">
        <v>55970.38032865789</v>
      </c>
      <c r="E1184" s="8" t="n">
        <v>0.007173503870033816</v>
      </c>
      <c r="F1184" s="8" t="n">
        <v>0.0007083513123408902</v>
      </c>
      <c r="G1184" s="6" t="n">
        <v>1732.361501515253</v>
      </c>
      <c r="H1184" s="6" t="n">
        <v>52.87051792001091</v>
      </c>
      <c r="I1184" s="6" t="n">
        <v>146.0994551218151</v>
      </c>
    </row>
    <row r="1185">
      <c r="A1185" s="6" t="inlineStr">
        <is>
          <t>1 wt% Re | 250 C</t>
        </is>
      </c>
      <c r="B1185" s="8" t="n">
        <v>0.393</v>
      </c>
      <c r="C1185" s="6" t="n">
        <v>2356.70042304593</v>
      </c>
      <c r="D1185" s="6" t="n">
        <v>55877.4163070221</v>
      </c>
      <c r="E1185" s="8" t="n">
        <v>0.007160281291399381</v>
      </c>
      <c r="F1185" s="8" t="n">
        <v>0.0007053961991293013</v>
      </c>
      <c r="G1185" s="6" t="n">
        <v>1735.258692063356</v>
      </c>
      <c r="H1185" s="6" t="n">
        <v>52.95147078756924</v>
      </c>
      <c r="I1185" s="6" t="n">
        <v>146.25718475288</v>
      </c>
    </row>
    <row r="1186">
      <c r="A1186" s="6" t="inlineStr">
        <is>
          <t>1 wt% Re | 250 C</t>
        </is>
      </c>
      <c r="B1186" s="8" t="n">
        <v>0.394</v>
      </c>
      <c r="C1186" s="6" t="n">
        <v>2360.396568356489</v>
      </c>
      <c r="D1186" s="6" t="n">
        <v>55784.45987430275</v>
      </c>
      <c r="E1186" s="8" t="n">
        <v>0.007147125482926321</v>
      </c>
      <c r="F1186" s="8" t="n">
        <v>0.0007024560083765977</v>
      </c>
      <c r="G1186" s="6" t="n">
        <v>1738.155882611457</v>
      </c>
      <c r="H1186" s="6" t="n">
        <v>53.03242371640489</v>
      </c>
      <c r="I1186" s="6" t="n">
        <v>146.4147936742928</v>
      </c>
    </row>
    <row r="1187">
      <c r="A1187" s="6" t="inlineStr">
        <is>
          <t>1 wt% Re | 250 C</t>
        </is>
      </c>
      <c r="B1187" s="8" t="n">
        <v>0.395</v>
      </c>
      <c r="C1187" s="6" t="n">
        <v>2364.092596328951</v>
      </c>
      <c r="D1187" s="6" t="n">
        <v>55691.51097286257</v>
      </c>
      <c r="E1187" s="8" t="n">
        <v>0.007134035940133651</v>
      </c>
      <c r="F1187" s="8" t="n">
        <v>0.0006995306273363564</v>
      </c>
      <c r="G1187" s="6" t="n">
        <v>1741.053073159559</v>
      </c>
      <c r="H1187" s="6" t="n">
        <v>53.11337670605248</v>
      </c>
      <c r="I1187" s="6" t="n">
        <v>146.5722822522021</v>
      </c>
    </row>
    <row r="1188">
      <c r="A1188" s="6" t="inlineStr">
        <is>
          <t>1 wt% Re | 250 C</t>
        </is>
      </c>
      <c r="B1188" s="8" t="n">
        <v>0.396</v>
      </c>
      <c r="C1188" s="6" t="n">
        <v>2367.788507318051</v>
      </c>
      <c r="D1188" s="6" t="n">
        <v>55598.56954564635</v>
      </c>
      <c r="E1188" s="8" t="n">
        <v>0.007121012163609745</v>
      </c>
      <c r="F1188" s="8" t="n">
        <v>0.0006966199443951077</v>
      </c>
      <c r="G1188" s="6" t="n">
        <v>1743.950263707661</v>
      </c>
      <c r="H1188" s="6" t="n">
        <v>53.1943297560513</v>
      </c>
      <c r="I1188" s="6" t="n">
        <v>146.7296508507461</v>
      </c>
    </row>
    <row r="1189">
      <c r="A1189" s="6" t="inlineStr">
        <is>
          <t>1 wt% Re | 250 C</t>
        </is>
      </c>
      <c r="B1189" s="8" t="n">
        <v>0.397</v>
      </c>
      <c r="C1189" s="6" t="n">
        <v>2371.484301676587</v>
      </c>
      <c r="D1189" s="6" t="n">
        <v>55505.63553617385</v>
      </c>
      <c r="E1189" s="8" t="n">
        <v>0.007108053658948829</v>
      </c>
      <c r="F1189" s="8" t="n">
        <v>0.0006937238490581377</v>
      </c>
      <c r="G1189" s="6" t="n">
        <v>1746.847454255763</v>
      </c>
      <c r="H1189" s="6" t="n">
        <v>53.27528286594531</v>
      </c>
      <c r="I1189" s="6" t="n">
        <v>146.8868998320696</v>
      </c>
    </row>
    <row r="1190">
      <c r="A1190" s="6" t="inlineStr">
        <is>
          <t>1 wt% Re | 250 C</t>
        </is>
      </c>
      <c r="B1190" s="8" t="n">
        <v>0.398</v>
      </c>
      <c r="C1190" s="6" t="n">
        <v>2375.179979755432</v>
      </c>
      <c r="D1190" s="6" t="n">
        <v>55412.70888853241</v>
      </c>
      <c r="E1190" s="8" t="n">
        <v>0.007095159936688413</v>
      </c>
      <c r="F1190" s="8" t="n">
        <v>0.000690842231935508</v>
      </c>
      <c r="G1190" s="6" t="n">
        <v>1749.744644803865</v>
      </c>
      <c r="H1190" s="6" t="n">
        <v>53.356236035283</v>
      </c>
      <c r="I1190" s="6" t="n">
        <v>147.0440295563393</v>
      </c>
    </row>
    <row r="1191">
      <c r="A1191" s="6" t="inlineStr">
        <is>
          <t>1 wt% Re | 250 C</t>
        </is>
      </c>
      <c r="B1191" s="8" t="n">
        <v>0.399</v>
      </c>
      <c r="C1191" s="6" t="n">
        <v>2378.87554190355</v>
      </c>
      <c r="D1191" s="6" t="n">
        <v>55319.78954736991</v>
      </c>
      <c r="E1191" s="8" t="n">
        <v>0.007082330512247666</v>
      </c>
      <c r="F1191" s="8" t="n">
        <v>0.0006879749847282806</v>
      </c>
      <c r="G1191" s="6" t="n">
        <v>1752.641835351967</v>
      </c>
      <c r="H1191" s="6" t="n">
        <v>53.43718926361747</v>
      </c>
      <c r="I1191" s="6" t="n">
        <v>147.2010403817596</v>
      </c>
    </row>
    <row r="1192">
      <c r="A1192" s="6" t="inlineStr">
        <is>
          <t>1 wt% Re | 250 C</t>
        </is>
      </c>
      <c r="B1192" s="8" t="n">
        <v>0.4</v>
      </c>
      <c r="C1192" s="6" t="n">
        <v>2382.570988468008</v>
      </c>
      <c r="D1192" s="6" t="n">
        <v>55226.87745788777</v>
      </c>
      <c r="E1192" s="8" t="n">
        <v>0.007069564905866706</v>
      </c>
      <c r="F1192" s="8" t="n">
        <v>0.0006851220002149519</v>
      </c>
      <c r="G1192" s="6" t="n">
        <v>1755.539025900068</v>
      </c>
      <c r="H1192" s="6" t="n">
        <v>53.51814255050622</v>
      </c>
      <c r="I1192" s="6" t="n">
        <v>147.3579326645883</v>
      </c>
    </row>
    <row r="1193">
      <c r="A1193" s="6" t="inlineStr">
        <is>
          <t>5 wt% Re | 250 C</t>
        </is>
      </c>
      <c r="B1193" s="8" t="n">
        <v>0.005</v>
      </c>
      <c r="C1193" s="6" t="n">
        <v>1232.574945575728</v>
      </c>
      <c r="D1193" s="6" t="n">
        <v>424933.0798973797</v>
      </c>
      <c r="E1193" s="8" t="n">
        <v>0.8148703571532234</v>
      </c>
      <c r="F1193" s="8" t="n">
        <v>0.736815978530171</v>
      </c>
      <c r="G1193" s="6" t="n">
        <v>859.493750327431</v>
      </c>
      <c r="H1193" s="6" t="n">
        <v>31.4283637068385</v>
      </c>
      <c r="I1193" s="6" t="n">
        <v>87.02537463561055</v>
      </c>
    </row>
    <row r="1194">
      <c r="A1194" s="6" t="inlineStr">
        <is>
          <t>5 wt% Re | 250 C</t>
        </is>
      </c>
      <c r="B1194" s="8" t="n">
        <v>0.006</v>
      </c>
      <c r="C1194" s="6" t="n">
        <v>1232.96064822543</v>
      </c>
      <c r="D1194" s="6" t="n">
        <v>362999.9414143509</v>
      </c>
      <c r="E1194" s="8" t="n">
        <v>0.785637897094126</v>
      </c>
      <c r="F1194" s="8" t="n">
        <v>0.7102531009614624</v>
      </c>
      <c r="G1194" s="6" t="n">
        <v>861.276544478423</v>
      </c>
      <c r="H1194" s="6" t="n">
        <v>30.97747845522235</v>
      </c>
      <c r="I1194" s="6" t="n">
        <v>85.76332865658914</v>
      </c>
    </row>
    <row r="1195">
      <c r="A1195" s="6" t="inlineStr">
        <is>
          <t>5 wt% Re | 250 C</t>
        </is>
      </c>
      <c r="B1195" s="8" t="n">
        <v>0.007</v>
      </c>
      <c r="C1195" s="6" t="n">
        <v>1233.857603760145</v>
      </c>
      <c r="D1195" s="6" t="n">
        <v>318746.041235726</v>
      </c>
      <c r="E1195" s="8" t="n">
        <v>0.7583869391715097</v>
      </c>
      <c r="F1195" s="8" t="n">
        <v>0.685490769721974</v>
      </c>
      <c r="G1195" s="6" t="n">
        <v>863.0593386294157</v>
      </c>
      <c r="H1195" s="6" t="n">
        <v>30.66934565617774</v>
      </c>
      <c r="I1195" s="6" t="n">
        <v>84.86274579716725</v>
      </c>
    </row>
    <row r="1196">
      <c r="A1196" s="6" t="inlineStr">
        <is>
          <t>5 wt% Re | 250 C</t>
        </is>
      </c>
      <c r="B1196" s="8" t="n">
        <v>0.008</v>
      </c>
      <c r="C1196" s="6" t="n">
        <v>1235.086143903741</v>
      </c>
      <c r="D1196" s="6" t="n">
        <v>285541.6649973537</v>
      </c>
      <c r="E1196" s="8" t="n">
        <v>0.7329226157371121</v>
      </c>
      <c r="F1196" s="8" t="n">
        <v>0.6623519129719619</v>
      </c>
      <c r="G1196" s="6" t="n">
        <v>864.8421327804084</v>
      </c>
      <c r="H1196" s="6" t="n">
        <v>30.45043313999033</v>
      </c>
      <c r="I1196" s="6" t="n">
        <v>84.20043050876949</v>
      </c>
    </row>
    <row r="1197">
      <c r="A1197" s="6" t="inlineStr">
        <is>
          <t>5 wt% Re | 250 C</t>
        </is>
      </c>
      <c r="B1197" s="8" t="n">
        <v>0.008999999999999999</v>
      </c>
      <c r="C1197" s="6" t="n">
        <v>1236.542725490946</v>
      </c>
      <c r="D1197" s="6" t="n">
        <v>259703.638052483</v>
      </c>
      <c r="E1197" s="8" t="n">
        <v>0.7090748000364379</v>
      </c>
      <c r="F1197" s="8" t="n">
        <v>0.6406819403642</v>
      </c>
      <c r="G1197" s="6" t="n">
        <v>866.6249269314004</v>
      </c>
      <c r="H1197" s="6" t="n">
        <v>30.2910008123744</v>
      </c>
      <c r="I1197" s="6" t="n">
        <v>83.70412009169007</v>
      </c>
    </row>
    <row r="1198">
      <c r="A1198" s="6" t="inlineStr">
        <is>
          <t>5 wt% Re | 250 C</t>
        </is>
      </c>
      <c r="B1198" s="8" t="n">
        <v>0.01</v>
      </c>
      <c r="C1198" s="6" t="n">
        <v>1238.163221709226</v>
      </c>
      <c r="D1198" s="6" t="n">
        <v>239022.0556130634</v>
      </c>
      <c r="E1198" s="8" t="n">
        <v>0.6866943005442387</v>
      </c>
      <c r="F1198" s="8" t="n">
        <v>0.6203452849224073</v>
      </c>
      <c r="G1198" s="6" t="n">
        <v>868.4077210823931</v>
      </c>
      <c r="H1198" s="6" t="n">
        <v>30.17320461675849</v>
      </c>
      <c r="I1198" s="6" t="n">
        <v>83.32840594396822</v>
      </c>
    </row>
    <row r="1199">
      <c r="A1199" s="6" t="inlineStr">
        <is>
          <t>5 wt% Re | 250 C</t>
        </is>
      </c>
      <c r="B1199" s="8" t="n">
        <v>0.011</v>
      </c>
      <c r="C1199" s="6" t="n">
        <v>1239.905672436943</v>
      </c>
      <c r="D1199" s="6" t="n">
        <v>222090.6146321537</v>
      </c>
      <c r="E1199" s="8" t="n">
        <v>0.6656497368026499</v>
      </c>
      <c r="F1199" s="8" t="n">
        <v>0.6012225641857806</v>
      </c>
      <c r="G1199" s="6" t="n">
        <v>870.1905152333856</v>
      </c>
      <c r="H1199" s="6" t="n">
        <v>30.08568924441534</v>
      </c>
      <c r="I1199" s="6" t="n">
        <v>83.0432107023144</v>
      </c>
    </row>
    <row r="1200">
      <c r="A1200" s="6" t="inlineStr">
        <is>
          <t>5 wt% Re | 250 C</t>
        </is>
      </c>
      <c r="B1200" s="8" t="n">
        <v>0.012</v>
      </c>
      <c r="C1200" s="6" t="n">
        <v>1241.741403624533</v>
      </c>
      <c r="D1200" s="6" t="n">
        <v>207971.7797451266</v>
      </c>
      <c r="E1200" s="8" t="n">
        <v>0.6458249585075335</v>
      </c>
      <c r="F1200" s="8" t="n">
        <v>0.5832082349909278</v>
      </c>
      <c r="G1200" s="6" t="n">
        <v>871.9733093843781</v>
      </c>
      <c r="H1200" s="6" t="n">
        <v>30.02088448952675</v>
      </c>
      <c r="I1200" s="6" t="n">
        <v>82.82776462410661</v>
      </c>
    </row>
    <row r="1201">
      <c r="A1201" s="6" t="inlineStr">
        <is>
          <t>5 wt% Re | 250 C</t>
        </is>
      </c>
      <c r="B1201" s="8" t="n">
        <v>0.013</v>
      </c>
      <c r="C1201" s="6" t="n">
        <v>1243.650118934917</v>
      </c>
      <c r="D1201" s="6" t="n">
        <v>196016.4880072397</v>
      </c>
      <c r="E1201" s="8" t="n">
        <v>0.6271169007398162</v>
      </c>
      <c r="F1201" s="8" t="n">
        <v>0.5662086445689253</v>
      </c>
      <c r="G1201" s="6" t="n">
        <v>873.7561035353702</v>
      </c>
      <c r="H1201" s="6" t="n">
        <v>29.97354944037244</v>
      </c>
      <c r="I1201" s="6" t="n">
        <v>82.66723244774356</v>
      </c>
    </row>
    <row r="1202">
      <c r="A1202" s="6" t="inlineStr">
        <is>
          <t>5 wt% Re | 250 C</t>
        </is>
      </c>
      <c r="B1202" s="8" t="n">
        <v>0.014</v>
      </c>
      <c r="C1202" s="6" t="n">
        <v>1245.617027997031</v>
      </c>
      <c r="D1202" s="6" t="n">
        <v>185761.1230293917</v>
      </c>
      <c r="E1202" s="8" t="n">
        <v>0.6094337917098354</v>
      </c>
      <c r="F1202" s="8" t="n">
        <v>0.5501404019630031</v>
      </c>
      <c r="G1202" s="6" t="n">
        <v>875.5388976863627</v>
      </c>
      <c r="H1202" s="6" t="n">
        <v>29.93994058858078</v>
      </c>
      <c r="I1202" s="6" t="n">
        <v>82.55071723895014</v>
      </c>
    </row>
    <row r="1203">
      <c r="A1203" s="6" t="inlineStr">
        <is>
          <t>5 wt% Re | 250 C</t>
        </is>
      </c>
      <c r="B1203" s="8" t="n">
        <v>0.015</v>
      </c>
      <c r="C1203" s="6" t="n">
        <v>1247.63108587557</v>
      </c>
      <c r="D1203" s="6" t="n">
        <v>176865.6994595748</v>
      </c>
      <c r="E1203" s="8" t="n">
        <v>0.5926936472216658</v>
      </c>
      <c r="F1203" s="8" t="n">
        <v>0.5349290099822123</v>
      </c>
      <c r="G1203" s="6" t="n">
        <v>877.3216918373553</v>
      </c>
      <c r="H1203" s="6" t="n">
        <v>29.91731269467923</v>
      </c>
      <c r="I1203" s="6" t="n">
        <v>82.47002427826077</v>
      </c>
    </row>
    <row r="1204">
      <c r="A1204" s="6" t="inlineStr">
        <is>
          <t>5 wt% Re | 250 C</t>
        </is>
      </c>
      <c r="B1204" s="8" t="n">
        <v>0.016</v>
      </c>
      <c r="C1204" s="6" t="n">
        <v>1249.6838707707</v>
      </c>
      <c r="D1204" s="6" t="n">
        <v>169075.2282837832</v>
      </c>
      <c r="E1204" s="8" t="n">
        <v>0.5768229997337601</v>
      </c>
      <c r="F1204" s="8" t="n">
        <v>0.5205077103274752</v>
      </c>
      <c r="G1204" s="6" t="n">
        <v>879.1044859883473</v>
      </c>
      <c r="H1204" s="6" t="n">
        <v>29.9036068290634</v>
      </c>
      <c r="I1204" s="6" t="n">
        <v>82.41886597209222</v>
      </c>
    </row>
    <row r="1205">
      <c r="A1205" s="6" t="inlineStr">
        <is>
          <t>5 wt% Re | 250 C</t>
        </is>
      </c>
      <c r="B1205" s="8" t="n">
        <v>0.017</v>
      </c>
      <c r="C1205" s="6" t="n">
        <v>1251.768844436164</v>
      </c>
      <c r="D1205" s="6" t="n">
        <v>162194.7179030711</v>
      </c>
      <c r="E1205" s="8" t="n">
        <v>0.5617558204475122</v>
      </c>
      <c r="F1205" s="8" t="n">
        <v>0.5068165041177592</v>
      </c>
      <c r="G1205" s="6" t="n">
        <v>880.8872801393401</v>
      </c>
      <c r="H1205" s="6" t="n">
        <v>29.89724851615346</v>
      </c>
      <c r="I1205" s="6" t="n">
        <v>82.39233366084881</v>
      </c>
    </row>
    <row r="1206">
      <c r="A1206" s="6" t="inlineStr">
        <is>
          <t>5 wt% Re | 250 C</t>
        </is>
      </c>
      <c r="B1206" s="8" t="n">
        <v>0.018</v>
      </c>
      <c r="C1206" s="6" t="n">
        <v>1253.880850689859</v>
      </c>
      <c r="D1206" s="6" t="n">
        <v>156072.5081849254</v>
      </c>
      <c r="E1206" s="8" t="n">
        <v>0.5474326010652998</v>
      </c>
      <c r="F1206" s="8" t="n">
        <v>0.4938013175043063</v>
      </c>
      <c r="G1206" s="6" t="n">
        <v>882.6700742903325</v>
      </c>
      <c r="H1206" s="6" t="n">
        <v>29.89701316383177</v>
      </c>
      <c r="I1206" s="6" t="n">
        <v>82.38653684510984</v>
      </c>
    </row>
    <row r="1207">
      <c r="A1207" s="6" t="inlineStr">
        <is>
          <t>5 wt% Re | 250 C</t>
        </is>
      </c>
      <c r="B1207" s="8" t="n">
        <v>0.019</v>
      </c>
      <c r="C1207" s="6" t="n">
        <v>1256.015766819527</v>
      </c>
      <c r="D1207" s="6" t="n">
        <v>150588.8674457829</v>
      </c>
      <c r="E1207" s="8" t="n">
        <v>0.533799568289276</v>
      </c>
      <c r="F1207" s="8" t="n">
        <v>0.4814132879033898</v>
      </c>
      <c r="G1207" s="6" t="n">
        <v>884.452868441325</v>
      </c>
      <c r="H1207" s="6" t="n">
        <v>29.90193398884755</v>
      </c>
      <c r="I1207" s="6" t="n">
        <v>82.39835073353601</v>
      </c>
    </row>
    <row r="1208">
      <c r="A1208" s="6" t="inlineStr">
        <is>
          <t>5 wt% Re | 250 C</t>
        </is>
      </c>
      <c r="B1208" s="8" t="n">
        <v>0.02</v>
      </c>
      <c r="C1208" s="6" t="n">
        <v>1258.170255928781</v>
      </c>
      <c r="D1208" s="6" t="n">
        <v>145648.0103387932</v>
      </c>
      <c r="E1208" s="8" t="n">
        <v>0.5208080092004862</v>
      </c>
      <c r="F1208" s="8" t="n">
        <v>0.4696081509835234</v>
      </c>
      <c r="G1208" s="6" t="n">
        <v>886.2356625923175</v>
      </c>
      <c r="H1208" s="6" t="n">
        <v>29.91123756460015</v>
      </c>
      <c r="I1208" s="6" t="n">
        <v>82.42523579742222</v>
      </c>
    </row>
    <row r="1209">
      <c r="A1209" s="6" t="inlineStr">
        <is>
          <t>5 wt% Re | 250 C</t>
        </is>
      </c>
      <c r="B1209" s="8" t="n">
        <v>0.021</v>
      </c>
      <c r="C1209" s="6" t="n">
        <v>1260.34158756746</v>
      </c>
      <c r="D1209" s="6" t="n">
        <v>141172.3963450773</v>
      </c>
      <c r="E1209" s="8" t="n">
        <v>0.5084136896776895</v>
      </c>
      <c r="F1209" s="8" t="n">
        <v>0.458345712195754</v>
      </c>
      <c r="G1209" s="6" t="n">
        <v>888.0184567433099</v>
      </c>
      <c r="H1209" s="6" t="n">
        <v>29.92429778384148</v>
      </c>
      <c r="I1209" s="6" t="n">
        <v>82.46510634523588</v>
      </c>
    </row>
    <row r="1210">
      <c r="A1210" s="6" t="inlineStr">
        <is>
          <t>5 wt% Re | 250 C</t>
        </is>
      </c>
      <c r="B1210" s="8" t="n">
        <v>0.022</v>
      </c>
      <c r="C1210" s="6" t="n">
        <v>1262.52750556502</v>
      </c>
      <c r="D1210" s="6" t="n">
        <v>137098.583221916</v>
      </c>
      <c r="E1210" s="8" t="n">
        <v>0.4965763512221902</v>
      </c>
      <c r="F1210" s="8" t="n">
        <v>0.4475893895497253</v>
      </c>
      <c r="G1210" s="6" t="n">
        <v>889.8012508943023</v>
      </c>
      <c r="H1210" s="6" t="n">
        <v>29.94060237700491</v>
      </c>
      <c r="I1210" s="6" t="n">
        <v>82.51623318156356</v>
      </c>
    </row>
    <row r="1211">
      <c r="A1211" s="6" t="inlineStr">
        <is>
          <t>5 wt% Re | 250 C</t>
        </is>
      </c>
      <c r="B1211" s="8" t="n">
        <v>0.023</v>
      </c>
      <c r="C1211" s="6" t="n">
        <v>1264.726129130755</v>
      </c>
      <c r="D1211" s="6" t="n">
        <v>133374.1621601065</v>
      </c>
      <c r="E1211" s="8" t="n">
        <v>0.4852592741276309</v>
      </c>
      <c r="F1211" s="8" t="n">
        <v>0.4373058166759171</v>
      </c>
      <c r="G1211" s="6" t="n">
        <v>891.5840450452948</v>
      </c>
      <c r="H1211" s="6" t="n">
        <v>29.95972816488317</v>
      </c>
      <c r="I1211" s="6" t="n">
        <v>82.57717041764872</v>
      </c>
    </row>
    <row r="1212">
      <c r="A1212" s="6" t="inlineStr">
        <is>
          <t>5 wt% Re | 250 C</t>
        </is>
      </c>
      <c r="B1212" s="8" t="n">
        <v>0.024</v>
      </c>
      <c r="C1212" s="6" t="n">
        <v>1266.935877810061</v>
      </c>
      <c r="D1212" s="6" t="n">
        <v>129955.45915198</v>
      </c>
      <c r="E1212" s="8" t="n">
        <v>0.474428897008488</v>
      </c>
      <c r="F1212" s="8" t="n">
        <v>0.427464497099763</v>
      </c>
      <c r="G1212" s="6" t="n">
        <v>893.3668391962872</v>
      </c>
      <c r="H1212" s="6" t="n">
        <v>29.98132249813694</v>
      </c>
      <c r="I1212" s="6" t="n">
        <v>82.64669968865309</v>
      </c>
    </row>
    <row r="1213">
      <c r="A1213" s="6" t="inlineStr">
        <is>
          <t>5 wt% Re | 250 C</t>
        </is>
      </c>
      <c r="B1213" s="8" t="n">
        <v>0.025</v>
      </c>
      <c r="C1213" s="6" t="n">
        <v>1269.155413818978</v>
      </c>
      <c r="D1213" s="6" t="n">
        <v>126805.7880310944</v>
      </c>
      <c r="E1213" s="8" t="n">
        <v>0.4640544843827092</v>
      </c>
      <c r="F1213" s="8" t="n">
        <v>0.4180375021814868</v>
      </c>
      <c r="G1213" s="6" t="n">
        <v>895.1496333472799</v>
      </c>
      <c r="H1213" s="6" t="n">
        <v>30.00508915132114</v>
      </c>
      <c r="I1213" s="6" t="n">
        <v>82.72378711073247</v>
      </c>
    </row>
    <row r="1214">
      <c r="A1214" s="6" t="inlineStr">
        <is>
          <t>5 wt% Re | 250 C</t>
        </is>
      </c>
      <c r="B1214" s="8" t="n">
        <v>0.026</v>
      </c>
      <c r="C1214" s="6" t="n">
        <v>1271.383597220108</v>
      </c>
      <c r="D1214" s="6" t="n">
        <v>123894.1066566142</v>
      </c>
      <c r="E1214" s="8" t="n">
        <v>0.4541078353736097</v>
      </c>
      <c r="F1214" s="8" t="n">
        <v>0.40899920642008</v>
      </c>
      <c r="G1214" s="6" t="n">
        <v>896.9324274982721</v>
      </c>
      <c r="H1214" s="6" t="n">
        <v>30.0307774721361</v>
      </c>
      <c r="I1214" s="6" t="n">
        <v>82.80754969340167</v>
      </c>
    </row>
    <row r="1215">
      <c r="A1215" s="6" t="inlineStr">
        <is>
          <t>5 wt% Re | 250 C</t>
        </is>
      </c>
      <c r="B1215" s="8" t="n">
        <v>0.027</v>
      </c>
      <c r="C1215" s="6" t="n">
        <v>1273.619450711834</v>
      </c>
      <c r="D1215" s="6" t="n">
        <v>121193.9717233833</v>
      </c>
      <c r="E1215" s="8" t="n">
        <v>0.4445630277168114</v>
      </c>
      <c r="F1215" s="8" t="n">
        <v>0.4003260548381796</v>
      </c>
      <c r="G1215" s="6" t="n">
        <v>898.7152216492645</v>
      </c>
      <c r="H1215" s="6" t="n">
        <v>30.05817394195621</v>
      </c>
      <c r="I1215" s="6" t="n">
        <v>82.89722885950313</v>
      </c>
    </row>
    <row r="1216">
      <c r="A1216" s="6" t="inlineStr">
        <is>
          <t>5 wt% Re | 250 C</t>
        </is>
      </c>
      <c r="B1216" s="8" t="n">
        <v>0.028</v>
      </c>
      <c r="C1216" s="6" t="n">
        <v>1275.862131700582</v>
      </c>
      <c r="D1216" s="6" t="n">
        <v>118682.7175412678</v>
      </c>
      <c r="E1216" s="8" t="n">
        <v>0.4353961921789767</v>
      </c>
      <c r="F1216" s="8" t="n">
        <v>0.3919963580014533</v>
      </c>
      <c r="G1216" s="6" t="n">
        <v>900.4980158002571</v>
      </c>
      <c r="H1216" s="6" t="n">
        <v>30.08709554481661</v>
      </c>
      <c r="I1216" s="6" t="n">
        <v>82.99216937080044</v>
      </c>
    </row>
    <row r="1217">
      <c r="A1217" s="6" t="inlineStr">
        <is>
          <t>5 wt% Re | 250 C</t>
        </is>
      </c>
      <c r="B1217" s="8" t="n">
        <v>0.029</v>
      </c>
      <c r="C1217" s="6" t="n">
        <v>1278.110909951646</v>
      </c>
      <c r="D1217" s="6" t="n">
        <v>116340.8047222213</v>
      </c>
      <c r="E1217" s="8" t="n">
        <v>0.4265853132551218</v>
      </c>
      <c r="F1217" s="8" t="n">
        <v>0.3839901109167425</v>
      </c>
      <c r="G1217" s="6" t="n">
        <v>902.2808099512497</v>
      </c>
      <c r="H1217" s="6" t="n">
        <v>30.11738450833382</v>
      </c>
      <c r="I1217" s="6" t="n">
        <v>83.09180240919645</v>
      </c>
    </row>
    <row r="1218">
      <c r="A1218" s="6" t="inlineStr">
        <is>
          <t>5 wt% Re | 250 C</t>
        </is>
      </c>
      <c r="B1218" s="8" t="n">
        <v>0.03</v>
      </c>
      <c r="C1218" s="6" t="n">
        <v>1280.365149556449</v>
      </c>
      <c r="D1218" s="6" t="n">
        <v>114151.2991299369</v>
      </c>
      <c r="E1218" s="8" t="n">
        <v>0.4181100526410591</v>
      </c>
      <c r="F1218" s="8" t="n">
        <v>0.3762888326254484</v>
      </c>
      <c r="G1218" s="6" t="n">
        <v>904.0636041022418</v>
      </c>
      <c r="H1218" s="6" t="n">
        <v>30.14890409644217</v>
      </c>
      <c r="I1218" s="6" t="n">
        <v>83.19563188447671</v>
      </c>
    </row>
    <row r="1219">
      <c r="A1219" s="6" t="inlineStr">
        <is>
          <t>5 wt% Re | 250 C</t>
        </is>
      </c>
      <c r="B1219" s="8" t="n">
        <v>0.031</v>
      </c>
      <c r="C1219" s="6" t="n">
        <v>1282.624294271141</v>
      </c>
      <c r="D1219" s="6" t="n">
        <v>112099.4516779538</v>
      </c>
      <c r="E1219" s="8" t="n">
        <v>0.4099515925013408</v>
      </c>
      <c r="F1219" s="8" t="n">
        <v>0.3688754237846457</v>
      </c>
      <c r="G1219" s="6" t="n">
        <v>905.8463982532345</v>
      </c>
      <c r="H1219" s="6" t="n">
        <v>30.18153521643928</v>
      </c>
      <c r="I1219" s="6" t="n">
        <v>83.30322327031837</v>
      </c>
    </row>
    <row r="1220">
      <c r="A1220" s="6" t="inlineStr">
        <is>
          <t>5 wt% Re | 250 C</t>
        </is>
      </c>
      <c r="B1220" s="8" t="n">
        <v>0.032</v>
      </c>
      <c r="C1220" s="6" t="n">
        <v>1284.887855511366</v>
      </c>
      <c r="D1220" s="6" t="n">
        <v>110172.3569156187</v>
      </c>
      <c r="E1220" s="8" t="n">
        <v>0.4020924959904144</v>
      </c>
      <c r="F1220" s="8" t="n">
        <v>0.3617340399257994</v>
      </c>
      <c r="G1220" s="6" t="n">
        <v>907.6291924042271</v>
      </c>
      <c r="H1220" s="6" t="n">
        <v>30.21517366221059</v>
      </c>
      <c r="I1220" s="6" t="n">
        <v>83.41419443838548</v>
      </c>
    </row>
    <row r="1221">
      <c r="A1221" s="6" t="inlineStr">
        <is>
          <t>5 wt% Re | 250 C</t>
        </is>
      </c>
      <c r="B1221" s="8" t="n">
        <v>0.033</v>
      </c>
      <c r="C1221" s="6" t="n">
        <v>1287.155402456774</v>
      </c>
      <c r="D1221" s="6" t="n">
        <v>108358.6736893272</v>
      </c>
      <c r="E1221" s="8" t="n">
        <v>0.3945165828511163</v>
      </c>
      <c r="F1221" s="8" t="n">
        <v>0.3548499784139215</v>
      </c>
      <c r="G1221" s="6" t="n">
        <v>909.4119865552192</v>
      </c>
      <c r="H1221" s="6" t="n">
        <v>30.2497278586857</v>
      </c>
      <c r="I1221" s="6" t="n">
        <v>83.52820808409798</v>
      </c>
    </row>
    <row r="1222">
      <c r="A1222" s="6" t="inlineStr">
        <is>
          <t>5 wt% Re | 250 C</t>
        </is>
      </c>
      <c r="B1222" s="8" t="n">
        <v>0.034</v>
      </c>
      <c r="C1222" s="6" t="n">
        <v>1289.426553843977</v>
      </c>
      <c r="D1222" s="6" t="n">
        <v>106648.3950988403</v>
      </c>
      <c r="E1222" s="8" t="n">
        <v>0.3872088182226962</v>
      </c>
      <c r="F1222" s="8" t="n">
        <v>0.3482095774099268</v>
      </c>
      <c r="G1222" s="6" t="n">
        <v>911.1947807062118</v>
      </c>
      <c r="H1222" s="6" t="n">
        <v>30.28511700433194</v>
      </c>
      <c r="I1222" s="6" t="n">
        <v>83.64496542975833</v>
      </c>
    </row>
    <row r="1223">
      <c r="A1223" s="6" t="inlineStr">
        <is>
          <t>5 wt% Re | 250 C</t>
        </is>
      </c>
      <c r="B1223" s="8" t="n">
        <v>0.035</v>
      </c>
      <c r="C1223" s="6" t="n">
        <v>1291.700971120348</v>
      </c>
      <c r="D1223" s="6" t="n">
        <v>105032.6578896602</v>
      </c>
      <c r="E1223" s="8" t="n">
        <v>0.3801552130503981</v>
      </c>
      <c r="F1223" s="8" t="n">
        <v>0.3418001253750661</v>
      </c>
      <c r="G1223" s="6" t="n">
        <v>912.9775748572044</v>
      </c>
      <c r="H1223" s="6" t="n">
        <v>30.3212695320775</v>
      </c>
      <c r="I1223" s="6" t="n">
        <v>83.76420095991958</v>
      </c>
    </row>
    <row r="1224">
      <c r="A1224" s="6" t="inlineStr">
        <is>
          <t>5 wt% Re | 250 C</t>
        </is>
      </c>
      <c r="B1224" s="8" t="n">
        <v>0.036</v>
      </c>
      <c r="C1224" s="6" t="n">
        <v>1293.978352701939</v>
      </c>
      <c r="D1224" s="6" t="n">
        <v>103503.583613345</v>
      </c>
      <c r="E1224" s="8" t="n">
        <v>0.373342734708513</v>
      </c>
      <c r="F1224" s="8" t="n">
        <v>0.3356097798561075</v>
      </c>
      <c r="G1224" s="6" t="n">
        <v>914.7603690081969</v>
      </c>
      <c r="H1224" s="6" t="n">
        <v>30.35812182674743</v>
      </c>
      <c r="I1224" s="6" t="n">
        <v>83.88567799635447</v>
      </c>
    </row>
    <row r="1225">
      <c r="A1225" s="6" t="inlineStr">
        <is>
          <t>5 wt% Re | 250 C</t>
        </is>
      </c>
      <c r="B1225" s="8" t="n">
        <v>0.037</v>
      </c>
      <c r="C1225" s="6" t="n">
        <v>1296.258429132828</v>
      </c>
      <c r="D1225" s="6" t="n">
        <v>102054.1455456082</v>
      </c>
      <c r="E1225" s="8" t="n">
        <v>0.3667592266354194</v>
      </c>
      <c r="F1225" s="8" t="n">
        <v>0.3296274944595087</v>
      </c>
      <c r="G1225" s="6" t="n">
        <v>916.5431631591891</v>
      </c>
      <c r="H1225" s="6" t="n">
        <v>30.39561715048299</v>
      </c>
      <c r="I1225" s="6" t="n">
        <v>84.00918496011813</v>
      </c>
    </row>
    <row r="1226">
      <c r="A1226" s="6" t="inlineStr">
        <is>
          <t>5 wt% Re | 250 C</t>
        </is>
      </c>
      <c r="B1226" s="8" t="n">
        <v>0.038</v>
      </c>
      <c r="C1226" s="6" t="n">
        <v>1298.540958984687</v>
      </c>
      <c r="D1226" s="6" t="n">
        <v>100678.0566173514</v>
      </c>
      <c r="E1226" s="8" t="n">
        <v>0.360393335937998</v>
      </c>
      <c r="F1226" s="8" t="n">
        <v>0.3238429530671821</v>
      </c>
      <c r="G1226" s="6" t="n">
        <v>918.3259573101817</v>
      </c>
      <c r="H1226" s="6" t="n">
        <v>30.43370473783164</v>
      </c>
      <c r="I1226" s="6" t="n">
        <v>84.13453219913876</v>
      </c>
    </row>
    <row r="1227">
      <c r="A1227" s="6" t="inlineStr">
        <is>
          <t>5 wt% Re | 250 C</t>
        </is>
      </c>
      <c r="B1227" s="8" t="n">
        <v>0.039</v>
      </c>
      <c r="C1227" s="6" t="n">
        <v>1300.825725367628</v>
      </c>
      <c r="D1227" s="6" t="n">
        <v>99369.67458707625</v>
      </c>
      <c r="E1227" s="8" t="n">
        <v>0.3542344480584166</v>
      </c>
      <c r="F1227" s="8" t="n">
        <v>0.3182465104696727</v>
      </c>
      <c r="G1227" s="6" t="n">
        <v>920.1087514611743</v>
      </c>
      <c r="H1227" s="6" t="n">
        <v>30.47233903005391</v>
      </c>
      <c r="I1227" s="6" t="n">
        <v>84.2615492838074</v>
      </c>
    </row>
    <row r="1228">
      <c r="A1228" s="6" t="inlineStr">
        <is>
          <t>5 wt% Re | 250 C</t>
        </is>
      </c>
      <c r="B1228" s="8" t="n">
        <v>0.04</v>
      </c>
      <c r="C1228" s="6" t="n">
        <v>1303.112532948433</v>
      </c>
      <c r="D1228" s="6" t="n">
        <v>98123.92143743415</v>
      </c>
      <c r="E1228" s="8" t="n">
        <v>0.3482726277123649</v>
      </c>
      <c r="F1228" s="8" t="n">
        <v>0.3128291386980649</v>
      </c>
      <c r="G1228" s="6" t="n">
        <v>921.8915456121664</v>
      </c>
      <c r="H1228" s="6" t="n">
        <v>30.51147902428427</v>
      </c>
      <c r="I1228" s="6" t="n">
        <v>84.39008269184413</v>
      </c>
    </row>
    <row r="1229">
      <c r="A1229" s="6" t="inlineStr">
        <is>
          <t>5 wt% Re | 250 C</t>
        </is>
      </c>
      <c r="B1229" s="8" t="n">
        <v>0.041</v>
      </c>
      <c r="C1229" s="6" t="n">
        <v>1305.401205392028</v>
      </c>
      <c r="D1229" s="6" t="n">
        <v>96936.21456740308</v>
      </c>
      <c r="E1229" s="8" t="n">
        <v>0.3424985654074595</v>
      </c>
      <c r="F1229" s="8" t="n">
        <v>0.3075823784264616</v>
      </c>
      <c r="G1229" s="6" t="n">
        <v>923.674339763159</v>
      </c>
      <c r="H1229" s="6" t="n">
        <v>30.55108771793678</v>
      </c>
      <c r="I1229" s="6" t="n">
        <v>84.5199938185301</v>
      </c>
    </row>
    <row r="1230">
      <c r="A1230" s="6" t="inlineStr">
        <is>
          <t>5 wt% Re | 250 C</t>
        </is>
      </c>
      <c r="B1230" s="8" t="n">
        <v>0.042</v>
      </c>
      <c r="C1230" s="6" t="n">
        <v>1307.691583157688</v>
      </c>
      <c r="D1230" s="6" t="n">
        <v>95802.40781415376</v>
      </c>
      <c r="E1230" s="8" t="n">
        <v>0.3369035289362669</v>
      </c>
      <c r="F1230" s="8" t="n">
        <v>0.3024982948947886</v>
      </c>
      <c r="G1230" s="6" t="n">
        <v>925.4571339141514</v>
      </c>
      <c r="H1230" s="6" t="n">
        <v>30.59113163248128</v>
      </c>
      <c r="I1230" s="6" t="n">
        <v>84.65115726013795</v>
      </c>
    </row>
    <row r="1231">
      <c r="A1231" s="6" t="inlineStr">
        <is>
          <t>5 wt% Re | 250 C</t>
        </is>
      </c>
      <c r="B1231" s="8" t="n">
        <v>0.043</v>
      </c>
      <c r="C1231" s="6" t="n">
        <v>1309.983521593831</v>
      </c>
      <c r="D1231" s="6" t="n">
        <v>94718.74070442232</v>
      </c>
      <c r="E1231" s="8" t="n">
        <v>0.3314793193123524</v>
      </c>
      <c r="F1231" s="8" t="n">
        <v>0.2975694378688739</v>
      </c>
      <c r="G1231" s="6" t="n">
        <v>927.2399280651441</v>
      </c>
      <c r="H1231" s="6" t="n">
        <v>30.63158040366947</v>
      </c>
      <c r="I1231" s="6" t="n">
        <v>84.78345932775622</v>
      </c>
    </row>
    <row r="1232">
      <c r="A1232" s="6" t="inlineStr">
        <is>
          <t>5 wt% Re | 250 C</t>
        </is>
      </c>
      <c r="B1232" s="8" t="n">
        <v>0.044</v>
      </c>
      <c r="C1232" s="6" t="n">
        <v>1312.276889285248</v>
      </c>
      <c r="D1232" s="6" t="n">
        <v>93681.79462615072</v>
      </c>
      <c r="E1232" s="8" t="n">
        <v>0.3262182306817009</v>
      </c>
      <c r="F1232" s="8" t="n">
        <v>0.2927888052128608</v>
      </c>
      <c r="G1232" s="6" t="n">
        <v>929.0227222161361</v>
      </c>
      <c r="H1232" s="6" t="n">
        <v>30.67240642763931</v>
      </c>
      <c r="I1232" s="6" t="n">
        <v>84.91679675621468</v>
      </c>
    </row>
    <row r="1233">
      <c r="A1233" s="6" t="inlineStr">
        <is>
          <t>5 wt% Re | 250 C</t>
        </is>
      </c>
      <c r="B1233" s="8" t="n">
        <v>0.045</v>
      </c>
      <c r="C1233" s="6" t="n">
        <v>1314.571566614572</v>
      </c>
      <c r="D1233" s="6" t="n">
        <v>92688.4548439083</v>
      </c>
      <c r="E1233" s="8" t="n">
        <v>0.3211130137972882</v>
      </c>
      <c r="F1233" s="8" t="n">
        <v>0.2881498096993732</v>
      </c>
      <c r="G1233" s="6" t="n">
        <v>930.8055163671288</v>
      </c>
      <c r="H1233" s="6" t="n">
        <v>30.71358455420535</v>
      </c>
      <c r="I1233" s="6" t="n">
        <v>85.05107557887433</v>
      </c>
    </row>
    <row r="1234">
      <c r="A1234" s="6" t="inlineStr">
        <is>
          <t>5 wt% Re | 250 C</t>
        </is>
      </c>
      <c r="B1234" s="8" t="n">
        <v>0.046</v>
      </c>
      <c r="C1234" s="6" t="n">
        <v>1316.86744450628</v>
      </c>
      <c r="D1234" s="6" t="n">
        <v>91735.87746882362</v>
      </c>
      <c r="E1234" s="8" t="n">
        <v>0.3161568426927063</v>
      </c>
      <c r="F1234" s="8" t="n">
        <v>0.2836462487265905</v>
      </c>
      <c r="G1234" s="6" t="n">
        <v>932.5883105181215</v>
      </c>
      <c r="H1234" s="6" t="n">
        <v>30.75509182015478</v>
      </c>
      <c r="I1234" s="6" t="n">
        <v>85.18621014395507</v>
      </c>
    </row>
    <row r="1235">
      <c r="A1235" s="6" t="inlineStr">
        <is>
          <t>5 wt% Re | 250 C</t>
        </is>
      </c>
      <c r="B1235" s="8" t="n">
        <v>0.047</v>
      </c>
      <c r="C1235" s="6" t="n">
        <v>1319.164423326781</v>
      </c>
      <c r="D1235" s="6" t="n">
        <v>90821.46064512059</v>
      </c>
      <c r="E1235" s="8" t="n">
        <v>0.3113432842326667</v>
      </c>
      <c r="F1235" s="8" t="n">
        <v>0.279272276649476</v>
      </c>
      <c r="G1235" s="6" t="n">
        <v>934.3711046691135</v>
      </c>
      <c r="H1235" s="6" t="n">
        <v>30.7969072165908</v>
      </c>
      <c r="I1235" s="6" t="n">
        <v>85.32212225207365</v>
      </c>
    </row>
    <row r="1236">
      <c r="A1236" s="6" t="inlineStr">
        <is>
          <t>5 wt% Re | 250 C</t>
        </is>
      </c>
      <c r="B1236" s="8" t="n">
        <v>0.048</v>
      </c>
      <c r="C1236" s="6" t="n">
        <v>1321.462411918429</v>
      </c>
      <c r="D1236" s="6" t="n">
        <v>89942.81933833793</v>
      </c>
      <c r="E1236" s="8" t="n">
        <v>0.306666270254752</v>
      </c>
      <c r="F1236" s="8" t="n">
        <v>0.275022379465615</v>
      </c>
      <c r="G1236" s="6" t="n">
        <v>936.1538988201062</v>
      </c>
      <c r="H1236" s="6" t="n">
        <v>30.83901148535799</v>
      </c>
      <c r="I1236" s="6" t="n">
        <v>85.4587403979386</v>
      </c>
    </row>
    <row r="1237">
      <c r="A1237" s="6" t="inlineStr">
        <is>
          <t>5 wt% Re | 250 C</t>
        </is>
      </c>
      <c r="B1237" s="8" t="n">
        <v>0.049</v>
      </c>
      <c r="C1237" s="6" t="n">
        <v>1323.761326748826</v>
      </c>
      <c r="D1237" s="6" t="n">
        <v>89097.76321070494</v>
      </c>
      <c r="E1237" s="8" t="n">
        <v>0.3021200720487487</v>
      </c>
      <c r="F1237" s="8" t="n">
        <v>0.2708913516251592</v>
      </c>
      <c r="G1237" s="6" t="n">
        <v>937.9366929710989</v>
      </c>
      <c r="H1237" s="6" t="n">
        <v>30.88138694039527</v>
      </c>
      <c r="I1237" s="6" t="n">
        <v>85.59599910183789</v>
      </c>
    </row>
    <row r="1238">
      <c r="A1238" s="6" t="inlineStr">
        <is>
          <t>5 wt% Re | 250 C</t>
        </is>
      </c>
      <c r="B1238" s="8" t="n">
        <v>0.05</v>
      </c>
      <c r="C1238" s="6" t="n">
        <v>1326.061091159722</v>
      </c>
      <c r="D1238" s="6" t="n">
        <v>88284.27715147271</v>
      </c>
      <c r="E1238" s="8" t="n">
        <v>0.2976992769478787</v>
      </c>
      <c r="F1238" s="8" t="n">
        <v>0.2668742747598061</v>
      </c>
      <c r="G1238" s="6" t="n">
        <v>939.7194871220912</v>
      </c>
      <c r="H1238" s="6" t="n">
        <v>30.92401731052642</v>
      </c>
      <c r="I1238" s="6" t="n">
        <v>85.7338383187795</v>
      </c>
    </row>
    <row r="1239">
      <c r="A1239" s="6" t="inlineStr">
        <is>
          <t>5 wt% Re | 250 C</t>
        </is>
      </c>
      <c r="B1239" s="8" t="n">
        <v>0.051</v>
      </c>
      <c r="C1239" s="6" t="n">
        <v>1328.36163470215</v>
      </c>
      <c r="D1239" s="6" t="n">
        <v>87500.5040977941</v>
      </c>
      <c r="E1239" s="8" t="n">
        <v>0.2933987668308111</v>
      </c>
      <c r="F1239" s="8" t="n">
        <v>0.2629664981480628</v>
      </c>
      <c r="G1239" s="6" t="n">
        <v>941.5022812730836</v>
      </c>
      <c r="H1239" s="6" t="n">
        <v>30.96688760074593</v>
      </c>
      <c r="I1239" s="6" t="n">
        <v>85.87220291498421</v>
      </c>
    </row>
    <row r="1240">
      <c r="A1240" s="6" t="inlineStr">
        <is>
          <t>5 wt% Re | 250 C</t>
        </is>
      </c>
      <c r="B1240" s="8" t="n">
        <v>0.052</v>
      </c>
      <c r="C1240" s="6" t="n">
        <v>1330.662892546518</v>
      </c>
      <c r="D1240" s="6" t="n">
        <v>86744.7298378102</v>
      </c>
      <c r="E1240" s="8" t="n">
        <v>0.2892136983549322</v>
      </c>
      <c r="F1240" s="8" t="n">
        <v>0.2591636207536632</v>
      </c>
      <c r="G1240" s="6" t="n">
        <v>943.285075424076</v>
      </c>
      <c r="H1240" s="6" t="n">
        <v>31.00998396951024</v>
      </c>
      <c r="I1240" s="6" t="n">
        <v>86.01104220296489</v>
      </c>
    </row>
    <row r="1241">
      <c r="A1241" s="6" t="inlineStr">
        <is>
          <t>5 wt% Re | 250 C</t>
        </is>
      </c>
      <c r="B1241" s="8" t="n">
        <v>0.053</v>
      </c>
      <c r="C1241" s="6" t="n">
        <v>1332.964804957981</v>
      </c>
      <c r="D1241" s="6" t="n">
        <v>86015.36953414217</v>
      </c>
      <c r="E1241" s="8" t="n">
        <v>0.2851394847603694</v>
      </c>
      <c r="F1241" s="8" t="n">
        <v>0.2554614746912944</v>
      </c>
      <c r="G1241" s="6" t="n">
        <v>945.0678695750686</v>
      </c>
      <c r="H1241" s="6" t="n">
        <v>31.05329361992058</v>
      </c>
      <c r="I1241" s="6" t="n">
        <v>86.15030952770624</v>
      </c>
    </row>
    <row r="1242">
      <c r="A1242" s="6" t="inlineStr">
        <is>
          <t>5 wt% Re | 250 C</t>
        </is>
      </c>
      <c r="B1242" s="8" t="n">
        <v>0.054</v>
      </c>
      <c r="C1242" s="6" t="n">
        <v>1335.267316828845</v>
      </c>
      <c r="D1242" s="6" t="n">
        <v>85310.95574477236</v>
      </c>
      <c r="E1242" s="8" t="n">
        <v>0.2811717791010508</v>
      </c>
      <c r="F1242" s="8" t="n">
        <v>0.2518561099890392</v>
      </c>
      <c r="G1242" s="6" t="n">
        <v>946.8506637260608</v>
      </c>
      <c r="H1242" s="6" t="n">
        <v>31.09680470299662</v>
      </c>
      <c r="I1242" s="6" t="n">
        <v>86.28996189753265</v>
      </c>
    </row>
    <row r="1243">
      <c r="A1243" s="6" t="inlineStr">
        <is>
          <t>5 wt% Re | 250 C</t>
        </is>
      </c>
      <c r="B1243" s="8" t="n">
        <v>0.055</v>
      </c>
      <c r="C1243" s="6" t="n">
        <v>1337.570377260925</v>
      </c>
      <c r="D1243" s="6" t="n">
        <v>84630.12775073909</v>
      </c>
      <c r="E1243" s="8" t="n">
        <v>0.2773064587739156</v>
      </c>
      <c r="F1243" s="8" t="n">
        <v>0.2483437805304181</v>
      </c>
      <c r="G1243" s="6" t="n">
        <v>948.6334578770532</v>
      </c>
      <c r="H1243" s="6" t="n">
        <v>31.14050623150205</v>
      </c>
      <c r="I1243" s="6" t="n">
        <v>86.42995965415517</v>
      </c>
    </row>
    <row r="1244">
      <c r="A1244" s="6" t="inlineStr">
        <is>
          <t>5 wt% Re | 250 C</t>
        </is>
      </c>
      <c r="B1244" s="8" t="n">
        <v>0.056</v>
      </c>
      <c r="C1244" s="6" t="n">
        <v>1339.87393919174</v>
      </c>
      <c r="D1244" s="6" t="n">
        <v>83971.62202729221</v>
      </c>
      <c r="E1244" s="8" t="n">
        <v>0.2735396112305248</v>
      </c>
      <c r="F1244" s="8" t="n">
        <v>0.2449209310708516</v>
      </c>
      <c r="G1244" s="6" t="n">
        <v>950.4162520280457</v>
      </c>
      <c r="H1244" s="6" t="n">
        <v>31.18438800300315</v>
      </c>
      <c r="I1244" s="6" t="n">
        <v>86.57026617715141</v>
      </c>
    </row>
    <row r="1245">
      <c r="A1245" s="6" t="inlineStr">
        <is>
          <t>5 wt% Re | 250 C</t>
        </is>
      </c>
      <c r="B1245" s="8" t="n">
        <v>0.057</v>
      </c>
      <c r="C1245" s="6" t="n">
        <v>1342.177959059316</v>
      </c>
      <c r="D1245" s="6" t="n">
        <v>83334.26371808503</v>
      </c>
      <c r="E1245" s="8" t="n">
        <v>0.2698675207669682</v>
      </c>
      <c r="F1245" s="8" t="n">
        <v>0.2415841852339469</v>
      </c>
      <c r="G1245" s="6" t="n">
        <v>952.1990461790382</v>
      </c>
      <c r="H1245" s="6" t="n">
        <v>31.22844053102647</v>
      </c>
      <c r="I1245" s="6" t="n">
        <v>86.71084761877709</v>
      </c>
    </row>
    <row r="1246">
      <c r="A1246" s="6" t="inlineStr">
        <is>
          <t>5 wt% Re | 250 C</t>
        </is>
      </c>
      <c r="B1246" s="8" t="n">
        <v>0.058</v>
      </c>
      <c r="C1246" s="6" t="n">
        <v>1344.48239650101</v>
      </c>
      <c r="D1246" s="6" t="n">
        <v>82716.95899134659</v>
      </c>
      <c r="E1246" s="8" t="n">
        <v>0.2662866562983093</v>
      </c>
      <c r="F1246" s="8" t="n">
        <v>0.2383303344024112</v>
      </c>
      <c r="G1246" s="6" t="n">
        <v>953.9818403300305</v>
      </c>
      <c r="H1246" s="6" t="n">
        <v>31.27265498333809</v>
      </c>
      <c r="I1246" s="6" t="n">
        <v>86.85167266555722</v>
      </c>
    </row>
    <row r="1247">
      <c r="A1247" s="6" t="inlineStr">
        <is>
          <t>5 wt% Re | 250 C</t>
        </is>
      </c>
      <c r="B1247" s="8" t="n">
        <v>0.059</v>
      </c>
      <c r="C1247" s="6" t="n">
        <v>1346.78721408244</v>
      </c>
      <c r="D1247" s="6" t="n">
        <v>82118.68817339196</v>
      </c>
      <c r="E1247" s="8" t="n">
        <v>0.2627936600330109</v>
      </c>
      <c r="F1247" s="8" t="n">
        <v>0.2351563274267582</v>
      </c>
      <c r="G1247" s="6" t="n">
        <v>955.7646344810227</v>
      </c>
      <c r="H1247" s="6" t="n">
        <v>31.31702312649962</v>
      </c>
      <c r="I1247" s="6" t="n">
        <v>86.99271232357144</v>
      </c>
    </row>
    <row r="1248">
      <c r="A1248" s="6" t="inlineStr">
        <is>
          <t>5 wt% Re | 250 C</t>
        </is>
      </c>
      <c r="B1248" s="8" t="n">
        <v>0.06</v>
      </c>
      <c r="C1248" s="6" t="n">
        <v>1349.09237705306</v>
      </c>
      <c r="D1248" s="6" t="n">
        <v>81538.499568782</v>
      </c>
      <c r="E1248" s="8" t="n">
        <v>0.2593853369709878</v>
      </c>
      <c r="F1248" s="8" t="n">
        <v>0.2320592610824238</v>
      </c>
      <c r="G1248" s="6" t="n">
        <v>957.5474286320156</v>
      </c>
      <c r="H1248" s="6" t="n">
        <v>31.36153727596859</v>
      </c>
      <c r="I1248" s="6" t="n">
        <v>87.13393972474765</v>
      </c>
    </row>
    <row r="1249">
      <c r="A1249" s="6" t="inlineStr">
        <is>
          <t>5 wt% Re | 250 C</t>
        </is>
      </c>
      <c r="B1249" s="8" t="n">
        <v>0.061</v>
      </c>
      <c r="C1249" s="6" t="n">
        <v>1351.397853125398</v>
      </c>
      <c r="D1249" s="6" t="n">
        <v>80975.50388833581</v>
      </c>
      <c r="E1249" s="8" t="n">
        <v>0.2560586451562388</v>
      </c>
      <c r="F1249" s="8" t="n">
        <v>0.2290363712125547</v>
      </c>
      <c r="G1249" s="6" t="n">
        <v>959.3302227830079</v>
      </c>
      <c r="H1249" s="6" t="n">
        <v>31.4061902511069</v>
      </c>
      <c r="I1249" s="6" t="n">
        <v>87.27532995181966</v>
      </c>
    </row>
    <row r="1250">
      <c r="A1250" s="6" t="inlineStr">
        <is>
          <t>5 wt% Re | 250 C</t>
        </is>
      </c>
      <c r="B1250" s="8" t="n">
        <v>0.062</v>
      </c>
      <c r="C1250" s="6" t="n">
        <v>1353.703612275348</v>
      </c>
      <c r="D1250" s="6" t="n">
        <v>80428.86921636802</v>
      </c>
      <c r="E1250" s="8" t="n">
        <v>0.252810686621559</v>
      </c>
      <c r="F1250" s="8" t="n">
        <v>0.2260850244996702</v>
      </c>
      <c r="G1250" s="6" t="n">
        <v>961.1130169340003</v>
      </c>
      <c r="H1250" s="6" t="n">
        <v>31.45097533454348</v>
      </c>
      <c r="I1250" s="6" t="n">
        <v>87.41685987989881</v>
      </c>
    </row>
    <row r="1251">
      <c r="A1251" s="6" t="inlineStr">
        <is>
          <t>5 wt% Re | 250 C</t>
        </is>
      </c>
      <c r="B1251" s="8" t="n">
        <v>0.063</v>
      </c>
      <c r="C1251" s="6" t="n">
        <v>1356.009626561206</v>
      </c>
      <c r="D1251" s="6" t="n">
        <v>79897.81645723687</v>
      </c>
      <c r="E1251" s="8" t="n">
        <v>0.2496386989686683</v>
      </c>
      <c r="F1251" s="8" t="n">
        <v>0.2232027108147168</v>
      </c>
      <c r="G1251" s="6" t="n">
        <v>962.8958110849926</v>
      </c>
      <c r="H1251" s="6" t="n">
        <v>31.49588623540695</v>
      </c>
      <c r="I1251" s="6" t="n">
        <v>87.55850803286185</v>
      </c>
    </row>
    <row r="1252">
      <c r="A1252" s="6" t="inlineStr">
        <is>
          <t>5 wt% Re | 250 C</t>
        </is>
      </c>
      <c r="B1252" s="8" t="n">
        <v>0.064</v>
      </c>
      <c r="C1252" s="6" t="n">
        <v>1358.315869959459</v>
      </c>
      <c r="D1252" s="6" t="n">
        <v>79381.61520877808</v>
      </c>
      <c r="E1252" s="8" t="n">
        <v>0.2465400475323429</v>
      </c>
      <c r="F1252" s="8" t="n">
        <v>0.2203870360967896</v>
      </c>
      <c r="G1252" s="6" t="n">
        <v>964.6786052359853</v>
      </c>
      <c r="H1252" s="6" t="n">
        <v>31.54091705600546</v>
      </c>
      <c r="I1252" s="6" t="n">
        <v>87.70025445297645</v>
      </c>
    </row>
    <row r="1253">
      <c r="A1253" s="6" t="inlineStr">
        <is>
          <t>5 wt% Re | 250 C</t>
        </is>
      </c>
      <c r="B1253" s="8" t="n">
        <v>0.065</v>
      </c>
      <c r="C1253" s="6" t="n">
        <v>1360.622318215544</v>
      </c>
      <c r="D1253" s="6" t="n">
        <v>78879.58001665297</v>
      </c>
      <c r="E1253" s="8" t="n">
        <v>0.2435122180818301</v>
      </c>
      <c r="F1253" s="8" t="n">
        <v>0.2176357157210735</v>
      </c>
      <c r="G1253" s="6" t="n">
        <v>966.4613993869776</v>
      </c>
      <c r="H1253" s="6" t="n">
        <v>31.58606226158198</v>
      </c>
      <c r="I1253" s="6" t="n">
        <v>87.84208058237371</v>
      </c>
    </row>
    <row r="1254">
      <c r="A1254" s="6" t="inlineStr">
        <is>
          <t>5 wt% Re | 250 C</t>
        </is>
      </c>
      <c r="B1254" s="8" t="n">
        <v>0.066</v>
      </c>
      <c r="C1254" s="6" t="n">
        <v>1362.928948708029</v>
      </c>
      <c r="D1254" s="6" t="n">
        <v>78391.06696920993</v>
      </c>
      <c r="E1254" s="8" t="n">
        <v>0.2405528100170518</v>
      </c>
      <c r="F1254" s="8" t="n">
        <v>0.2149465683163859</v>
      </c>
      <c r="G1254" s="6" t="n">
        <v>968.2441935379703</v>
      </c>
      <c r="H1254" s="6" t="n">
        <v>31.63131665281935</v>
      </c>
      <c r="I1254" s="6" t="n">
        <v>87.98396915514263</v>
      </c>
    </row>
    <row r="1255">
      <c r="A1255" s="6" t="inlineStr">
        <is>
          <t>5 wt% Re | 250 C</t>
        </is>
      </c>
      <c r="B1255" s="8" t="n">
        <v>0.067</v>
      </c>
      <c r="C1255" s="6" t="n">
        <v>1365.235740324827</v>
      </c>
      <c r="D1255" s="6" t="n">
        <v>77915.47059728419</v>
      </c>
      <c r="E1255" s="8" t="n">
        <v>0.2376595300209025</v>
      </c>
      <c r="F1255" s="8" t="n">
        <v>0.2123175099971636</v>
      </c>
      <c r="G1255" s="6" t="n">
        <v>970.0269876889624</v>
      </c>
      <c r="H1255" s="6" t="n">
        <v>31.67667534080736</v>
      </c>
      <c r="I1255" s="6" t="n">
        <v>88.12590409896166</v>
      </c>
    </row>
    <row r="1256">
      <c r="A1256" s="6" t="inlineStr">
        <is>
          <t>5 wt% Re | 250 C</t>
        </is>
      </c>
      <c r="B1256" s="8" t="n">
        <v>0.068</v>
      </c>
      <c r="C1256" s="6" t="n">
        <v>1367.542673350245</v>
      </c>
      <c r="D1256" s="6" t="n">
        <v>77452.22104754404</v>
      </c>
      <c r="E1256" s="8" t="n">
        <v>0.2348301861323636</v>
      </c>
      <c r="F1256" s="8" t="n">
        <v>0.2097465489778344</v>
      </c>
      <c r="G1256" s="6" t="n">
        <v>971.809781839955</v>
      </c>
      <c r="H1256" s="6" t="n">
        <v>31.7221337242188</v>
      </c>
      <c r="I1256" s="6" t="n">
        <v>88.26787044530876</v>
      </c>
    </row>
    <row r="1257">
      <c r="A1257" s="6" t="inlineStr">
        <is>
          <t>5 wt% Re | 250 C</t>
        </is>
      </c>
      <c r="B1257" s="8" t="n">
        <v>0.06900000000000001</v>
      </c>
      <c r="C1257" s="6" t="n">
        <v>1369.849729361763</v>
      </c>
      <c r="D1257" s="6" t="n">
        <v>77000.78150163367</v>
      </c>
      <c r="E1257" s="8" t="n">
        <v>0.232062682208243</v>
      </c>
      <c r="F1257" s="8" t="n">
        <v>0.2072317805403263</v>
      </c>
      <c r="G1257" s="6" t="n">
        <v>973.5925759909471</v>
      </c>
      <c r="H1257" s="6" t="n">
        <v>31.76768746847002</v>
      </c>
      <c r="I1257" s="6" t="n">
        <v>88.40985424739871</v>
      </c>
    </row>
    <row r="1258">
      <c r="A1258" s="6" t="inlineStr">
        <is>
          <t>5 wt% Re | 250 C</t>
        </is>
      </c>
      <c r="B1258" s="8" t="n">
        <v>0.07000000000000001</v>
      </c>
      <c r="C1258" s="6" t="n">
        <v>1372.156891135611</v>
      </c>
      <c r="D1258" s="6" t="n">
        <v>76560.64581653167</v>
      </c>
      <c r="E1258" s="8" t="n">
        <v>0.2293550127441334</v>
      </c>
      <c r="F1258" s="8" t="n">
        <v>0.2047713823279874</v>
      </c>
      <c r="G1258" s="6" t="n">
        <v>975.3753701419402</v>
      </c>
      <c r="H1258" s="6" t="n">
        <v>31.81333248666791</v>
      </c>
      <c r="I1258" s="6" t="n">
        <v>88.55184250509103</v>
      </c>
    </row>
    <row r="1259">
      <c r="A1259" s="6" t="inlineStr">
        <is>
          <t>5 wt% Re | 250 C</t>
        </is>
      </c>
      <c r="B1259" s="8" t="n">
        <v>0.07099999999999999</v>
      </c>
      <c r="C1259" s="6" t="n">
        <v>1374.464142560263</v>
      </c>
      <c r="D1259" s="6" t="n">
        <v>76131.33636431667</v>
      </c>
      <c r="E1259" s="8" t="n">
        <v>0.2267052580276959</v>
      </c>
      <c r="F1259" s="8" t="n">
        <v>0.2023636099414846</v>
      </c>
      <c r="G1259" s="6" t="n">
        <v>977.1581642929323</v>
      </c>
      <c r="H1259" s="6" t="n">
        <v>31.85906492216681</v>
      </c>
      <c r="I1259" s="6" t="n">
        <v>88.69382309609567</v>
      </c>
    </row>
    <row r="1260">
      <c r="A1260" s="6" t="inlineStr">
        <is>
          <t>5 wt% Re | 250 C</t>
        </is>
      </c>
      <c r="B1260" s="8" t="n">
        <v>0.07199999999999999</v>
      </c>
      <c r="C1260" s="6" t="n">
        <v>1376.77146855713</v>
      </c>
      <c r="D1260" s="6" t="n">
        <v>75712.40205195165</v>
      </c>
      <c r="E1260" s="8" t="n">
        <v>0.2241115795996538</v>
      </c>
      <c r="F1260" s="8" t="n">
        <v>0.2000067928143115</v>
      </c>
      <c r="G1260" s="6" t="n">
        <v>978.9409584439247</v>
      </c>
      <c r="H1260" s="6" t="n">
        <v>31.9048811325792</v>
      </c>
      <c r="I1260" s="6" t="n">
        <v>88.83578471287622</v>
      </c>
    </row>
    <row r="1261">
      <c r="A1261" s="6" t="inlineStr">
        <is>
          <t>5 wt% Re | 250 C</t>
        </is>
      </c>
      <c r="B1261" s="8" t="n">
        <v>0.073</v>
      </c>
      <c r="C1261" s="6" t="n">
        <v>1379.078855007719</v>
      </c>
      <c r="D1261" s="6" t="n">
        <v>75303.41650382633</v>
      </c>
      <c r="E1261" s="8" t="n">
        <v>0.2215722159999441</v>
      </c>
      <c r="F1261" s="8" t="n">
        <v>0.1976993303474115</v>
      </c>
      <c r="G1261" s="6" t="n">
        <v>980.7237525949172</v>
      </c>
      <c r="H1261" s="6" t="n">
        <v>31.9507776751004</v>
      </c>
      <c r="I1261" s="6" t="n">
        <v>88.97771680471458</v>
      </c>
    </row>
    <row r="1262">
      <c r="A1262" s="6" t="inlineStr">
        <is>
          <t>5 wt% Re | 250 C</t>
        </is>
      </c>
      <c r="B1262" s="8" t="n">
        <v>0.074</v>
      </c>
      <c r="C1262" s="6" t="n">
        <v>1381.386288686703</v>
      </c>
      <c r="D1262" s="6" t="n">
        <v>74903.97639166081</v>
      </c>
      <c r="E1262" s="8" t="n">
        <v>0.219085478778343</v>
      </c>
      <c r="F1262" s="8" t="n">
        <v>0.1954396882841229</v>
      </c>
      <c r="G1262" s="6" t="n">
        <v>982.5065467459096</v>
      </c>
      <c r="H1262" s="6" t="n">
        <v>31.99675129302331</v>
      </c>
      <c r="I1262" s="6" t="n">
        <v>89.11960952445745</v>
      </c>
    </row>
    <row r="1263">
      <c r="A1263" s="6" t="inlineStr">
        <is>
          <t>5 wt% Re | 250 C</t>
        </is>
      </c>
      <c r="B1263" s="8" t="n">
        <v>0.075</v>
      </c>
      <c r="C1263" s="6" t="n">
        <v>1383.69375720033</v>
      </c>
      <c r="D1263" s="6" t="n">
        <v>74513.69989801662</v>
      </c>
      <c r="E1263" s="8" t="n">
        <v>0.2166497487505761</v>
      </c>
      <c r="F1263" s="8" t="n">
        <v>0.1932263953081912</v>
      </c>
      <c r="G1263" s="6" t="n">
        <v>984.289340896902</v>
      </c>
      <c r="H1263" s="6" t="n">
        <v>32.04279890333186</v>
      </c>
      <c r="I1263" s="6" t="n">
        <v>89.26145367951577</v>
      </c>
    </row>
    <row r="1264">
      <c r="A1264" s="6" t="inlineStr">
        <is>
          <t>5 wt% Re | 250 C</t>
        </is>
      </c>
      <c r="B1264" s="8" t="n">
        <v>0.076</v>
      </c>
      <c r="C1264" s="6" t="n">
        <v>1386.001248929694</v>
      </c>
      <c r="D1264" s="6" t="n">
        <v>74132.22530111003</v>
      </c>
      <c r="E1264" s="8" t="n">
        <v>0.214263472482472</v>
      </c>
      <c r="F1264" s="8" t="n">
        <v>0.1910580398489989</v>
      </c>
      <c r="G1264" s="6" t="n">
        <v>986.0721350478946</v>
      </c>
      <c r="H1264" s="6" t="n">
        <v>32.08891758527396</v>
      </c>
      <c r="I1264" s="6" t="n">
        <v>89.40324068673128</v>
      </c>
    </row>
    <row r="1265">
      <c r="A1265" s="6" t="inlineStr">
        <is>
          <t>5 wt% Re | 250 C</t>
        </is>
      </c>
      <c r="B1265" s="8" t="n">
        <v>0.077</v>
      </c>
      <c r="C1265" s="6" t="n">
        <v>1388.308752978432</v>
      </c>
      <c r="D1265" s="6" t="n">
        <v>73759.20966989931</v>
      </c>
      <c r="E1265" s="8" t="n">
        <v>0.2119251589861145</v>
      </c>
      <c r="F1265" s="8" t="n">
        <v>0.1889332670794328</v>
      </c>
      <c r="G1265" s="6" t="n">
        <v>987.854929198887</v>
      </c>
      <c r="H1265" s="6" t="n">
        <v>32.13510456982497</v>
      </c>
      <c r="I1265" s="6" t="n">
        <v>89.54496253076438</v>
      </c>
    </row>
    <row r="1266">
      <c r="A1266" s="6" t="inlineStr">
        <is>
          <t>5 wt% Re | 250 C</t>
        </is>
      </c>
      <c r="B1266" s="8" t="n">
        <v>0.078</v>
      </c>
      <c r="C1266" s="6" t="n">
        <v>1390.616259124456</v>
      </c>
      <c r="D1266" s="6" t="n">
        <v>73394.32765955006</v>
      </c>
      <c r="E1266" s="8" t="n">
        <v>0.2096333766132299</v>
      </c>
      <c r="F1266" s="8" t="n">
        <v>0.1868507760929749</v>
      </c>
      <c r="G1266" s="6" t="n">
        <v>989.6377233498794</v>
      </c>
      <c r="H1266" s="6" t="n">
        <v>32.18135722996143</v>
      </c>
      <c r="I1266" s="6" t="n">
        <v>89.68661172569207</v>
      </c>
    </row>
    <row r="1267">
      <c r="A1267" s="6" t="inlineStr">
        <is>
          <t>5 wt% Re | 250 C</t>
        </is>
      </c>
      <c r="B1267" s="8" t="n">
        <v>0.079</v>
      </c>
      <c r="C1267" s="6" t="n">
        <v>1392.92375777535</v>
      </c>
      <c r="D1267" s="6" t="n">
        <v>73037.27039838393</v>
      </c>
      <c r="E1267" s="8" t="n">
        <v>0.2073867501322047</v>
      </c>
      <c r="F1267" s="8" t="n">
        <v>0.1848093172476555</v>
      </c>
      <c r="G1267" s="6" t="n">
        <v>991.4205175008722</v>
      </c>
      <c r="H1267" s="6" t="n">
        <v>32.22767307167379</v>
      </c>
      <c r="I1267" s="6" t="n">
        <v>89.82818127953509</v>
      </c>
    </row>
    <row r="1268">
      <c r="A1268" s="6" t="inlineStr">
        <is>
          <t>5 wt% Re | 250 C</t>
        </is>
      </c>
      <c r="B1268" s="8" t="n">
        <v>0.08</v>
      </c>
      <c r="C1268" s="6" t="n">
        <v>1395.23123992715</v>
      </c>
      <c r="D1268" s="6" t="n">
        <v>72687.74445830658</v>
      </c>
      <c r="E1268" s="8" t="n">
        <v>0.2051839579761986</v>
      </c>
      <c r="F1268" s="8" t="n">
        <v>0.1828076896654743</v>
      </c>
      <c r="G1268" s="6" t="n">
        <v>993.2033116518643</v>
      </c>
      <c r="H1268" s="6" t="n">
        <v>32.27404972565294</v>
      </c>
      <c r="I1268" s="6" t="n">
        <v>89.96966466146161</v>
      </c>
    </row>
    <row r="1269">
      <c r="A1269" s="6" t="inlineStr">
        <is>
          <t>5 wt% Re | 250 C</t>
        </is>
      </c>
      <c r="B1269" s="8" t="n">
        <v>0.081</v>
      </c>
      <c r="C1269" s="6" t="n">
        <v>1397.538697126175</v>
      </c>
      <c r="D1269" s="6" t="n">
        <v>72345.47090149992</v>
      </c>
      <c r="E1269" s="8" t="n">
        <v>0.2030237296507766</v>
      </c>
      <c r="F1269" s="8" t="n">
        <v>0.1808447388767744</v>
      </c>
      <c r="G1269" s="6" t="n">
        <v>994.9861058028567</v>
      </c>
      <c r="H1269" s="6" t="n">
        <v>32.32048493959272</v>
      </c>
      <c r="I1269" s="6" t="n">
        <v>90.11105577143897</v>
      </c>
    </row>
    <row r="1270">
      <c r="A1270" s="6" t="inlineStr">
        <is>
          <t>5 wt% Re | 250 C</t>
        </is>
      </c>
      <c r="B1270" s="8" t="n">
        <v>0.082</v>
      </c>
      <c r="C1270" s="6" t="n">
        <v>1399.846121433683</v>
      </c>
      <c r="D1270" s="6" t="n">
        <v>72010.18439686867</v>
      </c>
      <c r="E1270" s="8" t="n">
        <v>0.2009048432903783</v>
      </c>
      <c r="F1270" s="8" t="n">
        <v>0.1789193545998617</v>
      </c>
      <c r="G1270" s="6" t="n">
        <v>996.7688999538495</v>
      </c>
      <c r="H1270" s="6" t="n">
        <v>32.36697657105553</v>
      </c>
      <c r="I1270" s="6" t="n">
        <v>90.25234891212652</v>
      </c>
    </row>
    <row r="1271">
      <c r="A1271" s="6" t="inlineStr">
        <is>
          <t>5 wt% Re | 250 C</t>
        </is>
      </c>
      <c r="B1271" s="8" t="n">
        <v>0.083</v>
      </c>
      <c r="C1271" s="6" t="n">
        <v>1402.153505393096</v>
      </c>
      <c r="D1271" s="6" t="n">
        <v>71681.6324003583</v>
      </c>
      <c r="E1271" s="8" t="n">
        <v>0.1988261233537495</v>
      </c>
      <c r="F1271" s="8" t="n">
        <v>0.1770304686468944</v>
      </c>
      <c r="G1271" s="6" t="n">
        <v>998.5516941048415</v>
      </c>
      <c r="H1271" s="6" t="n">
        <v>32.41352258085379</v>
      </c>
      <c r="I1271" s="6" t="n">
        <v>90.39353876282287</v>
      </c>
    </row>
    <row r="1272">
      <c r="A1272" s="6" t="inlineStr">
        <is>
          <t>5 wt% Re | 250 C</t>
        </is>
      </c>
      <c r="B1272" s="8" t="n">
        <v>0.08400000000000001</v>
      </c>
      <c r="C1272" s="6" t="n">
        <v>1404.4608419996</v>
      </c>
      <c r="D1272" s="6" t="n">
        <v>71359.5743938216</v>
      </c>
      <c r="E1272" s="8" t="n">
        <v>0.1967864384492008</v>
      </c>
      <c r="F1272" s="8" t="n">
        <v>0.1751770529477457</v>
      </c>
      <c r="G1272" s="6" t="n">
        <v>1000.334488255834</v>
      </c>
      <c r="H1272" s="6" t="n">
        <v>32.4601210269041</v>
      </c>
      <c r="I1272" s="6" t="n">
        <v>90.53462035529759</v>
      </c>
    </row>
    <row r="1273">
      <c r="A1273" s="6" t="inlineStr">
        <is>
          <t>5 wt% Re | 250 C</t>
        </is>
      </c>
      <c r="B1273" s="8" t="n">
        <v>0.08500000000000001</v>
      </c>
      <c r="C1273" s="6" t="n">
        <v>1406.768124671901</v>
      </c>
      <c r="D1273" s="6" t="n">
        <v>71043.7811776125</v>
      </c>
      <c r="E1273" s="8" t="n">
        <v>0.1947846992812424</v>
      </c>
      <c r="F1273" s="8" t="n">
        <v>0.173358117684156</v>
      </c>
      <c r="G1273" s="6" t="n">
        <v>1002.117282406827</v>
      </c>
      <c r="H1273" s="6" t="n">
        <v>32.50677005851522</v>
      </c>
      <c r="I1273" s="6" t="n">
        <v>90.67558905135377</v>
      </c>
    </row>
    <row r="1274">
      <c r="A1274" s="6" t="inlineStr">
        <is>
          <t>5 wt% Re | 250 C</t>
        </is>
      </c>
      <c r="B1274" s="8" t="n">
        <v>0.08599999999999999</v>
      </c>
      <c r="C1274" s="6" t="n">
        <v>1409.07534722599</v>
      </c>
      <c r="D1274" s="6" t="n">
        <v>70734.03421253349</v>
      </c>
      <c r="E1274" s="8" t="n">
        <v>0.192819856710762</v>
      </c>
      <c r="F1274" s="8" t="n">
        <v>0.1715727095270613</v>
      </c>
      <c r="G1274" s="6" t="n">
        <v>1003.900076557819</v>
      </c>
      <c r="H1274" s="6" t="n">
        <v>32.55346791107453</v>
      </c>
      <c r="I1274" s="6" t="n">
        <v>90.81644052198143</v>
      </c>
    </row>
    <row r="1275">
      <c r="A1275" s="6" t="inlineStr">
        <is>
          <t>5 wt% Re | 250 C</t>
        </is>
      </c>
      <c r="B1275" s="8" t="n">
        <v>0.08699999999999999</v>
      </c>
      <c r="C1275" s="6" t="n">
        <v>1411.382503850732</v>
      </c>
      <c r="D1275" s="6" t="n">
        <v>70430.12500716628</v>
      </c>
      <c r="E1275" s="8" t="n">
        <v>0.1908908999214903</v>
      </c>
      <c r="F1275" s="8" t="n">
        <v>0.169819909970501</v>
      </c>
      <c r="G1275" s="6" t="n">
        <v>1005.682870708811</v>
      </c>
      <c r="H1275" s="6" t="n">
        <v>32.60021290110109</v>
      </c>
      <c r="I1275" s="6" t="n">
        <v>90.95717072797476</v>
      </c>
    </row>
    <row r="1276">
      <c r="A1276" s="6" t="inlineStr">
        <is>
          <t>5 wt% Re | 250 C</t>
        </is>
      </c>
      <c r="B1276" s="8" t="n">
        <v>0.08799999999999999</v>
      </c>
      <c r="C1276" s="6" t="n">
        <v>1413.689589085151</v>
      </c>
      <c r="D1276" s="6" t="n">
        <v>70131.85454697529</v>
      </c>
      <c r="E1276" s="8" t="n">
        <v>0.1889968546860199</v>
      </c>
      <c r="F1276" s="8" t="n">
        <v>0.1680988337559886</v>
      </c>
      <c r="G1276" s="6" t="n">
        <v>1007.465664859804</v>
      </c>
      <c r="H1276" s="6" t="n">
        <v>32.64700342163579</v>
      </c>
      <c r="I1276" s="6" t="n">
        <v>91.09777590189695</v>
      </c>
    </row>
    <row r="1277">
      <c r="A1277" s="6" t="inlineStr">
        <is>
          <t>5 wt% Re | 250 C</t>
        </is>
      </c>
      <c r="B1277" s="8" t="n">
        <v>0.089</v>
      </c>
      <c r="C1277" s="6" t="n">
        <v>1415.996597797269</v>
      </c>
      <c r="D1277" s="6" t="n">
        <v>69839.03276189834</v>
      </c>
      <c r="E1277" s="8" t="n">
        <v>0.1871367817251275</v>
      </c>
      <c r="F1277" s="8" t="n">
        <v>0.1664086273816649</v>
      </c>
      <c r="G1277" s="6" t="n">
        <v>1009.248459010797</v>
      </c>
      <c r="H1277" s="6" t="n">
        <v>32.69383793794238</v>
      </c>
      <c r="I1277" s="6" t="n">
        <v>91.2382525312878</v>
      </c>
    </row>
    <row r="1278">
      <c r="A1278" s="6" t="inlineStr">
        <is>
          <t>5 wt% Re | 250 C</t>
        </is>
      </c>
      <c r="B1278" s="8" t="n">
        <v>0.09</v>
      </c>
      <c r="C1278" s="6" t="n">
        <v>1418.303525164389</v>
      </c>
      <c r="D1278" s="6" t="n">
        <v>69551.47802943169</v>
      </c>
      <c r="E1278" s="8" t="n">
        <v>0.1853097751545956</v>
      </c>
      <c r="F1278" s="8" t="n">
        <v>0.1647484676909596</v>
      </c>
      <c r="G1278" s="6" t="n">
        <v>1011.031253161789</v>
      </c>
      <c r="H1278" s="6" t="n">
        <v>32.74071498349513</v>
      </c>
      <c r="I1278" s="6" t="n">
        <v>91.37859734301716</v>
      </c>
    </row>
    <row r="1279">
      <c r="A1279" s="6" t="inlineStr">
        <is>
          <t>5 wt% Re | 250 C</t>
        </is>
      </c>
      <c r="B1279" s="8" t="n">
        <v>0.091</v>
      </c>
      <c r="C1279" s="6" t="n">
        <v>1420.610366654692</v>
      </c>
      <c r="D1279" s="6" t="n">
        <v>69269.01671047824</v>
      </c>
      <c r="E1279" s="8" t="n">
        <v>0.1835149610141357</v>
      </c>
      <c r="F1279" s="8" t="n">
        <v>0.1631175605358573</v>
      </c>
      <c r="G1279" s="6" t="n">
        <v>1012.814047312781</v>
      </c>
      <c r="H1279" s="6" t="n">
        <v>32.787633156231</v>
      </c>
      <c r="I1279" s="6" t="n">
        <v>91.51880728869661</v>
      </c>
    </row>
    <row r="1280">
      <c r="A1280" s="6" t="inlineStr">
        <is>
          <t>5 wt% Re | 250 C</t>
        </is>
      </c>
      <c r="B1280" s="8" t="n">
        <v>0.092</v>
      </c>
      <c r="C1280" s="6" t="n">
        <v>1422.917118010068</v>
      </c>
      <c r="D1280" s="6" t="n">
        <v>68991.48271546692</v>
      </c>
      <c r="E1280" s="8" t="n">
        <v>0.181751495873396</v>
      </c>
      <c r="F1280" s="8" t="n">
        <v>0.1615151395102079</v>
      </c>
      <c r="G1280" s="6" t="n">
        <v>1014.596841463774</v>
      </c>
      <c r="H1280" s="6" t="n">
        <v>32.83459111504618</v>
      </c>
      <c r="I1280" s="6" t="n">
        <v>91.65887953106866</v>
      </c>
    </row>
    <row r="1281">
      <c r="A1281" s="6" t="inlineStr">
        <is>
          <t>5 wt% Re | 250 C</t>
        </is>
      </c>
      <c r="B1281" s="8" t="n">
        <v>0.093</v>
      </c>
      <c r="C1281" s="6" t="n">
        <v>1425.22377523008</v>
      </c>
      <c r="D1281" s="6" t="n">
        <v>68718.71709846414</v>
      </c>
      <c r="E1281" s="8" t="n">
        <v>0.1800185655103802</v>
      </c>
      <c r="F1281" s="8" t="n">
        <v>0.1599404647488355</v>
      </c>
      <c r="G1281" s="6" t="n">
        <v>1016.379635614766</v>
      </c>
      <c r="H1281" s="6" t="n">
        <v>32.88158757651877</v>
      </c>
      <c r="I1281" s="6" t="n">
        <v>91.79881143130058</v>
      </c>
    </row>
    <row r="1282">
      <c r="A1282" s="6" t="inlineStr">
        <is>
          <t>5 wt% Re | 250 C</t>
        </is>
      </c>
      <c r="B1282" s="8" t="n">
        <v>0.094</v>
      </c>
      <c r="C1282" s="6" t="n">
        <v>1427.530334556971</v>
      </c>
      <c r="D1282" s="6" t="n">
        <v>68450.56767719303</v>
      </c>
      <c r="E1282" s="8" t="n">
        <v>0.1783153836579273</v>
      </c>
      <c r="F1282" s="8" t="n">
        <v>0.1583928217884931</v>
      </c>
      <c r="G1282" s="6" t="n">
        <v>1018.162429765759</v>
      </c>
      <c r="H1282" s="6" t="n">
        <v>32.92862131184052</v>
      </c>
      <c r="I1282" s="6" t="n">
        <v>91.93860053711421</v>
      </c>
    </row>
    <row r="1283">
      <c r="A1283" s="6" t="inlineStr">
        <is>
          <t>5 wt% Re | 250 C</t>
        </is>
      </c>
      <c r="B1283" s="8" t="n">
        <v>0.095</v>
      </c>
      <c r="C1283" s="6" t="n">
        <v>1429.836792461652</v>
      </c>
      <c r="D1283" s="6" t="n">
        <v>68186.88867705151</v>
      </c>
      <c r="E1283" s="8" t="n">
        <v>0.1766411908141989</v>
      </c>
      <c r="F1283" s="8" t="n">
        <v>0.156871520486979</v>
      </c>
      <c r="G1283" s="6" t="n">
        <v>1019.945223916751</v>
      </c>
      <c r="H1283" s="6" t="n">
        <v>32.97569114394254</v>
      </c>
      <c r="I1283" s="6" t="n">
        <v>92.07824457169176</v>
      </c>
    </row>
    <row r="1284">
      <c r="A1284" s="6" t="inlineStr">
        <is>
          <t>5 wt% Re | 250 C</t>
        </is>
      </c>
      <c r="B1284" s="8" t="n">
        <v>0.096</v>
      </c>
      <c r="C1284" s="6" t="n">
        <v>1432.143145630581</v>
      </c>
      <c r="D1284" s="6" t="n">
        <v>67927.54039737929</v>
      </c>
      <c r="E1284" s="8" t="n">
        <v>0.174995253113391</v>
      </c>
      <c r="F1284" s="8" t="n">
        <v>0.155375893996978</v>
      </c>
      <c r="G1284" s="6" t="n">
        <v>1021.728018067744</v>
      </c>
      <c r="H1284" s="6" t="n">
        <v>33.02279594480045</v>
      </c>
      <c r="I1284" s="6" t="n">
        <v>92.21774142329907</v>
      </c>
    </row>
    <row r="1285">
      <c r="A1285" s="6" t="inlineStr">
        <is>
          <t>5 wt% Re | 250 C</t>
        </is>
      </c>
      <c r="B1285" s="8" t="n">
        <v>0.097</v>
      </c>
      <c r="C1285" s="6" t="n">
        <v>1434.449390953479</v>
      </c>
      <c r="D1285" s="6" t="n">
        <v>67672.38889836805</v>
      </c>
      <c r="E1285" s="8" t="n">
        <v>0.1733768612531455</v>
      </c>
      <c r="F1285" s="8" t="n">
        <v>0.1539052977914247</v>
      </c>
      <c r="G1285" s="6" t="n">
        <v>1023.510812218736</v>
      </c>
      <c r="H1285" s="6" t="n">
        <v>33.06993463290632</v>
      </c>
      <c r="I1285" s="6" t="n">
        <v>92.35708913557558</v>
      </c>
    </row>
    <row r="1286">
      <c r="A1286" s="6" t="inlineStr">
        <is>
          <t>5 wt% Re | 250 C</t>
        </is>
      </c>
      <c r="B1286" s="8" t="n">
        <v>0.098</v>
      </c>
      <c r="C1286" s="6" t="n">
        <v>1436.755525511829</v>
      </c>
      <c r="D1286" s="6" t="n">
        <v>67421.30570714039</v>
      </c>
      <c r="E1286" s="8" t="n">
        <v>0.1717853294753643</v>
      </c>
      <c r="F1286" s="8" t="n">
        <v>0.1524591087373921</v>
      </c>
      <c r="G1286" s="6" t="n">
        <v>1025.293606369728</v>
      </c>
      <c r="H1286" s="6" t="n">
        <v>33.11710617089542</v>
      </c>
      <c r="I1286" s="6" t="n">
        <v>92.49628589844257</v>
      </c>
    </row>
    <row r="1287">
      <c r="A1287" s="6" t="inlineStr">
        <is>
          <t>5 wt% Re | 250 C</t>
        </is>
      </c>
      <c r="B1287" s="8" t="n">
        <v>0.099</v>
      </c>
      <c r="C1287" s="6" t="n">
        <v>1439.061546568084</v>
      </c>
      <c r="D1287" s="6" t="n">
        <v>67174.16754164231</v>
      </c>
      <c r="E1287" s="8" t="n">
        <v>0.1702199945973534</v>
      </c>
      <c r="F1287" s="8" t="n">
        <v>0.1510367242157141</v>
      </c>
      <c r="G1287" s="6" t="n">
        <v>1027.076400520721</v>
      </c>
      <c r="H1287" s="6" t="n">
        <v>33.16430956331674</v>
      </c>
      <c r="I1287" s="6" t="n">
        <v>92.63533003958599</v>
      </c>
    </row>
    <row r="1288">
      <c r="A1288" s="6" t="inlineStr">
        <is>
          <t>5 wt% Re | 250 C</t>
        </is>
      </c>
      <c r="B1288" s="8" t="n">
        <v>0.1</v>
      </c>
      <c r="C1288" s="6" t="n">
        <v>1441.367451555554</v>
      </c>
      <c r="D1288" s="6" t="n">
        <v>66930.85605110189</v>
      </c>
      <c r="E1288" s="8" t="n">
        <v>0.1686802150904175</v>
      </c>
      <c r="F1288" s="8" t="n">
        <v>0.1496375612837249</v>
      </c>
      <c r="G1288" s="6" t="n">
        <v>1028.859194671713</v>
      </c>
      <c r="H1288" s="6" t="n">
        <v>33.21154385453733</v>
      </c>
      <c r="I1288" s="6" t="n">
        <v>92.77422001647308</v>
      </c>
    </row>
    <row r="1289">
      <c r="A1289" s="6" t="inlineStr">
        <is>
          <t>5 wt% Re | 250 C</t>
        </is>
      </c>
      <c r="B1289" s="8" t="n">
        <v>0.101</v>
      </c>
      <c r="C1289" s="6" t="n">
        <v>1443.673238068909</v>
      </c>
      <c r="D1289" s="6" t="n">
        <v>66691.25757190652</v>
      </c>
      <c r="E1289" s="8" t="n">
        <v>0.1671653702032181</v>
      </c>
      <c r="F1289" s="8" t="n">
        <v>0.1482610558786746</v>
      </c>
      <c r="G1289" s="6" t="n">
        <v>1030.641988822706</v>
      </c>
      <c r="H1289" s="6" t="n">
        <v>33.25880812677105</v>
      </c>
      <c r="I1289" s="6" t="n">
        <v>92.9129544088654</v>
      </c>
    </row>
    <row r="1290">
      <c r="A1290" s="6" t="inlineStr">
        <is>
          <t>5 wt% Re | 250 C</t>
        </is>
      </c>
      <c r="B1290" s="8" t="n">
        <v>0.102</v>
      </c>
      <c r="C1290" s="6" t="n">
        <v>1445.978903855266</v>
      </c>
      <c r="D1290" s="6" t="n">
        <v>66455.26289784016</v>
      </c>
      <c r="E1290" s="8" t="n">
        <v>0.1656748591273773</v>
      </c>
      <c r="F1290" s="8" t="n">
        <v>0.1469066620595324</v>
      </c>
      <c r="G1290" s="6" t="n">
        <v>1032.424782973698</v>
      </c>
      <c r="H1290" s="6" t="n">
        <v>33.30610149822341</v>
      </c>
      <c r="I1290" s="6" t="n">
        <v>93.0515319117945</v>
      </c>
    </row>
    <row r="1291">
      <c r="A1291" s="6" t="inlineStr">
        <is>
          <t>5 wt% Re | 250 C</t>
        </is>
      </c>
      <c r="B1291" s="8" t="n">
        <v>0.103</v>
      </c>
      <c r="C1291" s="6" t="n">
        <v>1448.284446805814</v>
      </c>
      <c r="D1291" s="6" t="n">
        <v>66222.76706370492</v>
      </c>
      <c r="E1291" s="8" t="n">
        <v>0.1642081002029714</v>
      </c>
      <c r="F1291" s="8" t="n">
        <v>0.1455738512850359</v>
      </c>
      <c r="G1291" s="6" t="n">
        <v>1034.207577124691</v>
      </c>
      <c r="H1291" s="6" t="n">
        <v>33.35342312134435</v>
      </c>
      <c r="I1291" s="6" t="n">
        <v>93.1899513289674</v>
      </c>
    </row>
    <row r="1292">
      <c r="A1292" s="6" t="inlineStr">
        <is>
          <t>5 wt% Re | 250 C</t>
        </is>
      </c>
      <c r="B1292" s="8" t="n">
        <v>0.104</v>
      </c>
      <c r="C1292" s="6" t="n">
        <v>1450.589864947942</v>
      </c>
      <c r="D1292" s="6" t="n">
        <v>65993.66914142582</v>
      </c>
      <c r="E1292" s="8" t="n">
        <v>0.1627645301617072</v>
      </c>
      <c r="F1292" s="8" t="n">
        <v>0.1442621117259828</v>
      </c>
      <c r="G1292" s="6" t="n">
        <v>1035.990371275683</v>
      </c>
      <c r="H1292" s="6" t="n">
        <v>33.40077218118189</v>
      </c>
      <c r="I1292" s="6" t="n">
        <v>93.32821156657353</v>
      </c>
    </row>
    <row r="1293">
      <c r="A1293" s="6" t="inlineStr">
        <is>
          <t>5 wt% Re | 250 C</t>
        </is>
      </c>
      <c r="B1293" s="8" t="n">
        <v>0.105</v>
      </c>
      <c r="C1293" s="6" t="n">
        <v>1452.895156437839</v>
      </c>
      <c r="D1293" s="6" t="n">
        <v>65767.872047807</v>
      </c>
      <c r="E1293" s="8" t="n">
        <v>0.1613436034057116</v>
      </c>
      <c r="F1293" s="8" t="n">
        <v>0.1429709476098834</v>
      </c>
      <c r="G1293" s="6" t="n">
        <v>1037.773165426676</v>
      </c>
      <c r="H1293" s="6" t="n">
        <v>33.44814789382985</v>
      </c>
      <c r="I1293" s="6" t="n">
        <v>93.46631162746576</v>
      </c>
    </row>
    <row r="1294">
      <c r="A1294" s="6" t="inlineStr">
        <is>
          <t>5 wt% Re | 250 C</t>
        </is>
      </c>
      <c r="B1294" s="8" t="n">
        <v>0.106</v>
      </c>
      <c r="C1294" s="6" t="n">
        <v>1455.200319553526</v>
      </c>
      <c r="D1294" s="6" t="n">
        <v>65545.2823631694</v>
      </c>
      <c r="E1294" s="8" t="n">
        <v>0.1599447913199956</v>
      </c>
      <c r="F1294" s="8" t="n">
        <v>0.1416998785962121</v>
      </c>
      <c r="G1294" s="6" t="n">
        <v>1039.555959577668</v>
      </c>
      <c r="H1294" s="6" t="n">
        <v>33.4955495049634</v>
      </c>
      <c r="I1294" s="6" t="n">
        <v>93.6042506056898</v>
      </c>
    </row>
    <row r="1295">
      <c r="A1295" s="6" t="inlineStr">
        <is>
          <t>5 wt% Re | 250 C</t>
        </is>
      </c>
      <c r="B1295" s="8" t="n">
        <v>0.107</v>
      </c>
      <c r="C1295" s="6" t="n">
        <v>1457.505352688309</v>
      </c>
      <c r="D1295" s="6" t="n">
        <v>65325.81016015838</v>
      </c>
      <c r="E1295" s="8" t="n">
        <v>0.1585675816167712</v>
      </c>
      <c r="F1295" s="8" t="n">
        <v>0.1404484391806025</v>
      </c>
      <c r="G1295" s="6" t="n">
        <v>1041.33875372866</v>
      </c>
      <c r="H1295" s="6" t="n">
        <v>33.54297628845676</v>
      </c>
      <c r="I1295" s="6" t="n">
        <v>93.74202768133981</v>
      </c>
    </row>
    <row r="1296">
      <c r="A1296" s="6" t="inlineStr">
        <is>
          <t>5 wt% Re | 250 C</t>
        </is>
      </c>
      <c r="B1296" s="8" t="n">
        <v>0.108</v>
      </c>
      <c r="C1296" s="6" t="n">
        <v>1459.810254344599</v>
      </c>
      <c r="D1296" s="6" t="n">
        <v>65109.3688420621</v>
      </c>
      <c r="E1296" s="8" t="n">
        <v>0.1572114777099141</v>
      </c>
      <c r="F1296" s="8" t="n">
        <v>0.1392161781264364</v>
      </c>
      <c r="G1296" s="6" t="n">
        <v>1043.121547879653</v>
      </c>
      <c r="H1296" s="6" t="n">
        <v>33.59042754507774</v>
      </c>
      <c r="I1296" s="6" t="n">
        <v>93.87964211571813</v>
      </c>
    </row>
    <row r="1297">
      <c r="A1297" s="6" t="inlineStr">
        <is>
          <t>5 wt% Re | 250 C</t>
        </is>
      </c>
      <c r="B1297" s="8" t="n">
        <v>0.109</v>
      </c>
      <c r="C1297" s="6" t="n">
        <v>1462.115023128096</v>
      </c>
      <c r="D1297" s="6" t="n">
        <v>64895.8749900297</v>
      </c>
      <c r="E1297" s="8" t="n">
        <v>0.1558759981179666</v>
      </c>
      <c r="F1297" s="8" t="n">
        <v>0.1380026579223655</v>
      </c>
      <c r="G1297" s="6" t="n">
        <v>1044.904342030645</v>
      </c>
      <c r="H1297" s="6" t="n">
        <v>33.63790260125401</v>
      </c>
      <c r="I1297" s="6" t="n">
        <v>94.01709324677911</v>
      </c>
    </row>
    <row r="1298">
      <c r="A1298" s="6" t="inlineStr">
        <is>
          <t>5 wt% Re | 250 C</t>
        </is>
      </c>
      <c r="B1298" s="8" t="n">
        <v>0.11</v>
      </c>
      <c r="C1298" s="6" t="n">
        <v>1464.419657742315</v>
      </c>
      <c r="D1298" s="6" t="n">
        <v>64685.24821862308</v>
      </c>
      <c r="E1298" s="8" t="n">
        <v>0.1545606758941728</v>
      </c>
      <c r="F1298" s="8" t="n">
        <v>0.1368074542643975</v>
      </c>
      <c r="G1298" s="6" t="n">
        <v>1046.687136181638</v>
      </c>
      <c r="H1298" s="6" t="n">
        <v>33.68540080790679</v>
      </c>
      <c r="I1298" s="6" t="n">
        <v>94.15438048483912</v>
      </c>
    </row>
    <row r="1299">
      <c r="A1299" s="6" t="inlineStr">
        <is>
          <t>5 wt% Re | 250 C</t>
        </is>
      </c>
      <c r="B1299" s="8" t="n">
        <v>0.111</v>
      </c>
      <c r="C1299" s="6" t="n">
        <v>1466.724156983411</v>
      </c>
      <c r="D1299" s="6" t="n">
        <v>64477.41103917666</v>
      </c>
      <c r="E1299" s="8" t="n">
        <v>0.1532650580821301</v>
      </c>
      <c r="F1299" s="8" t="n">
        <v>0.1356301555612588</v>
      </c>
      <c r="G1299" s="6" t="n">
        <v>1048.46993033263</v>
      </c>
      <c r="H1299" s="6" t="n">
        <v>33.73292153934752</v>
      </c>
      <c r="I1299" s="6" t="n">
        <v>94.29150330853497</v>
      </c>
    </row>
    <row r="1300">
      <c r="A1300" s="6" t="inlineStr">
        <is>
          <t>5 wt% Re | 250 C</t>
        </is>
      </c>
      <c r="B1300" s="8" t="n">
        <v>0.112</v>
      </c>
      <c r="C1300" s="6" t="n">
        <v>1469.028519735304</v>
      </c>
      <c r="D1300" s="6" t="n">
        <v>64272.28873047722</v>
      </c>
      <c r="E1300" s="8" t="n">
        <v>0.151988705195722</v>
      </c>
      <c r="F1300" s="8" t="n">
        <v>0.1344703624618212</v>
      </c>
      <c r="G1300" s="6" t="n">
        <v>1050.252724483623</v>
      </c>
      <c r="H1300" s="6" t="n">
        <v>33.78046419223367</v>
      </c>
      <c r="I1300" s="6" t="n">
        <v>94.42846126101554</v>
      </c>
    </row>
    <row r="1301">
      <c r="A1301" s="6" t="inlineStr">
        <is>
          <t>5 wt% Re | 250 C</t>
        </is>
      </c>
      <c r="B1301" s="8" t="n">
        <v>0.113</v>
      </c>
      <c r="C1301" s="6" t="n">
        <v>1471.332744965081</v>
      </c>
      <c r="D1301" s="6" t="n">
        <v>64069.80921631027</v>
      </c>
      <c r="E1301" s="8" t="n">
        <v>0.1507311907220795</v>
      </c>
      <c r="F1301" s="8" t="n">
        <v>0.1333276874034541</v>
      </c>
      <c r="G1301" s="6" t="n">
        <v>1052.035518634616</v>
      </c>
      <c r="H1301" s="6" t="n">
        <v>33.82802818457997</v>
      </c>
      <c r="I1301" s="6" t="n">
        <v>94.56525394635121</v>
      </c>
    </row>
    <row r="1302">
      <c r="A1302" s="6" t="inlineStr">
        <is>
          <t>5 wt% Re | 250 C</t>
        </is>
      </c>
      <c r="B1302" s="8" t="n">
        <v>0.114</v>
      </c>
      <c r="C1302" s="6" t="n">
        <v>1473.636831718646</v>
      </c>
      <c r="D1302" s="6" t="n">
        <v>63869.90294945124</v>
      </c>
      <c r="E1302" s="8" t="n">
        <v>0.149492100646389</v>
      </c>
      <c r="F1302" s="8" t="n">
        <v>0.1322017541802279</v>
      </c>
      <c r="G1302" s="6" t="n">
        <v>1053.818312785608</v>
      </c>
      <c r="H1302" s="6" t="n">
        <v>33.87561295482165</v>
      </c>
      <c r="I1302" s="6" t="n">
        <v>94.70188102614755</v>
      </c>
    </row>
    <row r="1303">
      <c r="A1303" s="6" t="inlineStr">
        <is>
          <t>5 wt% Re | 250 C</t>
        </is>
      </c>
      <c r="B1303" s="8" t="n">
        <v>0.115</v>
      </c>
      <c r="C1303" s="6" t="n">
        <v>1475.940779116622</v>
      </c>
      <c r="D1303" s="6" t="n">
        <v>63672.5028017095</v>
      </c>
      <c r="E1303" s="8" t="n">
        <v>0.1482710329974354</v>
      </c>
      <c r="F1303" s="8" t="n">
        <v>0.1310921975299599</v>
      </c>
      <c r="G1303" s="6" t="n">
        <v>1055.6011069366</v>
      </c>
      <c r="H1303" s="6" t="n">
        <v>33.92321796092671</v>
      </c>
      <c r="I1303" s="6" t="n">
        <v>94.83834221635098</v>
      </c>
    </row>
    <row r="1304">
      <c r="A1304" s="6" t="inlineStr">
        <is>
          <t>5 wt% Re | 250 C</t>
        </is>
      </c>
      <c r="B1304" s="8" t="n">
        <v>0.116</v>
      </c>
      <c r="C1304" s="6" t="n">
        <v>1478.244586350474</v>
      </c>
      <c r="D1304" s="6" t="n">
        <v>63477.54395965961</v>
      </c>
      <c r="E1304" s="8" t="n">
        <v>0.1470675974128318</v>
      </c>
      <c r="F1304" s="8" t="n">
        <v>0.1299986627391477</v>
      </c>
      <c r="G1304" s="6" t="n">
        <v>1057.383901087593</v>
      </c>
      <c r="H1304" s="6" t="n">
        <v>33.9708426795538</v>
      </c>
      <c r="I1304" s="6" t="n">
        <v>94.97463728423352</v>
      </c>
    </row>
    <row r="1305">
      <c r="A1305" s="6" t="inlineStr">
        <is>
          <t>5 wt% Re | 250 C</t>
        </is>
      </c>
      <c r="B1305" s="8" t="n">
        <v>0.117</v>
      </c>
      <c r="C1305" s="6" t="n">
        <v>1480.548252678839</v>
      </c>
      <c r="D1305" s="6" t="n">
        <v>63284.96382571971</v>
      </c>
      <c r="E1305" s="8" t="n">
        <v>0.1458814147229487</v>
      </c>
      <c r="F1305" s="8" t="n">
        <v>0.1289208052648951</v>
      </c>
      <c r="G1305" s="6" t="n">
        <v>1059.166695238585</v>
      </c>
      <c r="H1305" s="6" t="n">
        <v>34.01848660525368</v>
      </c>
      <c r="I1305" s="6" t="n">
        <v>95.11076604554661</v>
      </c>
    </row>
    <row r="1306">
      <c r="A1306" s="6" t="inlineStr">
        <is>
          <t>5 wt% Re | 250 C</t>
        </is>
      </c>
      <c r="B1306" s="8" t="n">
        <v>0.118</v>
      </c>
      <c r="C1306" s="6" t="n">
        <v>1482.851777424067</v>
      </c>
      <c r="D1306" s="6" t="n">
        <v>63094.70192425989</v>
      </c>
      <c r="E1306" s="8" t="n">
        <v>0.1447121165526098</v>
      </c>
      <c r="F1306" s="8" t="n">
        <v>0.1278582903729827</v>
      </c>
      <c r="G1306" s="6" t="n">
        <v>1060.949489389577</v>
      </c>
      <c r="H1306" s="6" t="n">
        <v>34.0661492497109</v>
      </c>
      <c r="I1306" s="6" t="n">
        <v>95.24672836183304</v>
      </c>
    </row>
    <row r="1307">
      <c r="A1307" s="6" t="inlineStr">
        <is>
          <t>5 wt% Re | 250 C</t>
        </is>
      </c>
      <c r="B1307" s="8" t="n">
        <v>0.119</v>
      </c>
      <c r="C1307" s="6" t="n">
        <v>1485.155159968944</v>
      </c>
      <c r="D1307" s="6" t="n">
        <v>62906.69981244454</v>
      </c>
      <c r="E1307" s="8" t="n">
        <v>0.1435593449396781</v>
      </c>
      <c r="F1307" s="8" t="n">
        <v>0.1268107927912847</v>
      </c>
      <c r="G1307" s="6" t="n">
        <v>1062.73228354057</v>
      </c>
      <c r="H1307" s="6" t="n">
        <v>34.11383014102404</v>
      </c>
      <c r="I1307" s="6" t="n">
        <v>95.38252413788732</v>
      </c>
    </row>
    <row r="1308">
      <c r="A1308" s="6" t="inlineStr">
        <is>
          <t>5 wt% Re | 250 C</t>
        </is>
      </c>
      <c r="B1308" s="8" t="n">
        <v>0.12</v>
      </c>
      <c r="C1308" s="6" t="n">
        <v>1487.458399753586</v>
      </c>
      <c r="D1308" s="6" t="n">
        <v>62720.90099553252</v>
      </c>
      <c r="E1308" s="8" t="n">
        <v>0.1424227519696983</v>
      </c>
      <c r="F1308" s="8" t="n">
        <v>0.1257779963777776</v>
      </c>
      <c r="G1308" s="6" t="n">
        <v>1064.515077691563</v>
      </c>
      <c r="H1308" s="6" t="n">
        <v>34.16152882302171</v>
      </c>
      <c r="I1308" s="6" t="n">
        <v>95.51815331935609</v>
      </c>
    </row>
    <row r="1309">
      <c r="A1309" s="6" t="inlineStr">
        <is>
          <t>5 wt% Re | 250 C</t>
        </is>
      </c>
      <c r="B1309" s="8" t="n">
        <v>0.121</v>
      </c>
      <c r="C1309" s="6" t="n">
        <v>1489.761496272503</v>
      </c>
      <c r="D1309" s="6" t="n">
        <v>62537.25084637747</v>
      </c>
      <c r="E1309" s="8" t="n">
        <v>0.1413019994258182</v>
      </c>
      <c r="F1309" s="8" t="n">
        <v>0.1247595938024307</v>
      </c>
      <c r="G1309" s="6" t="n">
        <v>1066.297871842555</v>
      </c>
      <c r="H1309" s="6" t="n">
        <v>34.20924485461254</v>
      </c>
      <c r="I1309" s="6" t="n">
        <v>95.65361589046967</v>
      </c>
    </row>
    <row r="1310">
      <c r="A1310" s="6" t="inlineStr">
        <is>
          <t>5 wt% Re | 250 C</t>
        </is>
      </c>
      <c r="B1310" s="8" t="n">
        <v>0.122</v>
      </c>
      <c r="C1310" s="6" t="n">
        <v>1492.064449071831</v>
      </c>
      <c r="D1310" s="6" t="n">
        <v>62355.69652888702</v>
      </c>
      <c r="E1310" s="8" t="n">
        <v>0.1401967584532421</v>
      </c>
      <c r="F1310" s="8" t="n">
        <v>0.1237552862423038</v>
      </c>
      <c r="G1310" s="6" t="n">
        <v>1068.080665993547</v>
      </c>
      <c r="H1310" s="6" t="n">
        <v>34.2569778091672</v>
      </c>
      <c r="I1310" s="6" t="n">
        <v>95.7889118718971</v>
      </c>
    </row>
    <row r="1311">
      <c r="A1311" s="6" t="inlineStr">
        <is>
          <t>5 wt% Re | 250 C</t>
        </is>
      </c>
      <c r="B1311" s="8" t="n">
        <v>0.123</v>
      </c>
      <c r="C1311" s="6" t="n">
        <v>1494.367257746687</v>
      </c>
      <c r="D1311" s="6" t="n">
        <v>62176.18692521568</v>
      </c>
      <c r="E1311" s="8" t="n">
        <v>0.1391067092375239</v>
      </c>
      <c r="F1311" s="8" t="n">
        <v>0.1227647830892181</v>
      </c>
      <c r="G1311" s="6" t="n">
        <v>1069.86346014454</v>
      </c>
      <c r="H1311" s="6" t="n">
        <v>34.30472727393046</v>
      </c>
      <c r="I1311" s="6" t="n">
        <v>95.92404131871727</v>
      </c>
    </row>
    <row r="1312">
      <c r="A1312" s="6" t="inlineStr">
        <is>
          <t>5 wt% Re | 250 C</t>
        </is>
      </c>
      <c r="B1312" s="8" t="n">
        <v>0.124</v>
      </c>
      <c r="C1312" s="6" t="n">
        <v>1496.669921938678</v>
      </c>
      <c r="D1312" s="6" t="n">
        <v>61998.67256648073</v>
      </c>
      <c r="E1312" s="8" t="n">
        <v>0.1380315406960335</v>
      </c>
      <c r="F1312" s="8" t="n">
        <v>0.1217878016693991</v>
      </c>
      <c r="G1312" s="6" t="n">
        <v>1071.646254295532</v>
      </c>
      <c r="H1312" s="6" t="n">
        <v>34.35249284946182</v>
      </c>
      <c r="I1312" s="6" t="n">
        <v>96.05900431849967</v>
      </c>
    </row>
    <row r="1313">
      <c r="A1313" s="6" t="inlineStr">
        <is>
          <t>5 wt% Re | 250 C</t>
        </is>
      </c>
      <c r="B1313" s="8" t="n">
        <v>0.125</v>
      </c>
      <c r="C1313" s="6" t="n">
        <v>1498.972441333541</v>
      </c>
      <c r="D1313" s="6" t="n">
        <v>61823.10556680371</v>
      </c>
      <c r="E1313" s="8" t="n">
        <v>0.1369709501819734</v>
      </c>
      <c r="F1313" s="8" t="n">
        <v>0.1208240669745237</v>
      </c>
      <c r="G1313" s="6" t="n">
        <v>1073.429048446524</v>
      </c>
      <c r="H1313" s="6" t="n">
        <v>34.40027414910281</v>
      </c>
      <c r="I1313" s="6" t="n">
        <v>96.19380098948784</v>
      </c>
    </row>
    <row r="1314">
      <c r="A1314" s="6" t="inlineStr">
        <is>
          <t>5 wt% Re | 250 C</t>
        </is>
      </c>
      <c r="B1314" s="8" t="n">
        <v>0.126</v>
      </c>
      <c r="C1314" s="6" t="n">
        <v>1501.2748156589</v>
      </c>
      <c r="D1314" s="6" t="n">
        <v>61649.43956049275</v>
      </c>
      <c r="E1314" s="8" t="n">
        <v>0.1359246432003548</v>
      </c>
      <c r="F1314" s="8" t="n">
        <v>0.1198733114036333</v>
      </c>
      <c r="G1314" s="6" t="n">
        <v>1075.211842597517</v>
      </c>
      <c r="H1314" s="6" t="n">
        <v>34.44807079846989</v>
      </c>
      <c r="I1314" s="6" t="n">
        <v>96.32843147888001</v>
      </c>
    </row>
    <row r="1315">
      <c r="A1315" s="6" t="inlineStr">
        <is>
          <t>5 wt% Re | 250 C</t>
        </is>
      </c>
      <c r="B1315" s="8" t="n">
        <v>0.127</v>
      </c>
      <c r="C1315" s="6" t="n">
        <v>1503.577044682139</v>
      </c>
      <c r="D1315" s="6" t="n">
        <v>61477.62964219275</v>
      </c>
      <c r="E1315" s="8" t="n">
        <v>0.1348923331353714</v>
      </c>
      <c r="F1315" s="8" t="n">
        <v>0.1189352745154048</v>
      </c>
      <c r="G1315" s="6" t="n">
        <v>1076.994636748509</v>
      </c>
      <c r="H1315" s="6" t="n">
        <v>34.49588243497109</v>
      </c>
      <c r="I1315" s="6" t="n">
        <v>96.46289596120096</v>
      </c>
    </row>
    <row r="1316">
      <c r="A1316" s="6" t="inlineStr">
        <is>
          <t>5 wt% Re | 250 C</t>
        </is>
      </c>
      <c r="B1316" s="8" t="n">
        <v>0.128</v>
      </c>
      <c r="C1316" s="6" t="n">
        <v>1505.879128208388</v>
      </c>
      <c r="D1316" s="6" t="n">
        <v>61307.63230984096</v>
      </c>
      <c r="E1316" s="8" t="n">
        <v>0.1338737409886418</v>
      </c>
      <c r="F1316" s="8" t="n">
        <v>0.1180097027902976</v>
      </c>
      <c r="G1316" s="6" t="n">
        <v>1078.777430899502</v>
      </c>
      <c r="H1316" s="6" t="n">
        <v>34.54370870734547</v>
      </c>
      <c r="I1316" s="6" t="n">
        <v>96.59719463676029</v>
      </c>
    </row>
    <row r="1317">
      <c r="A1317" s="6" t="inlineStr">
        <is>
          <t>5 wt% Re | 250 C</t>
        </is>
      </c>
      <c r="B1317" s="8" t="n">
        <v>0.129</v>
      </c>
      <c r="C1317" s="6" t="n">
        <v>1508.181066078608</v>
      </c>
      <c r="D1317" s="6" t="n">
        <v>61139.40541027577</v>
      </c>
      <c r="E1317" s="8" t="n">
        <v>0.132868595127818</v>
      </c>
      <c r="F1317" s="8" t="n">
        <v>0.1170963494021195</v>
      </c>
      <c r="G1317" s="6" t="n">
        <v>1080.560225050495</v>
      </c>
      <c r="H1317" s="6" t="n">
        <v>34.59154927522387</v>
      </c>
      <c r="I1317" s="6" t="n">
        <v>96.73132773019172</v>
      </c>
    </row>
    <row r="1318">
      <c r="A1318" s="6" t="inlineStr">
        <is>
          <t>5 wt% Re | 250 C</t>
        </is>
      </c>
      <c r="B1318" s="8" t="n">
        <v>0.13</v>
      </c>
      <c r="C1318" s="6" t="n">
        <v>1510.482858167778</v>
      </c>
      <c r="D1318" s="6" t="n">
        <v>60972.90808735599</v>
      </c>
      <c r="E1318" s="8" t="n">
        <v>0.131876631045085</v>
      </c>
      <c r="F1318" s="8" t="n">
        <v>0.1161949739985809</v>
      </c>
      <c r="G1318" s="6" t="n">
        <v>1082.343019201487</v>
      </c>
      <c r="H1318" s="6" t="n">
        <v>34.63940380871006</v>
      </c>
      <c r="I1318" s="6" t="n">
        <v>96.86529548906925</v>
      </c>
    </row>
    <row r="1319">
      <c r="A1319" s="6" t="inlineStr">
        <is>
          <t>5 wt% Re | 250 C</t>
        </is>
      </c>
      <c r="B1319" s="8" t="n">
        <v>0.131</v>
      </c>
      <c r="C1319" s="6" t="n">
        <v>1512.78450438317</v>
      </c>
      <c r="D1319" s="6" t="n">
        <v>60808.10073245613</v>
      </c>
      <c r="E1319" s="8" t="n">
        <v>0.1308975911250992</v>
      </c>
      <c r="F1319" s="8" t="n">
        <v>0.1153053424904258</v>
      </c>
      <c r="G1319" s="6" t="n">
        <v>1084.125813352479</v>
      </c>
      <c r="H1319" s="6" t="n">
        <v>34.68727198798096</v>
      </c>
      <c r="I1319" s="6" t="n">
        <v>96.99909818259539</v>
      </c>
    </row>
    <row r="1320">
      <c r="A1320" s="6" t="inlineStr">
        <is>
          <t>5 wt% Re | 250 C</t>
        </is>
      </c>
      <c r="B1320" s="8" t="n">
        <v>0.132</v>
      </c>
      <c r="C1320" s="6" t="n">
        <v>1515.086004662713</v>
      </c>
      <c r="D1320" s="6" t="n">
        <v>60644.94493721209</v>
      </c>
      <c r="E1320" s="8" t="n">
        <v>0.1299312244219389</v>
      </c>
      <c r="F1320" s="8" t="n">
        <v>0.114427226848751</v>
      </c>
      <c r="G1320" s="6" t="n">
        <v>1085.908607503472</v>
      </c>
      <c r="H1320" s="6" t="n">
        <v>34.73515350290507</v>
      </c>
      <c r="I1320" s="6" t="n">
        <v>97.13273610035796</v>
      </c>
    </row>
    <row r="1321">
      <c r="A1321" s="6" t="inlineStr">
        <is>
          <t>5 wt% Re | 250 C</t>
        </is>
      </c>
      <c r="B1321" s="8" t="n">
        <v>0.133</v>
      </c>
      <c r="C1321" s="6" t="n">
        <v>1517.387358973434</v>
      </c>
      <c r="D1321" s="6" t="n">
        <v>60483.40344839857</v>
      </c>
      <c r="E1321" s="8" t="n">
        <v>0.1289772864446606</v>
      </c>
      <c r="F1321" s="8" t="n">
        <v>0.1135604049101473</v>
      </c>
      <c r="G1321" s="6" t="n">
        <v>1087.691401654464</v>
      </c>
      <c r="H1321" s="6" t="n">
        <v>34.78304805267823</v>
      </c>
      <c r="I1321" s="6" t="n">
        <v>97.26620955115138</v>
      </c>
    </row>
    <row r="1322">
      <c r="A1322" s="6" t="inlineStr">
        <is>
          <t>5 wt% Re | 250 C</t>
        </is>
      </c>
      <c r="B1322" s="8" t="n">
        <v>0.134</v>
      </c>
      <c r="C1322" s="6" t="n">
        <v>1519.688567309988</v>
      </c>
      <c r="D1322" s="6" t="n">
        <v>60323.44012482681</v>
      </c>
      <c r="E1322" s="8" t="n">
        <v>0.1280355389510769</v>
      </c>
      <c r="F1322" s="8" t="n">
        <v>0.1127046601893085</v>
      </c>
      <c r="G1322" s="6" t="n">
        <v>1089.474195805457</v>
      </c>
      <c r="H1322" s="6" t="n">
        <v>34.83095534547542</v>
      </c>
      <c r="I1322" s="6" t="n">
        <v>97.39951886185855</v>
      </c>
    </row>
    <row r="1323">
      <c r="A1323" s="6" t="inlineStr">
        <is>
          <t>5 wt% Re | 250 C</t>
        </is>
      </c>
      <c r="B1323" s="8" t="n">
        <v>0.135</v>
      </c>
      <c r="C1323" s="6" t="n">
        <v>1521.989629693247</v>
      </c>
      <c r="D1323" s="6" t="n">
        <v>60165.01989615812</v>
      </c>
      <c r="E1323" s="8" t="n">
        <v>0.1271057497493902</v>
      </c>
      <c r="F1323" s="8" t="n">
        <v>0.1118597816987818</v>
      </c>
      <c r="G1323" s="6" t="n">
        <v>1091.256989956449</v>
      </c>
      <c r="H1323" s="6" t="n">
        <v>34.87887509811834</v>
      </c>
      <c r="I1323" s="6" t="n">
        <v>97.53266437639085</v>
      </c>
    </row>
    <row r="1324">
      <c r="A1324" s="6" t="inlineStr">
        <is>
          <t>5 wt% Re | 250 C</t>
        </is>
      </c>
      <c r="B1324" s="8" t="n">
        <v>0.136</v>
      </c>
      <c r="C1324" s="6" t="n">
        <v>1524.29054616897</v>
      </c>
      <c r="D1324" s="6" t="n">
        <v>60008.10872353434</v>
      </c>
      <c r="E1324" s="8" t="n">
        <v>0.1261876925073346</v>
      </c>
      <c r="F1324" s="8" t="n">
        <v>0.1110255637755387</v>
      </c>
      <c r="G1324" s="6" t="n">
        <v>1093.039784107442</v>
      </c>
      <c r="H1324" s="6" t="n">
        <v>34.92680703575746</v>
      </c>
      <c r="I1324" s="6" t="n">
        <v>97.66564645468205</v>
      </c>
    </row>
    <row r="1325">
      <c r="A1325" s="6" t="inlineStr">
        <is>
          <t>5 wt% Re | 250 C</t>
        </is>
      </c>
      <c r="B1325" s="8" t="n">
        <v>0.137</v>
      </c>
      <c r="C1325" s="6" t="n">
        <v>1526.591316806532</v>
      </c>
      <c r="D1325" s="6" t="n">
        <v>59852.6735619326</v>
      </c>
      <c r="E1325" s="8" t="n">
        <v>0.1252811465684981</v>
      </c>
      <c r="F1325" s="8" t="n">
        <v>0.110201805914071</v>
      </c>
      <c r="G1325" s="6" t="n">
        <v>1094.822578258434</v>
      </c>
      <c r="H1325" s="6" t="n">
        <v>34.97475089156804</v>
      </c>
      <c r="I1325" s="6" t="n">
        <v>97.79846547173399</v>
      </c>
    </row>
    <row r="1326">
      <c r="A1326" s="6" t="inlineStr">
        <is>
          <t>5 wt% Re | 250 C</t>
        </is>
      </c>
      <c r="B1326" s="8" t="n">
        <v>0.138</v>
      </c>
      <c r="C1326" s="6" t="n">
        <v>1528.89194169772</v>
      </c>
      <c r="D1326" s="6" t="n">
        <v>59698.68232415673</v>
      </c>
      <c r="E1326" s="8" t="n">
        <v>0.1243858967755107</v>
      </c>
      <c r="F1326" s="8" t="n">
        <v>0.109388312605726</v>
      </c>
      <c r="G1326" s="6" t="n">
        <v>1096.605372409427</v>
      </c>
      <c r="H1326" s="6" t="n">
        <v>35.02270640645941</v>
      </c>
      <c r="I1326" s="6" t="n">
        <v>97.931121816711</v>
      </c>
    </row>
    <row r="1327">
      <c r="A1327" s="6" t="inlineStr">
        <is>
          <t>5 wt% Re | 250 C</t>
        </is>
      </c>
      <c r="B1327" s="8" t="n">
        <v>0.139</v>
      </c>
      <c r="C1327" s="6" t="n">
        <v>1531.19242095558</v>
      </c>
      <c r="D1327" s="6" t="n">
        <v>59546.10384638319</v>
      </c>
      <c r="E1327" s="8" t="n">
        <v>0.1235017332998007</v>
      </c>
      <c r="F1327" s="8" t="n">
        <v>0.1085848931840103</v>
      </c>
      <c r="G1327" s="6" t="n">
        <v>1098.388166560419</v>
      </c>
      <c r="H1327" s="6" t="n">
        <v>35.07067332879671</v>
      </c>
      <c r="I1327" s="6" t="n">
        <v>98.06361589207999</v>
      </c>
    </row>
    <row r="1328">
      <c r="A1328" s="6" t="inlineStr">
        <is>
          <t>5 wt% Re | 250 C</t>
        </is>
      </c>
      <c r="B1328" s="8" t="n">
        <v>0.14</v>
      </c>
      <c r="C1328" s="6" t="n">
        <v>1533.49275471333</v>
      </c>
      <c r="D1328" s="6" t="n">
        <v>59394.90785518335</v>
      </c>
      <c r="E1328" s="8" t="n">
        <v>0.1226284514776373</v>
      </c>
      <c r="F1328" s="8" t="n">
        <v>0.1077913616756046</v>
      </c>
      <c r="G1328" s="6" t="n">
        <v>1100.170960711411</v>
      </c>
      <c r="H1328" s="6" t="n">
        <v>35.11865141413467</v>
      </c>
      <c r="I1328" s="6" t="n">
        <v>98.19594811279471</v>
      </c>
    </row>
    <row r="1329">
      <c r="A1329" s="6" t="inlineStr">
        <is>
          <t>5 wt% Re | 250 C</t>
        </is>
      </c>
      <c r="B1329" s="8" t="n">
        <v>0.141</v>
      </c>
      <c r="C1329" s="6" t="n">
        <v>1535.79294312332</v>
      </c>
      <c r="D1329" s="6" t="n">
        <v>59245.06493594925</v>
      </c>
      <c r="E1329" s="8" t="n">
        <v>0.1217658516521895</v>
      </c>
      <c r="F1329" s="8" t="n">
        <v>0.1070075366568467</v>
      </c>
      <c r="G1329" s="6" t="n">
        <v>1101.953754862404</v>
      </c>
      <c r="H1329" s="6" t="n">
        <v>35.16664042496267</v>
      </c>
      <c r="I1329" s="6" t="n">
        <v>98.3281189055208</v>
      </c>
    </row>
    <row r="1330">
      <c r="A1330" s="6" t="inlineStr">
        <is>
          <t>5 wt% Re | 250 C</t>
        </is>
      </c>
      <c r="B1330" s="8" t="n">
        <v>0.142</v>
      </c>
      <c r="C1330" s="6" t="n">
        <v>1538.09298635604</v>
      </c>
      <c r="D1330" s="6" t="n">
        <v>59096.54650265343</v>
      </c>
      <c r="E1330" s="8" t="n">
        <v>0.1209137390213456</v>
      </c>
      <c r="F1330" s="8" t="n">
        <v>0.1062332411154487</v>
      </c>
      <c r="G1330" s="6" t="n">
        <v>1103.736549013396</v>
      </c>
      <c r="H1330" s="6" t="n">
        <v>35.21464013046046</v>
      </c>
      <c r="I1330" s="6" t="n">
        <v>98.46012870790015</v>
      </c>
    </row>
    <row r="1331">
      <c r="A1331" s="6" t="inlineStr">
        <is>
          <t>5 wt% Re | 250 C</t>
        </is>
      </c>
      <c r="B1331" s="8" t="n">
        <v>0.143</v>
      </c>
      <c r="C1331" s="6" t="n">
        <v>1540.392884599184</v>
      </c>
      <c r="D1331" s="6" t="n">
        <v>58949.32476887765</v>
      </c>
      <c r="E1331" s="8" t="n">
        <v>0.12007192349105</v>
      </c>
      <c r="F1331" s="8" t="n">
        <v>0.1054683023172266</v>
      </c>
      <c r="G1331" s="6" t="n">
        <v>1105.519343164389</v>
      </c>
      <c r="H1331" s="6" t="n">
        <v>35.26265030626436</v>
      </c>
      <c r="I1331" s="6" t="n">
        <v>98.59197796785224</v>
      </c>
    </row>
    <row r="1332">
      <c r="A1332" s="6" t="inlineStr">
        <is>
          <t>5 wt% Re | 250 C</t>
        </is>
      </c>
      <c r="B1332" s="8" t="n">
        <v>0.144</v>
      </c>
      <c r="C1332" s="6" t="n">
        <v>1542.692638056746</v>
      </c>
      <c r="D1332" s="6" t="n">
        <v>58803.37272004854</v>
      </c>
      <c r="E1332" s="8" t="n">
        <v>0.1192402195339242</v>
      </c>
      <c r="F1332" s="8" t="n">
        <v>0.1047125516776335</v>
      </c>
      <c r="G1332" s="6" t="n">
        <v>1107.302137315381</v>
      </c>
      <c r="H1332" s="6" t="n">
        <v>35.31067073424298</v>
      </c>
      <c r="I1332" s="6" t="n">
        <v>98.72366714291068</v>
      </c>
    </row>
    <row r="1333">
      <c r="A1333" s="6" t="inlineStr">
        <is>
          <t>5 wt% Re | 250 C</t>
        </is>
      </c>
      <c r="B1333" s="8" t="n">
        <v>0.145</v>
      </c>
      <c r="C1333" s="6" t="n">
        <v>1544.992246948173</v>
      </c>
      <c r="D1333" s="6" t="n">
        <v>58658.66408682238</v>
      </c>
      <c r="E1333" s="8" t="n">
        <v>0.1184184460529527</v>
      </c>
      <c r="F1333" s="8" t="n">
        <v>0.1039658246378932</v>
      </c>
      <c r="G1333" s="6" t="n">
        <v>1109.084931466374</v>
      </c>
      <c r="H1333" s="6" t="n">
        <v>35.35870120228238</v>
      </c>
      <c r="I1333" s="6" t="n">
        <v>98.85519669959275</v>
      </c>
    </row>
    <row r="1334">
      <c r="A1334" s="6" t="inlineStr">
        <is>
          <t>5 wt% Re | 250 C</t>
        </is>
      </c>
      <c r="B1334" s="8" t="n">
        <v>0.146</v>
      </c>
      <c r="C1334" s="6" t="n">
        <v>1547.291711507549</v>
      </c>
      <c r="D1334" s="6" t="n">
        <v>58515.17331956348</v>
      </c>
      <c r="E1334" s="8" t="n">
        <v>0.1176064262500226</v>
      </c>
      <c r="F1334" s="8" t="n">
        <v>0.1032279605455453</v>
      </c>
      <c r="G1334" s="6" t="n">
        <v>1110.867725617366</v>
      </c>
      <c r="H1334" s="6" t="n">
        <v>35.40674150407991</v>
      </c>
      <c r="I1334" s="6" t="n">
        <v>98.98656711280073</v>
      </c>
    </row>
    <row r="1335">
      <c r="A1335" s="6" t="inlineStr">
        <is>
          <t>5 wt% Re | 250 C</t>
        </is>
      </c>
      <c r="B1335" s="8" t="n">
        <v>0.147</v>
      </c>
      <c r="C1335" s="6" t="n">
        <v>1549.59103198282</v>
      </c>
      <c r="D1335" s="6" t="n">
        <v>58372.8755638644</v>
      </c>
      <c r="E1335" s="8" t="n">
        <v>0.1168039874991157</v>
      </c>
      <c r="F1335" s="8" t="n">
        <v>0.1024988025392183</v>
      </c>
      <c r="G1335" s="6" t="n">
        <v>1112.650519768358</v>
      </c>
      <c r="H1335" s="6" t="n">
        <v>35.45479143894666</v>
      </c>
      <c r="I1335" s="6" t="n">
        <v>99.11777886525297</v>
      </c>
    </row>
    <row r="1336">
      <c r="A1336" s="6" t="inlineStr">
        <is>
          <t>5 wt% Re | 250 C</t>
        </is>
      </c>
      <c r="B1336" s="8" t="n">
        <v>0.148</v>
      </c>
      <c r="C1336" s="6" t="n">
        <v>1551.890208635058</v>
      </c>
      <c r="D1336" s="6" t="n">
        <v>58231.74663705832</v>
      </c>
      <c r="E1336" s="8" t="n">
        <v>0.1160109612239643</v>
      </c>
      <c r="F1336" s="8" t="n">
        <v>0.1017781974374571</v>
      </c>
      <c r="G1336" s="6" t="n">
        <v>1114.433313919351</v>
      </c>
      <c r="H1336" s="6" t="n">
        <v>35.5028508116177</v>
      </c>
      <c r="I1336" s="6" t="n">
        <v>99.24883244694331</v>
      </c>
    </row>
    <row r="1337">
      <c r="A1337" s="6" t="inlineStr">
        <is>
          <t>5 wt% Re | 250 C</t>
        </is>
      </c>
      <c r="B1337" s="8" t="n">
        <v>0.149</v>
      </c>
      <c r="C1337" s="6" t="n">
        <v>1554.189241737755</v>
      </c>
      <c r="D1337" s="6" t="n">
        <v>58091.76300567763</v>
      </c>
      <c r="E1337" s="8" t="n">
        <v>0.1152271827799858</v>
      </c>
      <c r="F1337" s="8" t="n">
        <v>0.1010659956314406</v>
      </c>
      <c r="G1337" s="6" t="n">
        <v>1116.216108070344</v>
      </c>
      <c r="H1337" s="6" t="n">
        <v>35.55091943207012</v>
      </c>
      <c r="I1337" s="6" t="n">
        <v>99.37972835462766</v>
      </c>
    </row>
    <row r="1338">
      <c r="A1338" s="6" t="inlineStr">
        <is>
          <t>5 wt% Re | 250 C</t>
        </is>
      </c>
      <c r="B1338" s="8" t="n">
        <v>0.15</v>
      </c>
      <c r="C1338" s="6" t="n">
        <v>1556.488131576154</v>
      </c>
      <c r="D1338" s="6" t="n">
        <v>57952.90176381381</v>
      </c>
      <c r="E1338" s="8" t="n">
        <v>0.1144524913403244</v>
      </c>
      <c r="F1338" s="8" t="n">
        <v>0.1003620509814299</v>
      </c>
      <c r="G1338" s="6" t="n">
        <v>1117.998902221336</v>
      </c>
      <c r="H1338" s="6" t="n">
        <v>35.5989971153483</v>
      </c>
      <c r="I1338" s="6" t="n">
        <v>99.51046709133553</v>
      </c>
    </row>
    <row r="1339">
      <c r="A1339" s="6" t="inlineStr">
        <is>
          <t>5 wt% Re | 250 C</t>
        </is>
      </c>
      <c r="B1339" s="8" t="n">
        <v>0.151</v>
      </c>
      <c r="C1339" s="6" t="n">
        <v>1558.78687844661</v>
      </c>
      <c r="D1339" s="6" t="n">
        <v>57815.14061233741</v>
      </c>
      <c r="E1339" s="8" t="n">
        <v>0.1136867297858339</v>
      </c>
      <c r="F1339" s="8" t="n">
        <v>0.0996662207167983</v>
      </c>
      <c r="G1339" s="6" t="n">
        <v>1119.781696372328</v>
      </c>
      <c r="H1339" s="6" t="n">
        <v>35.6470836813961</v>
      </c>
      <c r="I1339" s="6" t="n">
        <v>99.64104916590652</v>
      </c>
    </row>
    <row r="1340">
      <c r="A1340" s="6" t="inlineStr">
        <is>
          <t>5 wt% Re | 250 C</t>
        </is>
      </c>
      <c r="B1340" s="8" t="n">
        <v>0.152</v>
      </c>
      <c r="C1340" s="6" t="n">
        <v>1561.085482655982</v>
      </c>
      <c r="D1340" s="6" t="n">
        <v>57678.45783893812</v>
      </c>
      <c r="E1340" s="8" t="n">
        <v>0.1129297445988425</v>
      </c>
      <c r="F1340" s="8" t="n">
        <v>0.09897836533949757</v>
      </c>
      <c r="G1340" s="6" t="n">
        <v>1121.564490523321</v>
      </c>
      <c r="H1340" s="6" t="n">
        <v>35.69517895489569</v>
      </c>
      <c r="I1340" s="6" t="n">
        <v>99.77147509254925</v>
      </c>
    </row>
    <row r="1341">
      <c r="A1341" s="6" t="inlineStr">
        <is>
          <t>5 wt% Re | 250 C</t>
        </is>
      </c>
      <c r="B1341" s="8" t="n">
        <v>0.153</v>
      </c>
      <c r="C1341" s="6" t="n">
        <v>1563.38394452105</v>
      </c>
      <c r="D1341" s="6" t="n">
        <v>57542.83229894778</v>
      </c>
      <c r="E1341" s="8" t="n">
        <v>0.11218138576055</v>
      </c>
      <c r="F1341" s="8" t="n">
        <v>0.09829834853082536</v>
      </c>
      <c r="G1341" s="6" t="n">
        <v>1123.347284674313</v>
      </c>
      <c r="H1341" s="6" t="n">
        <v>35.74328276511272</v>
      </c>
      <c r="I1341" s="6" t="n">
        <v>99.90174539042233</v>
      </c>
    </row>
    <row r="1342">
      <c r="A1342" s="6" t="inlineStr">
        <is>
          <t>5 wt% Re | 250 C</t>
        </is>
      </c>
      <c r="B1342" s="8" t="n">
        <v>0.154</v>
      </c>
      <c r="C1342" s="6" t="n">
        <v>1565.682264367962</v>
      </c>
      <c r="D1342" s="6" t="n">
        <v>57408.24339691037</v>
      </c>
      <c r="E1342" s="8" t="n">
        <v>0.1114415066519125</v>
      </c>
      <c r="F1342" s="8" t="n">
        <v>0.09762603706136129</v>
      </c>
      <c r="G1342" s="6" t="n">
        <v>1125.130078825306</v>
      </c>
      <c r="H1342" s="6" t="n">
        <v>35.79139494574752</v>
      </c>
      <c r="I1342" s="6" t="n">
        <v>100.0318605832364</v>
      </c>
    </row>
    <row r="1343">
      <c r="A1343" s="6" t="inlineStr">
        <is>
          <t>5 wt% Re | 250 C</t>
        </is>
      </c>
      <c r="B1343" s="8" t="n">
        <v>0.155</v>
      </c>
      <c r="C1343" s="6" t="n">
        <v>1567.980442531705</v>
      </c>
      <c r="D1343" s="6" t="n">
        <v>57274.67106886551</v>
      </c>
      <c r="E1343" s="8" t="n">
        <v>0.1107099639578778</v>
      </c>
      <c r="F1343" s="8" t="n">
        <v>0.09696130070394751</v>
      </c>
      <c r="G1343" s="6" t="n">
        <v>1126.912872976298</v>
      </c>
      <c r="H1343" s="6" t="n">
        <v>35.83951533479198</v>
      </c>
      <c r="I1343" s="6" t="n">
        <v>100.161821198875</v>
      </c>
    </row>
    <row r="1344">
      <c r="A1344" s="6" t="inlineStr">
        <is>
          <t>5 wt% Re | 250 C</t>
        </is>
      </c>
      <c r="B1344" s="8" t="n">
        <v>0.156</v>
      </c>
      <c r="C1344" s="6" t="n">
        <v>1570.278479355606</v>
      </c>
      <c r="D1344" s="6" t="n">
        <v>57142.09576531333</v>
      </c>
      <c r="E1344" s="8" t="n">
        <v>0.1099866175748389</v>
      </c>
      <c r="F1344" s="8" t="n">
        <v>0.09630401214959435</v>
      </c>
      <c r="G1344" s="6" t="n">
        <v>1128.695667127291</v>
      </c>
      <c r="H1344" s="6" t="n">
        <v>35.88764377439209</v>
      </c>
      <c r="I1344" s="6" t="n">
        <v>100.2916277690353</v>
      </c>
    </row>
    <row r="1345">
      <c r="A1345" s="6" t="inlineStr">
        <is>
          <t>5 wt% Re | 250 C</t>
        </is>
      </c>
      <c r="B1345" s="8" t="n">
        <v>0.157</v>
      </c>
      <c r="C1345" s="6" t="n">
        <v>1572.576375190841</v>
      </c>
      <c r="D1345" s="6" t="n">
        <v>57010.49843483043</v>
      </c>
      <c r="E1345" s="8" t="n">
        <v>0.1092713305211818</v>
      </c>
      <c r="F1345" s="8" t="n">
        <v>0.09565404692619667</v>
      </c>
      <c r="G1345" s="6" t="n">
        <v>1130.478461278283</v>
      </c>
      <c r="H1345" s="6" t="n">
        <v>35.93578011071556</v>
      </c>
      <c r="I1345" s="6" t="n">
        <v>100.421280828886</v>
      </c>
    </row>
    <row r="1346">
      <c r="A1346" s="6" t="inlineStr">
        <is>
          <t>5 wt% Re | 250 C</t>
        </is>
      </c>
      <c r="B1346" s="8" t="n">
        <v>0.158</v>
      </c>
      <c r="C1346" s="6" t="n">
        <v>1574.874130395986</v>
      </c>
      <c r="D1346" s="6" t="n">
        <v>56879.86050830787</v>
      </c>
      <c r="E1346" s="8" t="n">
        <v>0.1085639688508061</v>
      </c>
      <c r="F1346" s="8" t="n">
        <v>0.09501128331995207</v>
      </c>
      <c r="G1346" s="6" t="n">
        <v>1132.261255429275</v>
      </c>
      <c r="H1346" s="6" t="n">
        <v>35.9839241938246</v>
      </c>
      <c r="I1346" s="6" t="n">
        <v>100.5507809167418</v>
      </c>
    </row>
    <row r="1347">
      <c r="A1347" s="6" t="inlineStr">
        <is>
          <t>5 wt% Re | 250 C</t>
        </is>
      </c>
      <c r="B1347" s="8" t="n">
        <v>0.159</v>
      </c>
      <c r="C1347" s="6" t="n">
        <v>1577.171745336579</v>
      </c>
      <c r="D1347" s="6" t="n">
        <v>56750.16388378415</v>
      </c>
      <c r="E1347" s="8" t="n">
        <v>0.1078644015695045</v>
      </c>
      <c r="F1347" s="8" t="n">
        <v>0.09437560229937696</v>
      </c>
      <c r="G1347" s="6" t="n">
        <v>1134.044049580268</v>
      </c>
      <c r="H1347" s="6" t="n">
        <v>36.03207587755345</v>
      </c>
      <c r="I1347" s="6" t="n">
        <v>100.6801285737549</v>
      </c>
    </row>
    <row r="1348">
      <c r="A1348" s="6" t="inlineStr">
        <is>
          <t>5 wt% Re | 250 C</t>
        </is>
      </c>
      <c r="B1348" s="8" t="n">
        <v>0.16</v>
      </c>
      <c r="C1348" s="6" t="n">
        <v>1579.469220384693</v>
      </c>
      <c r="D1348" s="6" t="n">
        <v>56621.39091184681</v>
      </c>
      <c r="E1348" s="8" t="n">
        <v>0.1071725005540914</v>
      </c>
      <c r="F1348" s="8" t="n">
        <v>0.09374688744182039</v>
      </c>
      <c r="G1348" s="6" t="n">
        <v>1135.82684373126</v>
      </c>
      <c r="H1348" s="6" t="n">
        <v>36.0802350193905</v>
      </c>
      <c r="I1348" s="6" t="n">
        <v>100.8093243436213</v>
      </c>
    </row>
    <row r="1349">
      <c r="A1349" s="6" t="inlineStr">
        <is>
          <t>5 wt% Re | 250 C</t>
        </is>
      </c>
      <c r="B1349" s="8" t="n">
        <v>0.161</v>
      </c>
      <c r="C1349" s="6" t="n">
        <v>1581.766555918552</v>
      </c>
      <c r="D1349" s="6" t="n">
        <v>56493.52438157805</v>
      </c>
      <c r="E1349" s="8" t="n">
        <v>0.1064881404741758</v>
      </c>
      <c r="F1349" s="8" t="n">
        <v>0.09312502486238092</v>
      </c>
      <c r="G1349" s="6" t="n">
        <v>1137.609637882253</v>
      </c>
      <c r="H1349" s="6" t="n">
        <v>36.12840148036479</v>
      </c>
      <c r="I1349" s="6" t="n">
        <v>100.9383687723013</v>
      </c>
    </row>
    <row r="1350">
      <c r="A1350" s="6" t="inlineStr">
        <is>
          <t>5 wt% Re | 250 C</t>
        </is>
      </c>
      <c r="B1350" s="8" t="n">
        <v>0.162</v>
      </c>
      <c r="C1350" s="6" t="n">
        <v>1584.063752322137</v>
      </c>
      <c r="D1350" s="6" t="n">
        <v>56366.54750702107</v>
      </c>
      <c r="E1350" s="8" t="n">
        <v>0.1058111987164777</v>
      </c>
      <c r="F1350" s="8" t="n">
        <v>0.09250990314513477</v>
      </c>
      <c r="G1350" s="6" t="n">
        <v>1139.392432033246</v>
      </c>
      <c r="H1350" s="6" t="n">
        <v>36.17657512493672</v>
      </c>
      <c r="I1350" s="6" t="n">
        <v>101.0672624077545</v>
      </c>
    </row>
    <row r="1351">
      <c r="A1351" s="6" t="inlineStr">
        <is>
          <t>5 wt% Re | 250 C</t>
        </is>
      </c>
      <c r="B1351" s="8" t="n">
        <v>0.163</v>
      </c>
      <c r="C1351" s="6" t="n">
        <v>1586.360809984832</v>
      </c>
      <c r="D1351" s="6" t="n">
        <v>56240.44391414436</v>
      </c>
      <c r="E1351" s="8" t="n">
        <v>0.105141555311593</v>
      </c>
      <c r="F1351" s="8" t="n">
        <v>0.09190141327658852</v>
      </c>
      <c r="G1351" s="6" t="n">
        <v>1141.175226184238</v>
      </c>
      <c r="H1351" s="6" t="n">
        <v>36.22475582089286</v>
      </c>
      <c r="I1351" s="6" t="n">
        <v>101.1960057996876</v>
      </c>
    </row>
    <row r="1352">
      <c r="A1352" s="6" t="inlineStr">
        <is>
          <t>5 wt% Re | 250 C</t>
        </is>
      </c>
      <c r="B1352" s="8" t="n">
        <v>0.164</v>
      </c>
      <c r="C1352" s="6" t="n">
        <v>1588.657729301073</v>
      </c>
      <c r="D1352" s="6" t="n">
        <v>56115.19762828305</v>
      </c>
      <c r="E1352" s="8" t="n">
        <v>0.1044790928631143</v>
      </c>
      <c r="F1352" s="8" t="n">
        <v>0.0912994485812727</v>
      </c>
      <c r="G1352" s="6" t="n">
        <v>1142.95802033523</v>
      </c>
      <c r="H1352" s="6" t="n">
        <v>36.27294343924445</v>
      </c>
      <c r="I1352" s="6" t="n">
        <v>101.3245994993147</v>
      </c>
    </row>
    <row r="1353">
      <c r="A1353" s="6" t="inlineStr">
        <is>
          <t>5 wt% Re | 250 C</t>
        </is>
      </c>
      <c r="B1353" s="8" t="n">
        <v>0.165</v>
      </c>
      <c r="C1353" s="6" t="n">
        <v>1590.954510670021</v>
      </c>
      <c r="D1353" s="6" t="n">
        <v>55990.79306203683</v>
      </c>
      <c r="E1353" s="8" t="n">
        <v>0.1038236964790193</v>
      </c>
      <c r="F1353" s="8" t="n">
        <v>0.09070390465939625</v>
      </c>
      <c r="G1353" s="6" t="n">
        <v>1144.740814486222</v>
      </c>
      <c r="H1353" s="6" t="n">
        <v>36.32113785412979</v>
      </c>
      <c r="I1353" s="6" t="n">
        <v>101.4530440591302</v>
      </c>
    </row>
    <row r="1354">
      <c r="A1354" s="6" t="inlineStr">
        <is>
          <t>5 wt% Re | 250 C</t>
        </is>
      </c>
      <c r="B1354" s="8" t="n">
        <v>0.166</v>
      </c>
      <c r="C1354" s="6" t="n">
        <v>1593.251154495245</v>
      </c>
      <c r="D1354" s="6" t="n">
        <v>55867.21500360546</v>
      </c>
      <c r="E1354" s="8" t="n">
        <v>0.1031752537052431</v>
      </c>
      <c r="F1354" s="8" t="n">
        <v>0.09011467932648519</v>
      </c>
      <c r="G1354" s="6" t="n">
        <v>1146.523608637215</v>
      </c>
      <c r="H1354" s="6" t="n">
        <v>36.36933894271992</v>
      </c>
      <c r="I1354" s="6" t="n">
        <v>101.5813400326919</v>
      </c>
    </row>
    <row r="1355">
      <c r="A1355" s="6" t="inlineStr">
        <is>
          <t>5 wt% Re | 250 C</t>
        </is>
      </c>
      <c r="B1355" s="8" t="n">
        <v>0.167</v>
      </c>
      <c r="C1355" s="6" t="n">
        <v>1595.547661184417</v>
      </c>
      <c r="D1355" s="6" t="n">
        <v>55744.44860554313</v>
      </c>
      <c r="E1355" s="8" t="n">
        <v>0.1025336544613548</v>
      </c>
      <c r="F1355" s="8" t="n">
        <v>0.08953167255493308</v>
      </c>
      <c r="G1355" s="6" t="n">
        <v>1148.306402788208</v>
      </c>
      <c r="H1355" s="6" t="n">
        <v>36.41754658512794</v>
      </c>
      <c r="I1355" s="6" t="n">
        <v>101.7094879744156</v>
      </c>
    </row>
    <row r="1356">
      <c r="A1356" s="6" t="inlineStr">
        <is>
          <t>5 wt% Re | 250 C</t>
        </is>
      </c>
      <c r="B1356" s="8" t="n">
        <v>0.168</v>
      </c>
      <c r="C1356" s="6" t="n">
        <v>1597.844031149031</v>
      </c>
      <c r="D1356" s="6" t="n">
        <v>55622.47937391472</v>
      </c>
      <c r="E1356" s="8" t="n">
        <v>0.1018987909782585</v>
      </c>
      <c r="F1356" s="8" t="n">
        <v>0.08895478641739152</v>
      </c>
      <c r="G1356" s="6" t="n">
        <v>1150.0891969392</v>
      </c>
      <c r="H1356" s="6" t="n">
        <v>36.46576066432141</v>
      </c>
      <c r="I1356" s="6" t="n">
        <v>101.8374884393805</v>
      </c>
    </row>
    <row r="1357">
      <c r="A1357" s="6" t="inlineStr">
        <is>
          <t>5 wt% Re | 250 C</t>
        </is>
      </c>
      <c r="B1357" s="8" t="n">
        <v>0.169</v>
      </c>
      <c r="C1357" s="6" t="n">
        <v>1600.140264804122</v>
      </c>
      <c r="D1357" s="6" t="n">
        <v>55501.29315783674</v>
      </c>
      <c r="E1357" s="8" t="n">
        <v>0.101270557737847</v>
      </c>
      <c r="F1357" s="8" t="n">
        <v>0.0883839250319348</v>
      </c>
      <c r="G1357" s="6" t="n">
        <v>1151.871991090193</v>
      </c>
      <c r="H1357" s="6" t="n">
        <v>36.51398106603782</v>
      </c>
      <c r="I1357" s="6" t="n">
        <v>101.9653419831432</v>
      </c>
    </row>
    <row r="1358">
      <c r="A1358" s="6" t="inlineStr">
        <is>
          <t>5 wt% Re | 250 C</t>
        </is>
      </c>
      <c r="B1358" s="8" t="n">
        <v>0.17</v>
      </c>
      <c r="C1358" s="6" t="n">
        <v>1602.436362568007</v>
      </c>
      <c r="D1358" s="6" t="n">
        <v>55380.87613938776</v>
      </c>
      <c r="E1358" s="8" t="n">
        <v>0.1006488514145361</v>
      </c>
      <c r="F1358" s="8" t="n">
        <v>0.08781899450893353</v>
      </c>
      <c r="G1358" s="6" t="n">
        <v>1153.654785241185</v>
      </c>
      <c r="H1358" s="6" t="n">
        <v>36.56220767870328</v>
      </c>
      <c r="I1358" s="6" t="n">
        <v>102.0930491615624</v>
      </c>
    </row>
    <row r="1359">
      <c r="A1359" s="6" t="inlineStr">
        <is>
          <t>5 wt% Re | 250 C</t>
        </is>
      </c>
      <c r="B1359" s="8" t="n">
        <v>0.171</v>
      </c>
      <c r="C1359" s="6" t="n">
        <v>1604.732324862037</v>
      </c>
      <c r="D1359" s="6" t="n">
        <v>55261.21482387249</v>
      </c>
      <c r="E1359" s="8" t="n">
        <v>0.100033570818612</v>
      </c>
      <c r="F1359" s="8" t="n">
        <v>0.08725990289957553</v>
      </c>
      <c r="G1359" s="6" t="n">
        <v>1155.437579392177</v>
      </c>
      <c r="H1359" s="6" t="n">
        <v>36.61044039335378</v>
      </c>
      <c r="I1359" s="6" t="n">
        <v>102.220610530631</v>
      </c>
    </row>
    <row r="1360">
      <c r="A1360" s="6" t="inlineStr">
        <is>
          <t>5 wt% Re | 250 C</t>
        </is>
      </c>
      <c r="B1360" s="8" t="n">
        <v>0.172</v>
      </c>
      <c r="C1360" s="6" t="n">
        <v>1607.028152110352</v>
      </c>
      <c r="D1360" s="6" t="n">
        <v>55142.29603042587</v>
      </c>
      <c r="E1360" s="8" t="n">
        <v>0.09942461684132589</v>
      </c>
      <c r="F1360" s="8" t="n">
        <v>0.08670656014597468</v>
      </c>
      <c r="G1360" s="6" t="n">
        <v>1157.22037354317</v>
      </c>
      <c r="H1360" s="6" t="n">
        <v>36.65867910355928</v>
      </c>
      <c r="I1360" s="6" t="n">
        <v>102.3480266463182</v>
      </c>
    </row>
    <row r="1361">
      <c r="A1361" s="6" t="inlineStr">
        <is>
          <t>5 wt% Re | 250 C</t>
        </is>
      </c>
      <c r="B1361" s="8" t="n">
        <v>0.173</v>
      </c>
      <c r="C1361" s="6" t="n">
        <v>1609.323844739657</v>
      </c>
      <c r="D1361" s="6" t="n">
        <v>55024.10688294258</v>
      </c>
      <c r="E1361" s="8" t="n">
        <v>0.09882189240167413</v>
      </c>
      <c r="F1361" s="8" t="n">
        <v>0.08615887803281104</v>
      </c>
      <c r="G1361" s="6" t="n">
        <v>1159.003167694162</v>
      </c>
      <c r="H1361" s="6" t="n">
        <v>36.70692370535068</v>
      </c>
      <c r="I1361" s="6" t="n">
        <v>102.4752980644186</v>
      </c>
    </row>
    <row r="1362">
      <c r="A1362" s="6" t="inlineStr">
        <is>
          <t>5 wt% Re | 250 C</t>
        </is>
      </c>
      <c r="B1362" s="8" t="n">
        <v>0.174</v>
      </c>
      <c r="C1362" s="6" t="n">
        <v>1611.619403179004</v>
      </c>
      <c r="D1362" s="6" t="n">
        <v>54906.63480131986</v>
      </c>
      <c r="E1362" s="8" t="n">
        <v>0.09822530239480277</v>
      </c>
      <c r="F1362" s="8" t="n">
        <v>0.08561677014044748</v>
      </c>
      <c r="G1362" s="6" t="n">
        <v>1160.785961845155</v>
      </c>
      <c r="H1362" s="6" t="n">
        <v>36.75517409714888</v>
      </c>
      <c r="I1362" s="6" t="n">
        <v>102.6024253404093</v>
      </c>
    </row>
    <row r="1363">
      <c r="A1363" s="6" t="inlineStr">
        <is>
          <t>5 wt% Re | 250 C</t>
        </is>
      </c>
      <c r="B1363" s="8" t="n">
        <v>0.175</v>
      </c>
      <c r="C1363" s="6" t="n">
        <v>1613.914827859583</v>
      </c>
      <c r="D1363" s="6" t="n">
        <v>54789.86749300009</v>
      </c>
      <c r="E1363" s="8" t="n">
        <v>0.09763475364197982</v>
      </c>
      <c r="F1363" s="8" t="n">
        <v>0.08508015179947047</v>
      </c>
      <c r="G1363" s="6" t="n">
        <v>1162.568755996147</v>
      </c>
      <c r="H1363" s="6" t="n">
        <v>36.80343017969666</v>
      </c>
      <c r="I1363" s="6" t="n">
        <v>102.7294090293151</v>
      </c>
    </row>
    <row r="1364">
      <c r="A1364" s="6" t="inlineStr">
        <is>
          <t>5 wt% Re | 250 C</t>
        </is>
      </c>
      <c r="B1364" s="8" t="n">
        <v>0.176</v>
      </c>
      <c r="C1364" s="6" t="n">
        <v>1616.210119214521</v>
      </c>
      <c r="D1364" s="6" t="n">
        <v>54673.79294480196</v>
      </c>
      <c r="E1364" s="8" t="n">
        <v>0.09705015484207991</v>
      </c>
      <c r="F1364" s="8" t="n">
        <v>0.08454894004660525</v>
      </c>
      <c r="G1364" s="6" t="n">
        <v>1164.35155014714</v>
      </c>
      <c r="H1364" s="6" t="n">
        <v>36.85169185599256</v>
      </c>
      <c r="I1364" s="6" t="n">
        <v>102.8562496855789</v>
      </c>
    </row>
    <row r="1365">
      <c r="A1365" s="6" t="inlineStr">
        <is>
          <t>5 wt% Re | 250 C</t>
        </is>
      </c>
      <c r="B1365" s="8" t="n">
        <v>0.177</v>
      </c>
      <c r="C1365" s="6" t="n">
        <v>1618.505277678697</v>
      </c>
      <c r="D1365" s="6" t="n">
        <v>54558.39941502849</v>
      </c>
      <c r="E1365" s="8" t="n">
        <v>0.09647141652452738</v>
      </c>
      <c r="F1365" s="8" t="n">
        <v>0.08402305358195639</v>
      </c>
      <c r="G1365" s="6" t="n">
        <v>1166.134344298132</v>
      </c>
      <c r="H1365" s="6" t="n">
        <v>36.89995903122733</v>
      </c>
      <c r="I1365" s="6" t="n">
        <v>102.9829478629411</v>
      </c>
    </row>
    <row r="1366">
      <c r="A1366" s="6" t="inlineStr">
        <is>
          <t>5 wt% Re | 250 C</t>
        </is>
      </c>
      <c r="B1366" s="8" t="n">
        <v>0.178</v>
      </c>
      <c r="C1366" s="6" t="n">
        <v>1620.800303688559</v>
      </c>
      <c r="D1366" s="6" t="n">
        <v>54443.67542584109</v>
      </c>
      <c r="E1366" s="8" t="n">
        <v>0.09589845100364819</v>
      </c>
      <c r="F1366" s="8" t="n">
        <v>0.08350241272752822</v>
      </c>
      <c r="G1366" s="6" t="n">
        <v>1167.917138449124</v>
      </c>
      <c r="H1366" s="6" t="n">
        <v>36.94823161272219</v>
      </c>
      <c r="I1366" s="6" t="n">
        <v>103.1095041143232</v>
      </c>
    </row>
    <row r="1367">
      <c r="A1367" s="6" t="inlineStr">
        <is>
          <t>5 wt% Re | 250 C</t>
        </is>
      </c>
      <c r="B1367" s="8" t="n">
        <v>0.179</v>
      </c>
      <c r="C1367" s="6" t="n">
        <v>1623.09519768195</v>
      </c>
      <c r="D1367" s="6" t="n">
        <v>54329.60975588912</v>
      </c>
      <c r="E1367" s="8" t="n">
        <v>0.09533117233438053</v>
      </c>
      <c r="F1367" s="8" t="n">
        <v>0.08298693938698029</v>
      </c>
      <c r="G1367" s="6" t="n">
        <v>1169.699932600117</v>
      </c>
      <c r="H1367" s="6" t="n">
        <v>36.99650950986945</v>
      </c>
      <c r="I1367" s="6" t="n">
        <v>103.235918991719</v>
      </c>
    </row>
    <row r="1368">
      <c r="A1368" s="6" t="inlineStr">
        <is>
          <t>5 wt% Re | 250 C</t>
        </is>
      </c>
      <c r="B1368" s="8" t="n">
        <v>0.18</v>
      </c>
      <c r="C1368" s="6" t="n">
        <v>1625.389960097944</v>
      </c>
      <c r="D1368" s="6" t="n">
        <v>54216.19143318536</v>
      </c>
      <c r="E1368" s="8" t="n">
        <v>0.09476949626929795</v>
      </c>
      <c r="F1368" s="8" t="n">
        <v>0.08247655700657508</v>
      </c>
      <c r="G1368" s="6" t="n">
        <v>1171.482726751109</v>
      </c>
      <c r="H1368" s="6" t="n">
        <v>37.0447926340749</v>
      </c>
      <c r="I1368" s="6" t="n">
        <v>103.3621930460908</v>
      </c>
    </row>
    <row r="1369">
      <c r="A1369" s="6" t="inlineStr">
        <is>
          <t>5 wt% Re | 250 C</t>
        </is>
      </c>
      <c r="B1369" s="8" t="n">
        <v>0.181</v>
      </c>
      <c r="C1369" s="6" t="n">
        <v>1627.684591376688</v>
      </c>
      <c r="D1369" s="6" t="n">
        <v>54103.40972821737</v>
      </c>
      <c r="E1369" s="8" t="n">
        <v>0.09421334021689955</v>
      </c>
      <c r="F1369" s="8" t="n">
        <v>0.08197119053727728</v>
      </c>
      <c r="G1369" s="6" t="n">
        <v>1173.265520902102</v>
      </c>
      <c r="H1369" s="6" t="n">
        <v>37.09308089870221</v>
      </c>
      <c r="I1369" s="6" t="n">
        <v>103.4883268272713</v>
      </c>
    </row>
    <row r="1370">
      <c r="A1370" s="6" t="inlineStr">
        <is>
          <t>5 wt% Re | 250 C</t>
        </is>
      </c>
      <c r="B1370" s="8" t="n">
        <v>0.182</v>
      </c>
      <c r="C1370" s="6" t="n">
        <v>1629.979091959254</v>
      </c>
      <c r="D1370" s="6" t="n">
        <v>53991.25414728622</v>
      </c>
      <c r="E1370" s="8" t="n">
        <v>0.09366262320112376</v>
      </c>
      <c r="F1370" s="8" t="n">
        <v>0.08147076639796492</v>
      </c>
      <c r="G1370" s="6" t="n">
        <v>1175.048315053094</v>
      </c>
      <c r="H1370" s="6" t="n">
        <v>37.14137421901916</v>
      </c>
      <c r="I1370" s="6" t="n">
        <v>103.6143208838711</v>
      </c>
    </row>
    <row r="1371">
      <c r="A1371" s="6" t="inlineStr">
        <is>
          <t>5 wt% Re | 250 C</t>
        </is>
      </c>
      <c r="B1371" s="8" t="n">
        <v>0.183</v>
      </c>
      <c r="C1371" s="6" t="n">
        <v>1632.273462287492</v>
      </c>
      <c r="D1371" s="6" t="n">
        <v>53879.71442606346</v>
      </c>
      <c r="E1371" s="8" t="n">
        <v>0.09311726582204442</v>
      </c>
      <c r="F1371" s="8" t="n">
        <v>0.08097521243971474</v>
      </c>
      <c r="G1371" s="6" t="n">
        <v>1176.831109204087</v>
      </c>
      <c r="H1371" s="6" t="n">
        <v>37.18967251214559</v>
      </c>
      <c r="I1371" s="6" t="n">
        <v>103.7401757631905</v>
      </c>
    </row>
    <row r="1372">
      <c r="A1372" s="6" t="inlineStr">
        <is>
          <t>5 wt% Re | 250 C</t>
        </is>
      </c>
      <c r="B1372" s="8" t="n">
        <v>0.184</v>
      </c>
      <c r="C1372" s="6" t="n">
        <v>1634.567702803895</v>
      </c>
      <c r="D1372" s="6" t="n">
        <v>53768.78052335817</v>
      </c>
      <c r="E1372" s="8" t="n">
        <v>0.09257719021770852</v>
      </c>
      <c r="F1372" s="8" t="n">
        <v>0.08048445791112498</v>
      </c>
      <c r="G1372" s="6" t="n">
        <v>1178.613903355079</v>
      </c>
      <c r="H1372" s="6" t="n">
        <v>37.23797569700308</v>
      </c>
      <c r="I1372" s="6" t="n">
        <v>103.8658920111367</v>
      </c>
    </row>
    <row r="1373">
      <c r="A1373" s="6" t="inlineStr">
        <is>
          <t>5 wt% Re | 250 C</t>
        </is>
      </c>
      <c r="B1373" s="8" t="n">
        <v>0.185</v>
      </c>
      <c r="C1373" s="6" t="n">
        <v>1636.86181395147</v>
      </c>
      <c r="D1373" s="6" t="n">
        <v>53658.44261508629</v>
      </c>
      <c r="E1373" s="8" t="n">
        <v>0.09204232002707768</v>
      </c>
      <c r="F1373" s="8" t="n">
        <v>0.07999843342464126</v>
      </c>
      <c r="G1373" s="6" t="n">
        <v>1180.396697506072</v>
      </c>
      <c r="H1373" s="6" t="n">
        <v>37.28628369426627</v>
      </c>
      <c r="I1373" s="6" t="n">
        <v>103.9914701721457</v>
      </c>
    </row>
    <row r="1374">
      <c r="A1374" s="6" t="inlineStr">
        <is>
          <t>5 wt% Re | 250 C</t>
        </is>
      </c>
      <c r="B1374" s="8" t="n">
        <v>0.186</v>
      </c>
      <c r="C1374" s="6" t="n">
        <v>1639.155796173608</v>
      </c>
      <c r="D1374" s="6" t="n">
        <v>53548.69108843439</v>
      </c>
      <c r="E1374" s="8" t="n">
        <v>0.09151258035403589</v>
      </c>
      <c r="F1374" s="8" t="n">
        <v>0.07951707092385106</v>
      </c>
      <c r="G1374" s="6" t="n">
        <v>1182.179491657064</v>
      </c>
      <c r="H1374" s="6" t="n">
        <v>37.3345964263157</v>
      </c>
      <c r="I1374" s="6" t="n">
        <v>104.1169107891074</v>
      </c>
    </row>
    <row r="1375">
      <c r="A1375" s="6" t="inlineStr">
        <is>
          <t>5 wt% Re | 250 C</t>
        </is>
      </c>
      <c r="B1375" s="8" t="n">
        <v>0.187</v>
      </c>
      <c r="C1375" s="6" t="n">
        <v>1641.449649913974</v>
      </c>
      <c r="D1375" s="6" t="n">
        <v>53439.51653621067</v>
      </c>
      <c r="E1375" s="8" t="n">
        <v>0.09098789773242803</v>
      </c>
      <c r="F1375" s="8" t="n">
        <v>0.0790403036517151</v>
      </c>
      <c r="G1375" s="6" t="n">
        <v>1183.962285808057</v>
      </c>
      <c r="H1375" s="6" t="n">
        <v>37.38291381719225</v>
      </c>
      <c r="I1375" s="6" t="n">
        <v>104.2422144032967</v>
      </c>
    </row>
    <row r="1376">
      <c r="A1376" s="6" t="inlineStr">
        <is>
          <t>5 wt% Re | 250 C</t>
        </is>
      </c>
      <c r="B1376" s="8" t="n">
        <v>0.188</v>
      </c>
      <c r="C1376" s="6" t="n">
        <v>1643.743375616382</v>
      </c>
      <c r="D1376" s="6" t="n">
        <v>53330.90975137642</v>
      </c>
      <c r="E1376" s="8" t="n">
        <v>0.09046820009209484</v>
      </c>
      <c r="F1376" s="8" t="n">
        <v>0.07856806611970416</v>
      </c>
      <c r="G1376" s="6" t="n">
        <v>1185.745079959049</v>
      </c>
      <c r="H1376" s="6" t="n">
        <v>37.43123579255291</v>
      </c>
      <c r="I1376" s="6" t="n">
        <v>104.367381554307</v>
      </c>
    </row>
    <row r="1377">
      <c r="A1377" s="6" t="inlineStr">
        <is>
          <t>5 wt% Re | 250 C</t>
        </is>
      </c>
      <c r="B1377" s="8" t="n">
        <v>0.189</v>
      </c>
      <c r="C1377" s="6" t="n">
        <v>1646.036973724699</v>
      </c>
      <c r="D1377" s="6" t="n">
        <v>53222.86172175084</v>
      </c>
      <c r="E1377" s="8" t="n">
        <v>0.08995341672587173</v>
      </c>
      <c r="F1377" s="8" t="n">
        <v>0.0781002940778114</v>
      </c>
      <c r="G1377" s="6" t="n">
        <v>1187.527874110041</v>
      </c>
      <c r="H1377" s="6" t="n">
        <v>37.47956227962812</v>
      </c>
      <c r="I1377" s="6" t="n">
        <v>104.492412779988</v>
      </c>
    </row>
    <row r="1378">
      <c r="A1378" s="6" t="inlineStr">
        <is>
          <t>5 wt% Re | 250 C</t>
        </is>
      </c>
      <c r="B1378" s="8" t="n">
        <v>0.19</v>
      </c>
      <c r="C1378" s="6" t="n">
        <v>1648.330444682734</v>
      </c>
      <c r="D1378" s="6" t="n">
        <v>53115.36362488328</v>
      </c>
      <c r="E1378" s="8" t="n">
        <v>0.089443478257519</v>
      </c>
      <c r="F1378" s="8" t="n">
        <v>0.07763692448541155</v>
      </c>
      <c r="G1378" s="6" t="n">
        <v>1189.310668261034</v>
      </c>
      <c r="H1378" s="6" t="n">
        <v>37.52789320718026</v>
      </c>
      <c r="I1378" s="6" t="n">
        <v>104.6173086163875</v>
      </c>
    </row>
    <row r="1379">
      <c r="A1379" s="6" t="inlineStr">
        <is>
          <t>5 wt% Re | 250 C</t>
        </is>
      </c>
      <c r="B1379" s="8" t="n">
        <v>0.191</v>
      </c>
      <c r="C1379" s="6" t="n">
        <v>1650.62378893414</v>
      </c>
      <c r="D1379" s="6" t="n">
        <v>53008.40682308638</v>
      </c>
      <c r="E1379" s="8" t="n">
        <v>0.08893831661055313</v>
      </c>
      <c r="F1379" s="8" t="n">
        <v>0.07717789548293849</v>
      </c>
      <c r="G1379" s="6" t="n">
        <v>1191.093462412026</v>
      </c>
      <c r="H1379" s="6" t="n">
        <v>37.57622850546363</v>
      </c>
      <c r="I1379" s="6" t="n">
        <v>104.7420695976961</v>
      </c>
    </row>
    <row r="1380">
      <c r="A1380" s="6" t="inlineStr">
        <is>
          <t>5 wt% Re | 250 C</t>
        </is>
      </c>
      <c r="B1380" s="8" t="n">
        <v>0.192</v>
      </c>
      <c r="C1380" s="6" t="n">
        <v>1652.917006922326</v>
      </c>
      <c r="D1380" s="6" t="n">
        <v>52901.98285862475</v>
      </c>
      <c r="E1380" s="8" t="n">
        <v>0.08843786497795077</v>
      </c>
      <c r="F1380" s="8" t="n">
        <v>0.07672314636435584</v>
      </c>
      <c r="G1380" s="6" t="n">
        <v>1192.876256563019</v>
      </c>
      <c r="H1380" s="6" t="n">
        <v>37.62456810618555</v>
      </c>
      <c r="I1380" s="6" t="n">
        <v>104.8666962561954</v>
      </c>
    </row>
    <row r="1381">
      <c r="A1381" s="6" t="inlineStr">
        <is>
          <t>5 wt% Re | 250 C</t>
        </is>
      </c>
      <c r="B1381" s="8" t="n">
        <v>0.193</v>
      </c>
      <c r="C1381" s="6" t="n">
        <v>1655.210099090359</v>
      </c>
      <c r="D1381" s="6" t="n">
        <v>52796.08344905271</v>
      </c>
      <c r="E1381" s="8" t="n">
        <v>0.08794205779269505</v>
      </c>
      <c r="F1381" s="8" t="n">
        <v>0.07627261755039326</v>
      </c>
      <c r="G1381" s="6" t="n">
        <v>1194.659050714011</v>
      </c>
      <c r="H1381" s="6" t="n">
        <v>37.67291194246872</v>
      </c>
      <c r="I1381" s="6" t="n">
        <v>104.9911891222096</v>
      </c>
    </row>
    <row r="1382">
      <c r="A1382" s="6" t="inlineStr">
        <is>
          <t>5 wt% Re | 250 C</t>
        </is>
      </c>
      <c r="B1382" s="8" t="n">
        <v>0.194</v>
      </c>
      <c r="C1382" s="6" t="n">
        <v>1657.503065880889</v>
      </c>
      <c r="D1382" s="6" t="n">
        <v>52690.70048269674</v>
      </c>
      <c r="E1382" s="8" t="n">
        <v>0.08745083069913928</v>
      </c>
      <c r="F1382" s="8" t="n">
        <v>0.07582625056252514</v>
      </c>
      <c r="G1382" s="6" t="n">
        <v>1196.441844865004</v>
      </c>
      <c r="H1382" s="6" t="n">
        <v>37.7212599488148</v>
      </c>
      <c r="I1382" s="6" t="n">
        <v>105.1155487240596</v>
      </c>
    </row>
    <row r="1383">
      <c r="A1383" s="6" t="inlineStr">
        <is>
          <t>5 wt% Re | 250 C</t>
        </is>
      </c>
      <c r="B1383" s="8" t="n">
        <v>0.195</v>
      </c>
      <c r="C1383" s="6" t="n">
        <v>1659.795907736059</v>
      </c>
      <c r="D1383" s="6" t="n">
        <v>52585.82601427655</v>
      </c>
      <c r="E1383" s="8" t="n">
        <v>0.08696412052515951</v>
      </c>
      <c r="F1383" s="8" t="n">
        <v>0.07538398799766631</v>
      </c>
      <c r="G1383" s="6" t="n">
        <v>1198.224639015996</v>
      </c>
      <c r="H1383" s="6" t="n">
        <v>37.76961206106897</v>
      </c>
      <c r="I1383" s="6" t="n">
        <v>105.2397755880204</v>
      </c>
    </row>
    <row r="1384">
      <c r="A1384" s="6" t="inlineStr">
        <is>
          <t>5 wt% Re | 250 C</t>
        </is>
      </c>
      <c r="B1384" s="8" t="n">
        <v>0.196</v>
      </c>
      <c r="C1384" s="6" t="n">
        <v>1662.088625097434</v>
      </c>
      <c r="D1384" s="6" t="n">
        <v>52481.45226066052</v>
      </c>
      <c r="E1384" s="8" t="n">
        <v>0.0864818652550727</v>
      </c>
      <c r="F1384" s="8" t="n">
        <v>0.07494577350356342</v>
      </c>
      <c r="G1384" s="6" t="n">
        <v>1200.007433166988</v>
      </c>
      <c r="H1384" s="6" t="n">
        <v>37.81796821638568</v>
      </c>
      <c r="I1384" s="6" t="n">
        <v>105.3638702382807</v>
      </c>
    </row>
    <row r="1385">
      <c r="A1385" s="6" t="inlineStr">
        <is>
          <t>5 wt% Re | 250 C</t>
        </is>
      </c>
      <c r="B1385" s="8" t="n">
        <v>0.197</v>
      </c>
      <c r="C1385" s="6" t="n">
        <v>1664.381218405922</v>
      </c>
      <c r="D1385" s="6" t="n">
        <v>52377.57159675006</v>
      </c>
      <c r="E1385" s="8" t="n">
        <v>0.08600400400329453</v>
      </c>
      <c r="F1385" s="8" t="n">
        <v>0.07451155175485832</v>
      </c>
      <c r="G1385" s="6" t="n">
        <v>1201.790227317981</v>
      </c>
      <c r="H1385" s="6" t="n">
        <v>37.86632835319547</v>
      </c>
      <c r="I1385" s="6" t="n">
        <v>105.487833196906</v>
      </c>
    </row>
    <row r="1386">
      <c r="A1386" s="6" t="inlineStr">
        <is>
          <t>5 wt% Re | 250 C</t>
        </is>
      </c>
      <c r="B1386" s="8" t="n">
        <v>0.198</v>
      </c>
      <c r="C1386" s="6" t="n">
        <v>1666.673688101712</v>
      </c>
      <c r="D1386" s="6" t="n">
        <v>52274.17655148906</v>
      </c>
      <c r="E1386" s="8" t="n">
        <v>0.0855304769887143</v>
      </c>
      <c r="F1386" s="8" t="n">
        <v>0.07408126842980314</v>
      </c>
      <c r="G1386" s="6" t="n">
        <v>1203.573021468974</v>
      </c>
      <c r="H1386" s="6" t="n">
        <v>37.91469241117268</v>
      </c>
      <c r="I1386" s="6" t="n">
        <v>105.6116649838033</v>
      </c>
    </row>
    <row r="1387">
      <c r="A1387" s="6" t="inlineStr">
        <is>
          <t>5 wt% Re | 250 C</t>
        </is>
      </c>
      <c r="B1387" s="8" t="n">
        <v>0.199</v>
      </c>
      <c r="C1387" s="6" t="n">
        <v>1668.966034624199</v>
      </c>
      <c r="D1387" s="6" t="n">
        <v>52171.25980399334</v>
      </c>
      <c r="E1387" s="8" t="n">
        <v>0.08506122550976376</v>
      </c>
      <c r="F1387" s="8" t="n">
        <v>0.07365487018760596</v>
      </c>
      <c r="G1387" s="6" t="n">
        <v>1205.355815619966</v>
      </c>
      <c r="H1387" s="6" t="n">
        <v>37.96306033120423</v>
      </c>
      <c r="I1387" s="6" t="n">
        <v>105.7353661166885</v>
      </c>
    </row>
    <row r="1388">
      <c r="A1388" s="6" t="inlineStr">
        <is>
          <t>5 wt% Re | 250 C</t>
        </is>
      </c>
      <c r="B1388" s="8" t="n">
        <v>0.2</v>
      </c>
      <c r="C1388" s="6" t="n">
        <v>1671.258258411925</v>
      </c>
      <c r="D1388" s="6" t="n">
        <v>52068.81417979646</v>
      </c>
      <c r="E1388" s="8" t="n">
        <v>0.0845961919201584</v>
      </c>
      <c r="F1388" s="8" t="n">
        <v>0.07323230464638734</v>
      </c>
      <c r="G1388" s="6" t="n">
        <v>1207.138609770959</v>
      </c>
      <c r="H1388" s="6" t="n">
        <v>38.01143205535929</v>
      </c>
      <c r="I1388" s="6" t="n">
        <v>105.8589371110563</v>
      </c>
    </row>
    <row r="1389">
      <c r="A1389" s="6" t="inlineStr">
        <is>
          <t>5 wt% Re | 250 C</t>
        </is>
      </c>
      <c r="B1389" s="8" t="n">
        <v>0.201</v>
      </c>
      <c r="C1389" s="6" t="n">
        <v>1673.550359902521</v>
      </c>
      <c r="D1389" s="6" t="n">
        <v>51966.83264720732</v>
      </c>
      <c r="E1389" s="8" t="n">
        <v>0.0841353196052898</v>
      </c>
      <c r="F1389" s="8" t="n">
        <v>0.07281352036172868</v>
      </c>
      <c r="G1389" s="6" t="n">
        <v>1208.921403921951</v>
      </c>
      <c r="H1389" s="6" t="n">
        <v>38.05980752685994</v>
      </c>
      <c r="I1389" s="6" t="n">
        <v>105.9823784801517</v>
      </c>
    </row>
    <row r="1390">
      <c r="A1390" s="6" t="inlineStr">
        <is>
          <t>5 wt% Re | 250 C</t>
        </is>
      </c>
      <c r="B1390" s="8" t="n">
        <v>0.202</v>
      </c>
      <c r="C1390" s="6" t="n">
        <v>1675.842339532644</v>
      </c>
      <c r="D1390" s="6" t="n">
        <v>51865.30831377636</v>
      </c>
      <c r="E1390" s="8" t="n">
        <v>0.08367855295924916</v>
      </c>
      <c r="F1390" s="8" t="n">
        <v>0.07239846680579398</v>
      </c>
      <c r="G1390" s="6" t="n">
        <v>1210.704198072943</v>
      </c>
      <c r="H1390" s="6" t="n">
        <v>38.10818669005249</v>
      </c>
      <c r="I1390" s="6" t="n">
        <v>106.1056907349444</v>
      </c>
    </row>
    <row r="1391">
      <c r="A1391" s="6" t="inlineStr">
        <is>
          <t>5 wt% Re | 250 C</t>
        </is>
      </c>
      <c r="B1391" s="8" t="n">
        <v>0.203</v>
      </c>
      <c r="C1391" s="6" t="n">
        <v>1678.134197737928</v>
      </c>
      <c r="D1391" s="6" t="n">
        <v>51764.23442286575</v>
      </c>
      <c r="E1391" s="8" t="n">
        <v>0.08322583736246163</v>
      </c>
      <c r="F1391" s="8" t="n">
        <v>0.07198709434700669</v>
      </c>
      <c r="G1391" s="6" t="n">
        <v>1212.486992223936</v>
      </c>
      <c r="H1391" s="6" t="n">
        <v>38.15656949037994</v>
      </c>
      <c r="I1391" s="6" t="n">
        <v>106.2288743841042</v>
      </c>
    </row>
    <row r="1392">
      <c r="A1392" s="6" t="inlineStr">
        <is>
          <t>5 wt% Re | 250 C</t>
        </is>
      </c>
      <c r="B1392" s="8" t="n">
        <v>0.204</v>
      </c>
      <c r="C1392" s="6" t="n">
        <v>1680.425934952928</v>
      </c>
      <c r="D1392" s="6" t="n">
        <v>51663.60435032078</v>
      </c>
      <c r="E1392" s="8" t="n">
        <v>0.08277711915991387</v>
      </c>
      <c r="F1392" s="8" t="n">
        <v>0.07157935423026557</v>
      </c>
      <c r="G1392" s="6" t="n">
        <v>1214.269786374928</v>
      </c>
      <c r="H1392" s="6" t="n">
        <v>38.204955874355</v>
      </c>
      <c r="I1392" s="6" t="n">
        <v>106.3519299339792</v>
      </c>
    </row>
    <row r="1393">
      <c r="A1393" s="6" t="inlineStr">
        <is>
          <t>5 wt% Re | 250 C</t>
        </is>
      </c>
      <c r="B1393" s="8" t="n">
        <v>0.205</v>
      </c>
      <c r="C1393" s="6" t="n">
        <v>1682.717551611077</v>
      </c>
      <c r="D1393" s="6" t="n">
        <v>51563.41160123856</v>
      </c>
      <c r="E1393" s="8" t="n">
        <v>0.08233234563995506</v>
      </c>
      <c r="F1393" s="8" t="n">
        <v>0.07117519855768155</v>
      </c>
      <c r="G1393" s="6" t="n">
        <v>1216.052580525921</v>
      </c>
      <c r="H1393" s="6" t="n">
        <v>38.25334578953406</v>
      </c>
      <c r="I1393" s="6" t="n">
        <v>106.4748578885749</v>
      </c>
    </row>
    <row r="1394">
      <c r="A1394" s="6" t="inlineStr">
        <is>
          <t>5 wt% Re | 250 C</t>
        </is>
      </c>
      <c r="B1394" s="8" t="n">
        <v>0.206</v>
      </c>
      <c r="C1394" s="6" t="n">
        <v>1685.009048144635</v>
      </c>
      <c r="D1394" s="6" t="n">
        <v>51463.64980683077</v>
      </c>
      <c r="E1394" s="8" t="n">
        <v>0.08189146501365503</v>
      </c>
      <c r="F1394" s="8" t="n">
        <v>0.07077458026982116</v>
      </c>
      <c r="G1394" s="6" t="n">
        <v>1217.835374676913</v>
      </c>
      <c r="H1394" s="6" t="n">
        <v>38.30173918449181</v>
      </c>
      <c r="I1394" s="6" t="n">
        <v>106.597658749536</v>
      </c>
    </row>
    <row r="1395">
      <c r="A1395" s="6" t="inlineStr">
        <is>
          <t>5 wt% Re | 250 C</t>
        </is>
      </c>
      <c r="B1395" s="8" t="n">
        <v>0.207</v>
      </c>
      <c r="C1395" s="6" t="n">
        <v>1687.300424984642</v>
      </c>
      <c r="D1395" s="6" t="n">
        <v>51364.31272137749</v>
      </c>
      <c r="E1395" s="8" t="n">
        <v>0.08145442639470198</v>
      </c>
      <c r="F1395" s="8" t="n">
        <v>0.07037745312743976</v>
      </c>
      <c r="G1395" s="6" t="n">
        <v>1219.618168827905</v>
      </c>
      <c r="H1395" s="6" t="n">
        <v>38.35013600879667</v>
      </c>
      <c r="I1395" s="6" t="n">
        <v>106.7203330161287</v>
      </c>
    </row>
    <row r="1396">
      <c r="A1396" s="6" t="inlineStr">
        <is>
          <t>5 wt% Re | 250 C</t>
        </is>
      </c>
      <c r="B1396" s="8" t="n">
        <v>0.208</v>
      </c>
      <c r="C1396" s="6" t="n">
        <v>1689.591682560886</v>
      </c>
      <c r="D1396" s="6" t="n">
        <v>51265.39421926883</v>
      </c>
      <c r="E1396" s="8" t="n">
        <v>0.08102117977982307</v>
      </c>
      <c r="F1396" s="8" t="n">
        <v>0.06998377169369041</v>
      </c>
      <c r="G1396" s="6" t="n">
        <v>1221.400962978898</v>
      </c>
      <c r="H1396" s="6" t="n">
        <v>38.3985362129869</v>
      </c>
      <c r="I1396" s="6" t="n">
        <v>106.8428811852257</v>
      </c>
    </row>
    <row r="1397">
      <c r="A1397" s="6" t="inlineStr">
        <is>
          <t>5 wt% Re | 250 C</t>
        </is>
      </c>
      <c r="B1397" s="8" t="n">
        <v>0.209</v>
      </c>
      <c r="C1397" s="6" t="n">
        <v>1691.882821301854</v>
      </c>
      <c r="D1397" s="6" t="n">
        <v>51166.88829213139</v>
      </c>
      <c r="E1397" s="8" t="n">
        <v>0.08059167602971301</v>
      </c>
      <c r="F1397" s="8" t="n">
        <v>0.06959349131679399</v>
      </c>
      <c r="G1397" s="6" t="n">
        <v>1223.18375712989</v>
      </c>
      <c r="H1397" s="6" t="n">
        <v>38.44693974854742</v>
      </c>
      <c r="I1397" s="6" t="n">
        <v>106.965303751292</v>
      </c>
    </row>
    <row r="1398">
      <c r="A1398" s="6" t="inlineStr">
        <is>
          <t>5 wt% Re | 250 C</t>
        </is>
      </c>
      <c r="B1398" s="8" t="n">
        <v>0.21</v>
      </c>
      <c r="C1398" s="6" t="n">
        <v>1694.1738416347</v>
      </c>
      <c r="D1398" s="6" t="n">
        <v>51068.78904603702</v>
      </c>
      <c r="E1398" s="8" t="n">
        <v>0.08016586685045449</v>
      </c>
      <c r="F1398" s="8" t="n">
        <v>0.06920656811315629</v>
      </c>
      <c r="G1398" s="6" t="n">
        <v>1224.966551280883</v>
      </c>
      <c r="H1398" s="6" t="n">
        <v>38.49534656788722</v>
      </c>
      <c r="I1398" s="6" t="n">
        <v>107.0876012063718</v>
      </c>
    </row>
    <row r="1399">
      <c r="A1399" s="6" t="inlineStr">
        <is>
          <t>5 wt% Re | 250 C</t>
        </is>
      </c>
      <c r="B1399" s="8" t="n">
        <v>0.211</v>
      </c>
      <c r="C1399" s="6" t="n">
        <v>1696.464743985208</v>
      </c>
      <c r="D1399" s="6" t="n">
        <v>50971.09069879079</v>
      </c>
      <c r="E1399" s="8" t="n">
        <v>0.07974370477541592</v>
      </c>
      <c r="F1399" s="8" t="n">
        <v>0.06882295895091914</v>
      </c>
      <c r="G1399" s="6" t="n">
        <v>1226.749345431875</v>
      </c>
      <c r="H1399" s="6" t="n">
        <v>38.54375662431747</v>
      </c>
      <c r="I1399" s="6" t="n">
        <v>107.209774040078</v>
      </c>
    </row>
    <row r="1400">
      <c r="A1400" s="6" t="inlineStr">
        <is>
          <t>5 wt% Re | 250 C</t>
        </is>
      </c>
      <c r="B1400" s="8" t="n">
        <v>0.212</v>
      </c>
      <c r="C1400" s="6" t="n">
        <v>1698.755528777758</v>
      </c>
      <c r="D1400" s="6" t="n">
        <v>50873.78757729581</v>
      </c>
      <c r="E1400" s="8" t="n">
        <v>0.07932514314761267</v>
      </c>
      <c r="F1400" s="8" t="n">
        <v>0.06844262143393219</v>
      </c>
      <c r="G1400" s="6" t="n">
        <v>1228.532139582868</v>
      </c>
      <c r="H1400" s="6" t="n">
        <v>38.59216987203031</v>
      </c>
      <c r="I1400" s="6" t="n">
        <v>107.3318227395816</v>
      </c>
    </row>
    <row r="1401">
      <c r="A1401" s="6" t="inlineStr">
        <is>
          <t>5 wt% Re | 250 C</t>
        </is>
      </c>
      <c r="B1401" s="8" t="n">
        <v>0.213</v>
      </c>
      <c r="C1401" s="6" t="n">
        <v>1701.046196435297</v>
      </c>
      <c r="D1401" s="6" t="n">
        <v>50776.87411499219</v>
      </c>
      <c r="E1401" s="8" t="n">
        <v>0.07891013610251739</v>
      </c>
      <c r="F1401" s="8" t="n">
        <v>0.06806551388613323</v>
      </c>
      <c r="G1401" s="6" t="n">
        <v>1230.31493373386</v>
      </c>
      <c r="H1401" s="6" t="n">
        <v>38.6405862660781</v>
      </c>
      <c r="I1401" s="6" t="n">
        <v>107.4537477896032</v>
      </c>
    </row>
    <row r="1402">
      <c r="A1402" s="6" t="inlineStr">
        <is>
          <t>5 wt% Re | 250 C</t>
        </is>
      </c>
      <c r="B1402" s="8" t="n">
        <v>0.214</v>
      </c>
      <c r="C1402" s="6" t="n">
        <v>1703.336747379305</v>
      </c>
      <c r="D1402" s="6" t="n">
        <v>50680.3448493679</v>
      </c>
      <c r="E1402" s="8" t="n">
        <v>0.07849863855130657</v>
      </c>
      <c r="F1402" s="8" t="n">
        <v>0.06769159533632459</v>
      </c>
      <c r="G1402" s="6" t="n">
        <v>1232.097727884852</v>
      </c>
      <c r="H1402" s="6" t="n">
        <v>38.68900576235333</v>
      </c>
      <c r="I1402" s="6" t="n">
        <v>107.5755496724054</v>
      </c>
    </row>
    <row r="1403">
      <c r="A1403" s="6" t="inlineStr">
        <is>
          <t>5 wt% Re | 250 C</t>
        </is>
      </c>
      <c r="B1403" s="8" t="n">
        <v>0.215</v>
      </c>
      <c r="C1403" s="6" t="n">
        <v>1705.627182029771</v>
      </c>
      <c r="D1403" s="6" t="n">
        <v>50584.19441953905</v>
      </c>
      <c r="E1403" s="8" t="n">
        <v>0.07809060616453029</v>
      </c>
      <c r="F1403" s="8" t="n">
        <v>0.06732082550333431</v>
      </c>
      <c r="G1403" s="6" t="n">
        <v>1233.880522035845</v>
      </c>
      <c r="H1403" s="6" t="n">
        <v>38.73742831756911</v>
      </c>
      <c r="I1403" s="6" t="n">
        <v>107.6972288677862</v>
      </c>
    </row>
    <row r="1404">
      <c r="A1404" s="6" t="inlineStr">
        <is>
          <t>5 wt% Re | 250 C</t>
        </is>
      </c>
      <c r="B1404" s="8" t="n">
        <v>0.216</v>
      </c>
      <c r="C1404" s="6" t="n">
        <v>1707.917500805165</v>
      </c>
      <c r="D1404" s="6" t="n">
        <v>50488.41756389736</v>
      </c>
      <c r="E1404" s="8" t="n">
        <v>0.07768599535619276</v>
      </c>
      <c r="F1404" s="8" t="n">
        <v>0.06695316478155046</v>
      </c>
      <c r="G1404" s="6" t="n">
        <v>1235.663316186838</v>
      </c>
      <c r="H1404" s="6" t="n">
        <v>38.78585388924014</v>
      </c>
      <c r="I1404" s="6" t="n">
        <v>107.8187858530736</v>
      </c>
    </row>
    <row r="1405">
      <c r="A1405" s="6" t="inlineStr">
        <is>
          <t>5 wt% Re | 250 C</t>
        </is>
      </c>
      <c r="B1405" s="8" t="n">
        <v>0.217</v>
      </c>
      <c r="C1405" s="6" t="n">
        <v>1710.207704122411</v>
      </c>
      <c r="D1405" s="6" t="n">
        <v>50393.00911782274</v>
      </c>
      <c r="E1405" s="8" t="n">
        <v>0.07728476326823186</v>
      </c>
      <c r="F1405" s="8" t="n">
        <v>0.06658857422681792</v>
      </c>
      <c r="G1405" s="6" t="n">
        <v>1237.44611033783</v>
      </c>
      <c r="H1405" s="6" t="n">
        <v>38.83428243566431</v>
      </c>
      <c r="I1405" s="6" t="n">
        <v>107.9402211031214</v>
      </c>
    </row>
    <row r="1406">
      <c r="A1406" s="6" t="inlineStr">
        <is>
          <t>5 wt% Re | 250 C</t>
        </is>
      </c>
      <c r="B1406" s="8" t="n">
        <v>0.218</v>
      </c>
      <c r="C1406" s="6" t="n">
        <v>1712.497792396871</v>
      </c>
      <c r="D1406" s="6" t="n">
        <v>50297.96401145875</v>
      </c>
      <c r="E1406" s="8" t="n">
        <v>0.0768868677553855</v>
      </c>
      <c r="F1406" s="8" t="n">
        <v>0.06622701554268701</v>
      </c>
      <c r="G1406" s="6" t="n">
        <v>1239.228904488823</v>
      </c>
      <c r="H1406" s="6" t="n">
        <v>38.88271391590462</v>
      </c>
      <c r="I1406" s="6" t="n">
        <v>108.0615350903055</v>
      </c>
    </row>
    <row r="1407">
      <c r="A1407" s="6" t="inlineStr">
        <is>
          <t>5 wt% Re | 250 C</t>
        </is>
      </c>
      <c r="B1407" s="8" t="n">
        <v>0.219</v>
      </c>
      <c r="C1407" s="6" t="n">
        <v>1714.787766042313</v>
      </c>
      <c r="D1407" s="6" t="n">
        <v>50203.2772675491</v>
      </c>
      <c r="E1407" s="8" t="n">
        <v>0.07649226737043435</v>
      </c>
      <c r="F1407" s="8" t="n">
        <v>0.06586845106700373</v>
      </c>
      <c r="G1407" s="6" t="n">
        <v>1241.011698639815</v>
      </c>
      <c r="H1407" s="6" t="n">
        <v>38.93114828977181</v>
      </c>
      <c r="I1407" s="6" t="n">
        <v>108.1827282845215</v>
      </c>
    </row>
    <row r="1408">
      <c r="A1408" s="6" t="inlineStr">
        <is>
          <t>5 wt% Re | 250 C</t>
        </is>
      </c>
      <c r="B1408" s="8" t="n">
        <v>0.22</v>
      </c>
      <c r="C1408" s="6" t="n">
        <v>1717.077625470896</v>
      </c>
      <c r="D1408" s="6" t="n">
        <v>50108.94399933305</v>
      </c>
      <c r="E1408" s="8" t="n">
        <v>0.07610092134980939</v>
      </c>
      <c r="F1408" s="8" t="n">
        <v>0.06551284375883171</v>
      </c>
      <c r="G1408" s="6" t="n">
        <v>1242.794492790807</v>
      </c>
      <c r="H1408" s="6" t="n">
        <v>38.97958551780733</v>
      </c>
      <c r="I1408" s="6" t="n">
        <v>108.3038011531833</v>
      </c>
    </row>
    <row r="1409">
      <c r="A1409" s="6" t="inlineStr">
        <is>
          <t>5 wt% Re | 250 C</t>
        </is>
      </c>
      <c r="B1409" s="8" t="n">
        <v>0.221</v>
      </c>
      <c r="C1409" s="6" t="n">
        <v>1719.367371093154</v>
      </c>
      <c r="D1409" s="6" t="n">
        <v>50014.95940849798</v>
      </c>
      <c r="E1409" s="8" t="n">
        <v>0.07571278959955438</v>
      </c>
      <c r="F1409" s="8" t="n">
        <v>0.06516015718569658</v>
      </c>
      <c r="G1409" s="6" t="n">
        <v>1244.5772869418</v>
      </c>
      <c r="H1409" s="6" t="n">
        <v>39.02802556126684</v>
      </c>
      <c r="I1409" s="6" t="n">
        <v>108.4247541612218</v>
      </c>
    </row>
    <row r="1410">
      <c r="A1410" s="6" t="inlineStr">
        <is>
          <t>5 wt% Re | 250 C</t>
        </is>
      </c>
      <c r="B1410" s="8" t="n">
        <v>0.222</v>
      </c>
      <c r="C1410" s="6" t="n">
        <v>1721.657003317971</v>
      </c>
      <c r="D1410" s="6" t="n">
        <v>49921.31878318743</v>
      </c>
      <c r="E1410" s="8" t="n">
        <v>0.07532783268163251</v>
      </c>
      <c r="F1410" s="8" t="n">
        <v>0.06481035551114324</v>
      </c>
      <c r="G1410" s="6" t="n">
        <v>1246.360081092792</v>
      </c>
      <c r="H1410" s="6" t="n">
        <v>39.07646838210402</v>
      </c>
      <c r="I1410" s="6" t="n">
        <v>108.5455877710853</v>
      </c>
    </row>
    <row r="1411">
      <c r="A1411" s="6" t="inlineStr">
        <is>
          <t>5 wt% Re | 250 C</t>
        </is>
      </c>
      <c r="B1411" s="8" t="n">
        <v>0.223</v>
      </c>
      <c r="C1411" s="6" t="n">
        <v>1723.94652255257</v>
      </c>
      <c r="D1411" s="6" t="n">
        <v>49828.0174960625</v>
      </c>
      <c r="E1411" s="8" t="n">
        <v>0.07494601180056794</v>
      </c>
      <c r="F1411" s="8" t="n">
        <v>0.0644634034825972</v>
      </c>
      <c r="G1411" s="6" t="n">
        <v>1248.142875243785</v>
      </c>
      <c r="H1411" s="6" t="n">
        <v>39.1249139429551</v>
      </c>
      <c r="I1411" s="6" t="n">
        <v>108.6663024427401</v>
      </c>
    </row>
    <row r="1412">
      <c r="A1412" s="6" t="inlineStr">
        <is>
          <t>5 wt% Re | 250 C</t>
        </is>
      </c>
      <c r="B1412" s="8" t="n">
        <v>0.224</v>
      </c>
      <c r="C1412" s="6" t="n">
        <v>1726.235929202493</v>
      </c>
      <c r="D1412" s="6" t="n">
        <v>49735.05100241533</v>
      </c>
      <c r="E1412" s="8" t="n">
        <v>0.07456728879041229</v>
      </c>
      <c r="F1412" s="8" t="n">
        <v>0.06411926641952144</v>
      </c>
      <c r="G1412" s="6" t="n">
        <v>1249.925669394777</v>
      </c>
      <c r="H1412" s="6" t="n">
        <v>39.17336220712344</v>
      </c>
      <c r="I1412" s="6" t="n">
        <v>108.786898633672</v>
      </c>
    </row>
    <row r="1413">
      <c r="A1413" s="6" t="inlineStr">
        <is>
          <t>5 wt% Re | 250 C</t>
        </is>
      </c>
      <c r="B1413" s="8" t="n">
        <v>0.225</v>
      </c>
      <c r="C1413" s="6" t="n">
        <v>1728.525223671593</v>
      </c>
      <c r="D1413" s="6" t="n">
        <v>49642.41483833288</v>
      </c>
      <c r="E1413" s="8" t="n">
        <v>0.07419162610202729</v>
      </c>
      <c r="F1413" s="8" t="n">
        <v>0.06377791020186034</v>
      </c>
      <c r="G1413" s="6" t="n">
        <v>1251.70846354577</v>
      </c>
      <c r="H1413" s="6" t="n">
        <v>39.2218131385648</v>
      </c>
      <c r="I1413" s="6" t="n">
        <v>108.9073767988884</v>
      </c>
    </row>
    <row r="1414">
      <c r="A1414" s="6" t="inlineStr">
        <is>
          <t>5 wt% Re | 250 C</t>
        </is>
      </c>
      <c r="B1414" s="8" t="n">
        <v>0.226</v>
      </c>
      <c r="C1414" s="6" t="n">
        <v>1730.814406362013</v>
      </c>
      <c r="D1414" s="6" t="n">
        <v>49550.10461890945</v>
      </c>
      <c r="E1414" s="8" t="n">
        <v>0.07381898679067435</v>
      </c>
      <c r="F1414" s="8" t="n">
        <v>0.06343930125876267</v>
      </c>
      <c r="G1414" s="6" t="n">
        <v>1253.491257696762</v>
      </c>
      <c r="H1414" s="6" t="n">
        <v>39.27026670187292</v>
      </c>
      <c r="I1414" s="6" t="n">
        <v>109.0277373909212</v>
      </c>
    </row>
    <row r="1415">
      <c r="A1415" s="6" t="inlineStr">
        <is>
          <t>5 wt% Re | 250 C</t>
        </is>
      </c>
      <c r="B1415" s="8" t="n">
        <v>0.227</v>
      </c>
      <c r="C1415" s="6" t="n">
        <v>1733.103477674178</v>
      </c>
      <c r="D1415" s="6" t="n">
        <v>49458.11603650635</v>
      </c>
      <c r="E1415" s="8" t="n">
        <v>0.07344933450390255</v>
      </c>
      <c r="F1415" s="8" t="n">
        <v>0.06310340655757563</v>
      </c>
      <c r="G1415" s="6" t="n">
        <v>1255.274051847754</v>
      </c>
      <c r="H1415" s="6" t="n">
        <v>39.3187228622654</v>
      </c>
      <c r="I1415" s="6" t="n">
        <v>109.1479808598301</v>
      </c>
    </row>
    <row r="1416">
      <c r="A1416" s="6" t="inlineStr">
        <is>
          <t>5 wt% Re | 250 C</t>
        </is>
      </c>
      <c r="B1416" s="8" t="n">
        <v>0.228</v>
      </c>
      <c r="C1416" s="6" t="n">
        <v>1735.392438006786</v>
      </c>
      <c r="D1416" s="6" t="n">
        <v>49366.44485905752</v>
      </c>
      <c r="E1416" s="8" t="n">
        <v>0.07308263346972688</v>
      </c>
      <c r="F1416" s="8" t="n">
        <v>0.06277019359310272</v>
      </c>
      <c r="G1416" s="6" t="n">
        <v>1257.056845998747</v>
      </c>
      <c r="H1416" s="6" t="n">
        <v>39.36718158557009</v>
      </c>
      <c r="I1416" s="6" t="n">
        <v>109.2681076532067</v>
      </c>
    </row>
    <row r="1417">
      <c r="A1417" s="6" t="inlineStr">
        <is>
          <t>5 wt% Re | 250 C</t>
        </is>
      </c>
      <c r="B1417" s="8" t="n">
        <v>0.229</v>
      </c>
      <c r="C1417" s="6" t="n">
        <v>1737.68128775679</v>
      </c>
      <c r="D1417" s="6" t="n">
        <v>49275.08692841949</v>
      </c>
      <c r="E1417" s="8" t="n">
        <v>0.07271884848508824</v>
      </c>
      <c r="F1417" s="8" t="n">
        <v>0.06243963037711764</v>
      </c>
      <c r="G1417" s="6" t="n">
        <v>1258.839640149739</v>
      </c>
      <c r="H1417" s="6" t="n">
        <v>39.41564283821172</v>
      </c>
      <c r="I1417" s="6" t="n">
        <v>109.3881182161791</v>
      </c>
    </row>
    <row r="1418">
      <c r="A1418" s="6" t="inlineStr">
        <is>
          <t>5 wt% Re | 250 C</t>
        </is>
      </c>
      <c r="B1418" s="8" t="n">
        <v>0.23</v>
      </c>
      <c r="C1418" s="6" t="n">
        <v>1739.970027319398</v>
      </c>
      <c r="D1418" s="6" t="n">
        <v>49184.03815876426</v>
      </c>
      <c r="E1418" s="8" t="n">
        <v>0.07235794490458806</v>
      </c>
      <c r="F1418" s="8" t="n">
        <v>0.06211168542812758</v>
      </c>
      <c r="G1418" s="6" t="n">
        <v>1260.622434300732</v>
      </c>
      <c r="H1418" s="6" t="n">
        <v>39.46410658719893</v>
      </c>
      <c r="I1418" s="6" t="n">
        <v>109.5080129914167</v>
      </c>
    </row>
    <row r="1419">
      <c r="A1419" s="6" t="inlineStr">
        <is>
          <t>5 wt% Re | 250 C</t>
        </is>
      </c>
      <c r="B1419" s="8" t="n">
        <v>0.231</v>
      </c>
      <c r="C1419" s="6" t="n">
        <v>1742.258657088058</v>
      </c>
      <c r="D1419" s="6" t="n">
        <v>49093.29453501415</v>
      </c>
      <c r="E1419" s="8" t="n">
        <v>0.07199988862948913</v>
      </c>
      <c r="F1419" s="8" t="n">
        <v>0.06178632776137859</v>
      </c>
      <c r="G1419" s="6" t="n">
        <v>1262.405228451724</v>
      </c>
      <c r="H1419" s="6" t="n">
        <v>39.51257280011168</v>
      </c>
      <c r="I1419" s="6" t="n">
        <v>109.6277924191364</v>
      </c>
    </row>
    <row r="1420">
      <c r="A1420" s="6" t="inlineStr">
        <is>
          <t>5 wt% Re | 250 C</t>
        </is>
      </c>
      <c r="B1420" s="8" t="n">
        <v>0.232</v>
      </c>
      <c r="C1420" s="6" t="n">
        <v>1744.54717745445</v>
      </c>
      <c r="D1420" s="6" t="n">
        <v>49002.85211131692</v>
      </c>
      <c r="E1420" s="8" t="n">
        <v>0.07164464609697596</v>
      </c>
      <c r="F1420" s="8" t="n">
        <v>0.06146352687909675</v>
      </c>
      <c r="G1420" s="6" t="n">
        <v>1264.188022602717</v>
      </c>
      <c r="H1420" s="6" t="n">
        <v>39.56104144508883</v>
      </c>
      <c r="I1420" s="6" t="n">
        <v>109.7474569371079</v>
      </c>
    </row>
    <row r="1421">
      <c r="A1421" s="6" t="inlineStr">
        <is>
          <t>5 wt% Re | 250 C</t>
        </is>
      </c>
      <c r="B1421" s="8" t="n">
        <v>0.233</v>
      </c>
      <c r="C1421" s="6" t="n">
        <v>1746.835588808484</v>
      </c>
      <c r="D1421" s="6" t="n">
        <v>48912.7070095603</v>
      </c>
      <c r="E1421" s="8" t="n">
        <v>0.07129218426966732</v>
      </c>
      <c r="F1421" s="8" t="n">
        <v>0.06114325276095838</v>
      </c>
      <c r="G1421" s="6" t="n">
        <v>1265.970816753709</v>
      </c>
      <c r="H1421" s="6" t="n">
        <v>39.60951249081624</v>
      </c>
      <c r="I1421" s="6" t="n">
        <v>109.8670069806609</v>
      </c>
    </row>
    <row r="1422">
      <c r="A1422" s="6" t="inlineStr">
        <is>
          <t>5 wt% Re | 250 C</t>
        </is>
      </c>
      <c r="B1422" s="8" t="n">
        <v>0.234</v>
      </c>
      <c r="C1422" s="6" t="n">
        <v>1749.123891538289</v>
      </c>
      <c r="D1422" s="6" t="n">
        <v>48822.85541792456</v>
      </c>
      <c r="E1422" s="8" t="n">
        <v>0.07094247062537404</v>
      </c>
      <c r="F1422" s="8" t="n">
        <v>0.06082547585478321</v>
      </c>
      <c r="G1422" s="6" t="n">
        <v>1267.753610904701</v>
      </c>
      <c r="H1422" s="6" t="n">
        <v>39.65798590651509</v>
      </c>
      <c r="I1422" s="6" t="n">
        <v>109.9864429826917</v>
      </c>
    </row>
    <row r="1423">
      <c r="A1423" s="6" t="inlineStr">
        <is>
          <t>5 wt% Re | 250 C</t>
        </is>
      </c>
      <c r="B1423" s="8" t="n">
        <v>0.235</v>
      </c>
      <c r="C1423" s="6" t="n">
        <v>1751.412086030212</v>
      </c>
      <c r="D1423" s="6" t="n">
        <v>48733.29358947197</v>
      </c>
      <c r="E1423" s="8" t="n">
        <v>0.07059547314709549</v>
      </c>
      <c r="F1423" s="8" t="n">
        <v>0.06051016706744441</v>
      </c>
      <c r="G1423" s="6" t="n">
        <v>1269.536405055694</v>
      </c>
      <c r="H1423" s="6" t="n">
        <v>39.7064616619304</v>
      </c>
      <c r="I1423" s="6" t="n">
        <v>110.1057653736707</v>
      </c>
    </row>
    <row r="1424">
      <c r="A1424" s="6" t="inlineStr">
        <is>
          <t>5 wt% Re | 250 C</t>
        </is>
      </c>
      <c r="B1424" s="8" t="n">
        <v>0.236</v>
      </c>
      <c r="C1424" s="6" t="n">
        <v>1753.700172668805</v>
      </c>
      <c r="D1424" s="6" t="n">
        <v>48644.01784077225</v>
      </c>
      <c r="E1424" s="8" t="n">
        <v>0.07025116031324834</v>
      </c>
      <c r="F1424" s="8" t="n">
        <v>0.0601972977559897</v>
      </c>
      <c r="G1424" s="6" t="n">
        <v>1271.319199206687</v>
      </c>
      <c r="H1424" s="6" t="n">
        <v>39.75493972732004</v>
      </c>
      <c r="I1424" s="6" t="n">
        <v>110.2249745816498</v>
      </c>
    </row>
    <row r="1425">
      <c r="A1425" s="6" t="inlineStr">
        <is>
          <t>5 wt% Re | 250 C</t>
        </is>
      </c>
      <c r="B1425" s="8" t="n">
        <v>0.237</v>
      </c>
      <c r="C1425" s="6" t="n">
        <v>1755.988151836834</v>
      </c>
      <c r="D1425" s="6" t="n">
        <v>48555.0245505627</v>
      </c>
      <c r="E1425" s="8" t="n">
        <v>0.0699095010881209</v>
      </c>
      <c r="F1425" s="8" t="n">
        <v>0.05988683971896742</v>
      </c>
      <c r="G1425" s="6" t="n">
        <v>1273.101993357679</v>
      </c>
      <c r="H1425" s="6" t="n">
        <v>39.8034200734438</v>
      </c>
      <c r="I1425" s="6" t="n">
        <v>110.3440710322712</v>
      </c>
    </row>
    <row r="1426">
      <c r="A1426" s="6" t="inlineStr">
        <is>
          <t>5 wt% Re | 250 C</t>
        </is>
      </c>
      <c r="B1426" s="8" t="n">
        <v>0.238</v>
      </c>
      <c r="C1426" s="6" t="n">
        <v>1758.276023915262</v>
      </c>
      <c r="D1426" s="6" t="n">
        <v>48466.31015844217</v>
      </c>
      <c r="E1426" s="8" t="n">
        <v>0.06957046491254787</v>
      </c>
      <c r="F1426" s="8" t="n">
        <v>0.05957876518795281</v>
      </c>
      <c r="G1426" s="6" t="n">
        <v>1274.884787508672</v>
      </c>
      <c r="H1426" s="6" t="n">
        <v>39.85190267155293</v>
      </c>
      <c r="I1426" s="6" t="n">
        <v>110.4630551487751</v>
      </c>
    </row>
    <row r="1427">
      <c r="A1427" s="6" t="inlineStr">
        <is>
          <t>5 wt% Re | 250 C</t>
        </is>
      </c>
      <c r="B1427" s="8" t="n">
        <v>0.239</v>
      </c>
      <c r="C1427" s="6" t="n">
        <v>1760.563789283253</v>
      </c>
      <c r="D1427" s="6" t="n">
        <v>48377.87116359785</v>
      </c>
      <c r="E1427" s="8" t="n">
        <v>0.06923402169479857</v>
      </c>
      <c r="F1427" s="8" t="n">
        <v>0.05927304681926848</v>
      </c>
      <c r="G1427" s="6" t="n">
        <v>1276.667581659664</v>
      </c>
      <c r="H1427" s="6" t="n">
        <v>39.90038749337987</v>
      </c>
      <c r="I1427" s="6" t="n">
        <v>110.5819273520089</v>
      </c>
    </row>
    <row r="1428">
      <c r="A1428" s="6" t="inlineStr">
        <is>
          <t>5 wt% Re | 250 C</t>
        </is>
      </c>
      <c r="B1428" s="8" t="n">
        <v>0.24</v>
      </c>
      <c r="C1428" s="6" t="n">
        <v>1762.851448318172</v>
      </c>
      <c r="D1428" s="6" t="n">
        <v>48289.70412356376</v>
      </c>
      <c r="E1428" s="8" t="n">
        <v>0.06890014180167356</v>
      </c>
      <c r="F1428" s="8" t="n">
        <v>0.05896965768589402</v>
      </c>
      <c r="G1428" s="6" t="n">
        <v>1278.450375810656</v>
      </c>
      <c r="H1428" s="6" t="n">
        <v>39.9488745111281</v>
      </c>
      <c r="I1428" s="6" t="n">
        <v>110.7006880604363</v>
      </c>
    </row>
    <row r="1429">
      <c r="A1429" s="6" t="inlineStr">
        <is>
          <t>5 wt% Re | 250 C</t>
        </is>
      </c>
      <c r="B1429" s="8" t="n">
        <v>0.241</v>
      </c>
      <c r="C1429" s="6" t="n">
        <v>1765.139001395579</v>
      </c>
      <c r="D1429" s="6" t="n">
        <v>48201.80565301034</v>
      </c>
      <c r="E1429" s="8" t="n">
        <v>0.06856879604980415</v>
      </c>
      <c r="F1429" s="8" t="n">
        <v>0.05866857126956007</v>
      </c>
      <c r="G1429" s="6" t="n">
        <v>1280.233169961649</v>
      </c>
      <c r="H1429" s="6" t="n">
        <v>39.99736369746253</v>
      </c>
      <c r="I1429" s="6" t="n">
        <v>110.8193376901463</v>
      </c>
    </row>
    <row r="1430">
      <c r="A1430" s="6" t="inlineStr">
        <is>
          <t>5 wt% Re | 250 C</t>
        </is>
      </c>
      <c r="B1430" s="8" t="n">
        <v>0.242</v>
      </c>
      <c r="C1430" s="6" t="n">
        <v>1767.426448889226</v>
      </c>
      <c r="D1430" s="6" t="n">
        <v>48114.17242256385</v>
      </c>
      <c r="E1430" s="8" t="n">
        <v>0.06823995569714908</v>
      </c>
      <c r="F1430" s="8" t="n">
        <v>0.05836976145302158</v>
      </c>
      <c r="G1430" s="6" t="n">
        <v>1282.015964112641</v>
      </c>
      <c r="H1430" s="6" t="n">
        <v>40.04585502549985</v>
      </c>
      <c r="I1430" s="6" t="n">
        <v>110.9378766548632</v>
      </c>
    </row>
    <row r="1431">
      <c r="A1431" s="6" t="inlineStr">
        <is>
          <t>5 wt% Re | 250 C</t>
        </is>
      </c>
      <c r="B1431" s="8" t="n">
        <v>0.243</v>
      </c>
      <c r="C1431" s="6" t="n">
        <v>1769.713791171062</v>
      </c>
      <c r="D1431" s="6" t="n">
        <v>48026.80115765505</v>
      </c>
      <c r="E1431" s="8" t="n">
        <v>0.06791359243468348</v>
      </c>
      <c r="F1431" s="8" t="n">
        <v>0.05807320251250574</v>
      </c>
      <c r="G1431" s="6" t="n">
        <v>1283.798758263634</v>
      </c>
      <c r="H1431" s="6" t="n">
        <v>40.09434846879928</v>
      </c>
      <c r="I1431" s="6" t="n">
        <v>111.0563053659565</v>
      </c>
    </row>
    <row r="1432">
      <c r="A1432" s="6" t="inlineStr">
        <is>
          <t>5 wt% Re | 250 C</t>
        </is>
      </c>
      <c r="B1432" s="8" t="n">
        <v>0.244</v>
      </c>
      <c r="C1432" s="6" t="n">
        <v>1772.00102861123</v>
      </c>
      <c r="D1432" s="6" t="n">
        <v>47939.68863739622</v>
      </c>
      <c r="E1432" s="8" t="n">
        <v>0.06758967837827491</v>
      </c>
      <c r="F1432" s="8" t="n">
        <v>0.05777886911032985</v>
      </c>
      <c r="G1432" s="6" t="n">
        <v>1285.581552414626</v>
      </c>
      <c r="H1432" s="6" t="n">
        <v>40.1428440013535</v>
      </c>
      <c r="I1432" s="6" t="n">
        <v>111.1746242324506</v>
      </c>
    </row>
    <row r="1433">
      <c r="A1433" s="6" t="inlineStr">
        <is>
          <t>5 wt% Re | 250 C</t>
        </is>
      </c>
      <c r="B1433" s="8" t="n">
        <v>0.245</v>
      </c>
      <c r="C1433" s="6" t="n">
        <v>1774.288161578065</v>
      </c>
      <c r="D1433" s="6" t="n">
        <v>47852.83169348549</v>
      </c>
      <c r="E1433" s="8" t="n">
        <v>0.06726818606074156</v>
      </c>
      <c r="F1433" s="8" t="n">
        <v>0.05748673628768492</v>
      </c>
      <c r="G1433" s="6" t="n">
        <v>1287.364346565619</v>
      </c>
      <c r="H1433" s="6" t="n">
        <v>40.19134159757981</v>
      </c>
      <c r="I1433" s="6" t="n">
        <v>111.2928336610357</v>
      </c>
    </row>
    <row r="1434">
      <c r="A1434" s="6" t="inlineStr">
        <is>
          <t>5 wt% Re | 250 C</t>
        </is>
      </c>
      <c r="B1434" s="8" t="n">
        <v>0.246</v>
      </c>
      <c r="C1434" s="6" t="n">
        <v>1776.575190438101</v>
      </c>
      <c r="D1434" s="6" t="n">
        <v>47766.22720913814</v>
      </c>
      <c r="E1434" s="8" t="n">
        <v>0.06694908842408787</v>
      </c>
      <c r="F1434" s="8" t="n">
        <v>0.0571967794575803</v>
      </c>
      <c r="G1434" s="6" t="n">
        <v>1289.147140716611</v>
      </c>
      <c r="H1434" s="6" t="n">
        <v>40.23984123231147</v>
      </c>
      <c r="I1434" s="6" t="n">
        <v>111.4109340560779</v>
      </c>
    </row>
    <row r="1435">
      <c r="A1435" s="6" t="inlineStr">
        <is>
          <t>5 wt% Re | 250 C</t>
        </is>
      </c>
      <c r="B1435" s="8" t="n">
        <v>0.247</v>
      </c>
      <c r="C1435" s="6" t="n">
        <v>1778.862115556065</v>
      </c>
      <c r="D1435" s="6" t="n">
        <v>47679.87211804369</v>
      </c>
      <c r="E1435" s="8" t="n">
        <v>0.0666323588119134</v>
      </c>
      <c r="F1435" s="8" t="n">
        <v>0.05690897439794568</v>
      </c>
      <c r="G1435" s="6" t="n">
        <v>1290.929934867604</v>
      </c>
      <c r="H1435" s="6" t="n">
        <v>40.2883428807893</v>
      </c>
      <c r="I1435" s="6" t="n">
        <v>111.5289258196304</v>
      </c>
    </row>
    <row r="1436">
      <c r="A1436" s="6" t="inlineStr">
        <is>
          <t>5 wt% Re | 250 C</t>
        </is>
      </c>
      <c r="B1436" s="8" t="n">
        <v>0.248</v>
      </c>
      <c r="C1436" s="6" t="n">
        <v>1781.148937294882</v>
      </c>
      <c r="D1436" s="6" t="n">
        <v>47593.76340334828</v>
      </c>
      <c r="E1436" s="8" t="n">
        <v>0.06631797096198945</v>
      </c>
      <c r="F1436" s="8" t="n">
        <v>0.0566232972448858</v>
      </c>
      <c r="G1436" s="6" t="n">
        <v>1292.712729018596</v>
      </c>
      <c r="H1436" s="6" t="n">
        <v>40.33684651865348</v>
      </c>
      <c r="I1436" s="6" t="n">
        <v>111.6468093514442</v>
      </c>
    </row>
    <row r="1437">
      <c r="A1437" s="6" t="inlineStr">
        <is>
          <t>5 wt% Re | 250 C</t>
        </is>
      </c>
      <c r="B1437" s="8" t="n">
        <v>0.249</v>
      </c>
      <c r="C1437" s="6" t="n">
        <v>1783.435656015678</v>
      </c>
      <c r="D1437" s="6" t="n">
        <v>47507.89809666153</v>
      </c>
      <c r="E1437" s="8" t="n">
        <v>0.06600589899900021</v>
      </c>
      <c r="F1437" s="8" t="n">
        <v>0.05633972448608441</v>
      </c>
      <c r="G1437" s="6" t="n">
        <v>1294.495523169589</v>
      </c>
      <c r="H1437" s="6" t="n">
        <v>40.38535212193548</v>
      </c>
      <c r="I1437" s="6" t="n">
        <v>111.764585048979</v>
      </c>
    </row>
    <row r="1438">
      <c r="A1438" s="6" t="inlineStr">
        <is>
          <t>5 wt% Re | 250 C</t>
        </is>
      </c>
      <c r="B1438" s="8" t="n">
        <v>0.25</v>
      </c>
      <c r="C1438" s="6" t="n">
        <v>1785.722272077781</v>
      </c>
      <c r="D1438" s="6" t="n">
        <v>47422.27327708736</v>
      </c>
      <c r="E1438" s="8" t="n">
        <v>0.06569611742744358</v>
      </c>
      <c r="F1438" s="8" t="n">
        <v>0.0560582329543534</v>
      </c>
      <c r="G1438" s="6" t="n">
        <v>1296.278317320581</v>
      </c>
      <c r="H1438" s="6" t="n">
        <v>40.43385966705031</v>
      </c>
      <c r="I1438" s="6" t="n">
        <v>111.8822533074151</v>
      </c>
    </row>
    <row r="1439">
      <c r="A1439" s="6" t="inlineStr">
        <is>
          <t>5 wt% Re | 250 C</t>
        </is>
      </c>
      <c r="B1439" s="8" t="n">
        <v>0.251</v>
      </c>
      <c r="C1439" s="6" t="n">
        <v>1788.008785838721</v>
      </c>
      <c r="D1439" s="6" t="n">
        <v>47336.8860702778</v>
      </c>
      <c r="E1439" s="8" t="n">
        <v>0.06538860112468767</v>
      </c>
      <c r="F1439" s="8" t="n">
        <v>0.05577879982132342</v>
      </c>
      <c r="G1439" s="6" t="n">
        <v>1298.061111471573</v>
      </c>
      <c r="H1439" s="6" t="n">
        <v>40.48236913078879</v>
      </c>
      <c r="I1439" s="6" t="n">
        <v>111.9998145196641</v>
      </c>
    </row>
    <row r="1440">
      <c r="A1440" s="6" t="inlineStr">
        <is>
          <t>5 wt% Re | 250 C</t>
        </is>
      </c>
      <c r="B1440" s="8" t="n">
        <v>0.252</v>
      </c>
      <c r="C1440" s="6" t="n">
        <v>1790.295197654241</v>
      </c>
      <c r="D1440" s="6" t="n">
        <v>47251.73364750948</v>
      </c>
      <c r="E1440" s="8" t="n">
        <v>0.06508332533417924</v>
      </c>
      <c r="F1440" s="8" t="n">
        <v>0.05550140259127255</v>
      </c>
      <c r="G1440" s="6" t="n">
        <v>1299.843905622566</v>
      </c>
      <c r="H1440" s="6" t="n">
        <v>40.53088049031017</v>
      </c>
      <c r="I1440" s="6" t="n">
        <v>112.1172690763812</v>
      </c>
    </row>
    <row r="1441">
      <c r="A1441" s="6" t="inlineStr">
        <is>
          <t>5 wt% Re | 250 C</t>
        </is>
      </c>
      <c r="B1441" s="8" t="n">
        <v>0.253</v>
      </c>
      <c r="C1441" s="6" t="n">
        <v>1792.581507878288</v>
      </c>
      <c r="D1441" s="6" t="n">
        <v>47166.81322478189</v>
      </c>
      <c r="E1441" s="8" t="n">
        <v>0.06478026565879971</v>
      </c>
      <c r="F1441" s="8" t="n">
        <v>0.05522601909508905</v>
      </c>
      <c r="G1441" s="6" t="n">
        <v>1301.626699773558</v>
      </c>
      <c r="H1441" s="6" t="n">
        <v>40.57939372313483</v>
      </c>
      <c r="I1441" s="6" t="n">
        <v>112.2346173659762</v>
      </c>
    </row>
    <row r="1442">
      <c r="A1442" s="6" t="inlineStr">
        <is>
          <t>5 wt% Re | 250 C</t>
        </is>
      </c>
      <c r="B1442" s="8" t="n">
        <v>0.254</v>
      </c>
      <c r="C1442" s="6" t="n">
        <v>1794.867716863031</v>
      </c>
      <c r="D1442" s="6" t="n">
        <v>47082.12206193707</v>
      </c>
      <c r="E1442" s="8" t="n">
        <v>0.06447939805436591</v>
      </c>
      <c r="F1442" s="8" t="n">
        <v>0.05495262748436559</v>
      </c>
      <c r="G1442" s="6" t="n">
        <v>1303.409493924551</v>
      </c>
      <c r="H1442" s="6" t="n">
        <v>40.62790880713711</v>
      </c>
      <c r="I1442" s="6" t="n">
        <v>112.3518597746259</v>
      </c>
    </row>
    <row r="1443">
      <c r="A1443" s="6" t="inlineStr">
        <is>
          <t>5 wt% Re | 250 C</t>
        </is>
      </c>
      <c r="B1443" s="8" t="n">
        <v>0.255</v>
      </c>
      <c r="C1443" s="6" t="n">
        <v>1797.15382495885</v>
      </c>
      <c r="D1443" s="6" t="n">
        <v>46997.65746179996</v>
      </c>
      <c r="E1443" s="8" t="n">
        <v>0.06418069882327061</v>
      </c>
      <c r="F1443" s="8" t="n">
        <v>0.05468120622562065</v>
      </c>
      <c r="G1443" s="6" t="n">
        <v>1305.192288075543</v>
      </c>
      <c r="H1443" s="6" t="n">
        <v>40.67642572053845</v>
      </c>
      <c r="I1443" s="6" t="n">
        <v>112.4689966862857</v>
      </c>
    </row>
    <row r="1444">
      <c r="A1444" s="6" t="inlineStr">
        <is>
          <t>5 wt% Re | 250 C</t>
        </is>
      </c>
      <c r="B1444" s="8" t="n">
        <v>0.256</v>
      </c>
      <c r="C1444" s="6" t="n">
        <v>1799.439832514355</v>
      </c>
      <c r="D1444" s="6" t="n">
        <v>46913.41676933878</v>
      </c>
      <c r="E1444" s="8" t="n">
        <v>0.06388414460826079</v>
      </c>
      <c r="F1444" s="8" t="n">
        <v>0.05441173409464484</v>
      </c>
      <c r="G1444" s="6" t="n">
        <v>1306.975082226536</v>
      </c>
      <c r="H1444" s="6" t="n">
        <v>40.72494444190062</v>
      </c>
      <c r="I1444" s="6" t="n">
        <v>112.5860284827018</v>
      </c>
    </row>
    <row r="1445">
      <c r="A1445" s="6" t="inlineStr">
        <is>
          <t>5 wt% Re | 250 C</t>
        </is>
      </c>
      <c r="B1445" s="8" t="n">
        <v>0.257</v>
      </c>
      <c r="C1445" s="6" t="n">
        <v>1801.725739876377</v>
      </c>
      <c r="D1445" s="6" t="n">
        <v>46829.39737084528</v>
      </c>
      <c r="E1445" s="8" t="n">
        <v>0.0635897123863489</v>
      </c>
      <c r="F1445" s="8" t="n">
        <v>0.0541441901709683</v>
      </c>
      <c r="G1445" s="6" t="n">
        <v>1308.757876377528</v>
      </c>
      <c r="H1445" s="6" t="n">
        <v>40.77346495011899</v>
      </c>
      <c r="I1445" s="6" t="n">
        <v>112.702955543423</v>
      </c>
    </row>
    <row r="1446">
      <c r="A1446" s="6" t="inlineStr">
        <is>
          <t>5 wt% Re | 250 C</t>
        </is>
      </c>
      <c r="B1446" s="8" t="n">
        <v>0.258</v>
      </c>
      <c r="C1446" s="6" t="n">
        <v>1804.011547389983</v>
      </c>
      <c r="D1446" s="6" t="n">
        <v>46745.59669313379</v>
      </c>
      <c r="E1446" s="8" t="n">
        <v>0.0632973794628547</v>
      </c>
      <c r="F1446" s="8" t="n">
        <v>0.05387855383244664</v>
      </c>
      <c r="G1446" s="6" t="n">
        <v>1310.54067052852</v>
      </c>
      <c r="H1446" s="6" t="n">
        <v>40.82198722441616</v>
      </c>
      <c r="I1446" s="6" t="n">
        <v>112.8197782458133</v>
      </c>
    </row>
    <row r="1447">
      <c r="A1447" s="6" t="inlineStr">
        <is>
          <t>5 wt% Re | 250 C</t>
        </is>
      </c>
      <c r="B1447" s="8" t="n">
        <v>0.259</v>
      </c>
      <c r="C1447" s="6" t="n">
        <v>1806.297255398477</v>
      </c>
      <c r="D1447" s="6" t="n">
        <v>46662.01220275896</v>
      </c>
      <c r="E1447" s="8" t="n">
        <v>0.06300712346557395</v>
      </c>
      <c r="F1447" s="8" t="n">
        <v>0.05361480474996214</v>
      </c>
      <c r="G1447" s="6" t="n">
        <v>1312.323464679513</v>
      </c>
      <c r="H1447" s="6" t="n">
        <v>40.87051124433563</v>
      </c>
      <c r="I1447" s="6" t="n">
        <v>112.9364969650642</v>
      </c>
    </row>
    <row r="1448">
      <c r="A1448" s="6" t="inlineStr">
        <is>
          <t>5 wt% Re | 250 C</t>
        </is>
      </c>
      <c r="B1448" s="8" t="n">
        <v>0.26</v>
      </c>
      <c r="C1448" s="6" t="n">
        <v>1808.582864243401</v>
      </c>
      <c r="D1448" s="6" t="n">
        <v>46578.6414052515</v>
      </c>
      <c r="E1448" s="8" t="n">
        <v>0.06271892233907098</v>
      </c>
      <c r="F1448" s="8" t="n">
        <v>0.05335292288223748</v>
      </c>
      <c r="G1448" s="6" t="n">
        <v>1314.106258830505</v>
      </c>
      <c r="H1448" s="6" t="n">
        <v>40.91903698973559</v>
      </c>
      <c r="I1448" s="6" t="n">
        <v>113.0531120742065</v>
      </c>
    </row>
    <row r="1449">
      <c r="A1449" s="6" t="inlineStr">
        <is>
          <t>5 wt% Re | 250 C</t>
        </is>
      </c>
      <c r="B1449" s="8" t="n">
        <v>0.261</v>
      </c>
      <c r="C1449" s="6" t="n">
        <v>1810.86837426455</v>
      </c>
      <c r="D1449" s="6" t="n">
        <v>46495.48184437157</v>
      </c>
      <c r="E1449" s="8" t="n">
        <v>0.06243275433909205</v>
      </c>
      <c r="F1449" s="8" t="n">
        <v>0.05309288847075945</v>
      </c>
      <c r="G1449" s="6" t="n">
        <v>1315.889052981498</v>
      </c>
      <c r="H1449" s="6" t="n">
        <v>40.96756444078294</v>
      </c>
      <c r="I1449" s="6" t="n">
        <v>113.1696239441232</v>
      </c>
    </row>
    <row r="1450">
      <c r="A1450" s="6" t="inlineStr">
        <is>
          <t>5 wt% Re | 250 C</t>
        </is>
      </c>
      <c r="B1450" s="8" t="n">
        <v>0.262</v>
      </c>
      <c r="C1450" s="6" t="n">
        <v>1813.153785799968</v>
      </c>
      <c r="D1450" s="6" t="n">
        <v>46412.53110137917</v>
      </c>
      <c r="E1450" s="8" t="n">
        <v>0.06214859802709651</v>
      </c>
      <c r="F1450" s="8" t="n">
        <v>0.05283468203480936</v>
      </c>
      <c r="G1450" s="6" t="n">
        <v>1317.67184713249</v>
      </c>
      <c r="H1450" s="6" t="n">
        <v>41.01609357794734</v>
      </c>
      <c r="I1450" s="6" t="n">
        <v>113.286032943562</v>
      </c>
    </row>
    <row r="1451">
      <c r="A1451" s="6" t="inlineStr">
        <is>
          <t>5 wt% Re | 250 C</t>
        </is>
      </c>
      <c r="B1451" s="8" t="n">
        <v>0.263</v>
      </c>
      <c r="C1451" s="6" t="n">
        <v>1815.439099185958</v>
      </c>
      <c r="D1451" s="6" t="n">
        <v>46329.78679432118</v>
      </c>
      <c r="E1451" s="8" t="n">
        <v>0.06186643226490297</v>
      </c>
      <c r="F1451" s="8" t="n">
        <v>0.0525782843665982</v>
      </c>
      <c r="G1451" s="6" t="n">
        <v>1319.454641283482</v>
      </c>
      <c r="H1451" s="6" t="n">
        <v>41.06462438199557</v>
      </c>
      <c r="I1451" s="6" t="n">
        <v>113.4023394391475</v>
      </c>
    </row>
    <row r="1452">
      <c r="A1452" s="6" t="inlineStr">
        <is>
          <t>5 wt% Re | 250 C</t>
        </is>
      </c>
      <c r="B1452" s="8" t="n">
        <v>0.264</v>
      </c>
      <c r="C1452" s="6" t="n">
        <v>1817.724314757092</v>
      </c>
      <c r="D1452" s="6" t="n">
        <v>46247.24657733474</v>
      </c>
      <c r="E1452" s="8" t="n">
        <v>0.06158623620944745</v>
      </c>
      <c r="F1452" s="8" t="n">
        <v>0.05232367652650354</v>
      </c>
      <c r="G1452" s="6" t="n">
        <v>1321.237435434475</v>
      </c>
      <c r="H1452" s="6" t="n">
        <v>41.11315683398574</v>
      </c>
      <c r="I1452" s="6" t="n">
        <v>113.518543795394</v>
      </c>
    </row>
    <row r="1453">
      <c r="A1453" s="6" t="inlineStr">
        <is>
          <t>5 wt% Re | 250 C</t>
        </is>
      </c>
      <c r="B1453" s="8" t="n">
        <v>0.265</v>
      </c>
      <c r="C1453" s="6" t="n">
        <v>1820.009432846208</v>
      </c>
      <c r="D1453" s="6" t="n">
        <v>46164.9081399662</v>
      </c>
      <c r="E1453" s="8" t="n">
        <v>0.06130798930765095</v>
      </c>
      <c r="F1453" s="8" t="n">
        <v>0.05207083983840576</v>
      </c>
      <c r="G1453" s="6" t="n">
        <v>1323.020229585468</v>
      </c>
      <c r="H1453" s="6" t="n">
        <v>41.1616909152619</v>
      </c>
      <c r="I1453" s="6" t="n">
        <v>113.6346463747178</v>
      </c>
    </row>
    <row r="1454">
      <c r="A1454" s="6" t="inlineStr">
        <is>
          <t>5 wt% Re | 250 C</t>
        </is>
      </c>
      <c r="B1454" s="8" t="n">
        <v>0.266</v>
      </c>
      <c r="C1454" s="6" t="n">
        <v>1822.294453784424</v>
      </c>
      <c r="D1454" s="6" t="n">
        <v>46082.76920650558</v>
      </c>
      <c r="E1454" s="8" t="n">
        <v>0.06103167129139406</v>
      </c>
      <c r="F1454" s="8" t="n">
        <v>0.05181975588512157</v>
      </c>
      <c r="G1454" s="6" t="n">
        <v>1324.80302373646</v>
      </c>
      <c r="H1454" s="6" t="n">
        <v>41.21022660744866</v>
      </c>
      <c r="I1454" s="6" t="n">
        <v>113.75064753745</v>
      </c>
    </row>
    <row r="1455">
      <c r="A1455" s="6" t="inlineStr">
        <is>
          <t>5 wt% Re | 250 C</t>
        </is>
      </c>
      <c r="B1455" s="8" t="n">
        <v>0.267</v>
      </c>
      <c r="C1455" s="6" t="n">
        <v>1824.579377901141</v>
      </c>
      <c r="D1455" s="6" t="n">
        <v>46000.82753533593</v>
      </c>
      <c r="E1455" s="8" t="n">
        <v>0.06075726217259508</v>
      </c>
      <c r="F1455" s="8" t="n">
        <v>0.05157040650393167</v>
      </c>
      <c r="G1455" s="6" t="n">
        <v>1326.585817887452</v>
      </c>
      <c r="H1455" s="6" t="n">
        <v>41.25876389244586</v>
      </c>
      <c r="I1455" s="6" t="n">
        <v>113.8665476418494</v>
      </c>
    </row>
    <row r="1456">
      <c r="A1456" s="6" t="inlineStr">
        <is>
          <t>5 wt% Re | 250 C</t>
        </is>
      </c>
      <c r="B1456" s="8" t="n">
        <v>0.268</v>
      </c>
      <c r="C1456" s="6" t="n">
        <v>1826.864205524053</v>
      </c>
      <c r="D1456" s="6" t="n">
        <v>45919.08091829732</v>
      </c>
      <c r="E1456" s="8" t="n">
        <v>0.06048474223839054</v>
      </c>
      <c r="F1456" s="8" t="n">
        <v>0.05132277378220134</v>
      </c>
      <c r="G1456" s="6" t="n">
        <v>1328.368612038445</v>
      </c>
      <c r="H1456" s="6" t="n">
        <v>41.30730275242358</v>
      </c>
      <c r="I1456" s="6" t="n">
        <v>113.9823470441147</v>
      </c>
    </row>
    <row r="1457">
      <c r="A1457" s="6" t="inlineStr">
        <is>
          <t>5 wt% Re | 250 C</t>
        </is>
      </c>
      <c r="B1457" s="8" t="n">
        <v>0.269</v>
      </c>
      <c r="C1457" s="6" t="n">
        <v>1829.148936979148</v>
      </c>
      <c r="D1457" s="6" t="n">
        <v>45837.5271800648</v>
      </c>
      <c r="E1457" s="8" t="n">
        <v>0.06021409204641444</v>
      </c>
      <c r="F1457" s="8" t="n">
        <v>0.05107684005309079</v>
      </c>
      <c r="G1457" s="6" t="n">
        <v>1330.151406189437</v>
      </c>
      <c r="H1457" s="6" t="n">
        <v>41.35584316981696</v>
      </c>
      <c r="I1457" s="6" t="n">
        <v>114.0980460983973</v>
      </c>
    </row>
    <row r="1458">
      <c r="A1458" s="6" t="inlineStr">
        <is>
          <t>5 wt% Re | 250 C</t>
        </is>
      </c>
      <c r="B1458" s="8" t="n">
        <v>0.27</v>
      </c>
      <c r="C1458" s="6" t="n">
        <v>1831.433572590721</v>
      </c>
      <c r="D1458" s="6" t="n">
        <v>45756.16417754056</v>
      </c>
      <c r="E1458" s="8" t="n">
        <v>0.05994529242017426</v>
      </c>
      <c r="F1458" s="8" t="n">
        <v>0.05083258789135353</v>
      </c>
      <c r="G1458" s="6" t="n">
        <v>1331.93420034043</v>
      </c>
      <c r="H1458" s="6" t="n">
        <v>41.40438512732137</v>
      </c>
      <c r="I1458" s="6" t="n">
        <v>114.2136451568142</v>
      </c>
    </row>
    <row r="1459">
      <c r="A1459" s="6" t="inlineStr">
        <is>
          <t>5 wt% Re | 250 C</t>
        </is>
      </c>
      <c r="B1459" s="8" t="n">
        <v>0.271</v>
      </c>
      <c r="C1459" s="6" t="n">
        <v>1833.718112681375</v>
      </c>
      <c r="D1459" s="6" t="n">
        <v>45674.9897992592</v>
      </c>
      <c r="E1459" s="8" t="n">
        <v>0.059678324444522</v>
      </c>
      <c r="F1459" s="8" t="n">
        <v>0.05059000010922091</v>
      </c>
      <c r="G1459" s="6" t="n">
        <v>1333.716994491422</v>
      </c>
      <c r="H1459" s="6" t="n">
        <v>41.45292860788764</v>
      </c>
      <c r="I1459" s="6" t="n">
        <v>114.3291445694604</v>
      </c>
    </row>
    <row r="1460">
      <c r="A1460" s="6" t="inlineStr">
        <is>
          <t>5 wt% Re | 250 C</t>
        </is>
      </c>
      <c r="B1460" s="8" t="n">
        <v>0.272</v>
      </c>
      <c r="C1460" s="6" t="n">
        <v>1836.002557572034</v>
      </c>
      <c r="D1460" s="6" t="n">
        <v>45594.00196480627</v>
      </c>
      <c r="E1460" s="8" t="n">
        <v>0.05941316946121696</v>
      </c>
      <c r="F1460" s="8" t="n">
        <v>0.05034905975237015</v>
      </c>
      <c r="G1460" s="6" t="n">
        <v>1335.499788642415</v>
      </c>
      <c r="H1460" s="6" t="n">
        <v>41.50147359471726</v>
      </c>
      <c r="I1460" s="6" t="n">
        <v>114.4445446844219</v>
      </c>
    </row>
    <row r="1461">
      <c r="A1461" s="6" t="inlineStr">
        <is>
          <t>5 wt% Re | 250 C</t>
        </is>
      </c>
      <c r="B1461" s="8" t="n">
        <v>0.273</v>
      </c>
      <c r="C1461" s="6" t="n">
        <v>1838.286907581948</v>
      </c>
      <c r="D1461" s="6" t="n">
        <v>45513.19862424961</v>
      </c>
      <c r="E1461" s="8" t="n">
        <v>0.05914980906457889</v>
      </c>
      <c r="F1461" s="8" t="n">
        <v>0.05010975009597445</v>
      </c>
      <c r="G1461" s="6" t="n">
        <v>1337.282582793407</v>
      </c>
      <c r="H1461" s="6" t="n">
        <v>41.55002007125792</v>
      </c>
      <c r="I1461" s="6" t="n">
        <v>114.5598458477878</v>
      </c>
    </row>
    <row r="1462">
      <c r="A1462" s="6" t="inlineStr">
        <is>
          <t>5 wt% Re | 250 C</t>
        </is>
      </c>
      <c r="B1462" s="8" t="n">
        <v>0.274</v>
      </c>
      <c r="C1462" s="6" t="n">
        <v>1840.571163028699</v>
      </c>
      <c r="D1462" s="6" t="n">
        <v>45432.57775758299</v>
      </c>
      <c r="E1462" s="8" t="n">
        <v>0.05888822509722901</v>
      </c>
      <c r="F1462" s="8" t="n">
        <v>0.04987205464083297</v>
      </c>
      <c r="G1462" s="6" t="n">
        <v>1339.0653769444</v>
      </c>
      <c r="H1462" s="6" t="n">
        <v>41.59856802119889</v>
      </c>
      <c r="I1462" s="6" t="n">
        <v>114.675048403664</v>
      </c>
    </row>
    <row r="1463">
      <c r="A1463" s="6" t="inlineStr">
        <is>
          <t>5 wt% Re | 250 C</t>
        </is>
      </c>
      <c r="B1463" s="8" t="n">
        <v>0.275</v>
      </c>
      <c r="C1463" s="6" t="n">
        <v>1842.855324228209</v>
      </c>
      <c r="D1463" s="6" t="n">
        <v>45352.13737418223</v>
      </c>
      <c r="E1463" s="8" t="n">
        <v>0.05862839964591698</v>
      </c>
      <c r="F1463" s="8" t="n">
        <v>0.04963595710957892</v>
      </c>
      <c r="G1463" s="6" t="n">
        <v>1340.848171095392</v>
      </c>
      <c r="H1463" s="6" t="n">
        <v>41.64711742846672</v>
      </c>
      <c r="I1463" s="6" t="n">
        <v>114.7901526941846</v>
      </c>
    </row>
    <row r="1464">
      <c r="A1464" s="6" t="inlineStr">
        <is>
          <t>5 wt% Re | 250 C</t>
        </is>
      </c>
      <c r="B1464" s="8" t="n">
        <v>0.276</v>
      </c>
      <c r="C1464" s="6" t="n">
        <v>1845.139391494749</v>
      </c>
      <c r="D1464" s="6" t="n">
        <v>45271.87551227267</v>
      </c>
      <c r="E1464" s="8" t="n">
        <v>0.05837031503743175</v>
      </c>
      <c r="F1464" s="8" t="n">
        <v>0.04940144144296371</v>
      </c>
      <c r="G1464" s="6" t="n">
        <v>1342.630965246384</v>
      </c>
      <c r="H1464" s="6" t="n">
        <v>41.69566827722089</v>
      </c>
      <c r="I1464" s="6" t="n">
        <v>114.9051590595255</v>
      </c>
    </row>
    <row r="1465">
      <c r="A1465" s="6" t="inlineStr">
        <is>
          <t>5 wt% Re | 250 C</t>
        </is>
      </c>
      <c r="B1465" s="8" t="n">
        <v>0.277</v>
      </c>
      <c r="C1465" s="6" t="n">
        <v>1847.423365140946</v>
      </c>
      <c r="D1465" s="6" t="n">
        <v>45191.79023840856</v>
      </c>
      <c r="E1465" s="8" t="n">
        <v>0.05811395383459421</v>
      </c>
      <c r="F1465" s="8" t="n">
        <v>0.04916849179621576</v>
      </c>
      <c r="G1465" s="6" t="n">
        <v>1344.413759397377</v>
      </c>
      <c r="H1465" s="6" t="n">
        <v>41.74422055184965</v>
      </c>
      <c r="I1465" s="6" t="n">
        <v>115.0200678379167</v>
      </c>
    </row>
    <row r="1466">
      <c r="A1466" s="6" t="inlineStr">
        <is>
          <t>5 wt% Re | 250 C</t>
        </is>
      </c>
      <c r="B1466" s="8" t="n">
        <v>0.278</v>
      </c>
      <c r="C1466" s="6" t="n">
        <v>1849.70724547779</v>
      </c>
      <c r="D1466" s="6" t="n">
        <v>45111.87964696351</v>
      </c>
      <c r="E1466" s="8" t="n">
        <v>0.05785929883232999</v>
      </c>
      <c r="F1466" s="8" t="n">
        <v>0.04893709253547177</v>
      </c>
      <c r="G1466" s="6" t="n">
        <v>1346.19655354837</v>
      </c>
      <c r="H1466" s="6" t="n">
        <v>41.79277423696588</v>
      </c>
      <c r="I1466" s="6" t="n">
        <v>115.1348793656549</v>
      </c>
    </row>
    <row r="1467">
      <c r="A1467" s="6" t="inlineStr">
        <is>
          <t>5 wt% Re | 250 C</t>
        </is>
      </c>
      <c r="B1467" s="8" t="n">
        <v>0.279</v>
      </c>
      <c r="C1467" s="6" t="n">
        <v>1851.991032814643</v>
      </c>
      <c r="D1467" s="6" t="n">
        <v>45032.14185963192</v>
      </c>
      <c r="E1467" s="8" t="n">
        <v>0.05760633305382042</v>
      </c>
      <c r="F1467" s="8" t="n">
        <v>0.04870722823427925</v>
      </c>
      <c r="G1467" s="6" t="n">
        <v>1347.979347699362</v>
      </c>
      <c r="H1467" s="6" t="n">
        <v>41.841329317403</v>
      </c>
      <c r="I1467" s="6" t="n">
        <v>115.2495939771159</v>
      </c>
    </row>
    <row r="1468">
      <c r="A1468" s="6" t="inlineStr">
        <is>
          <t>5 wt% Re | 250 C</t>
        </is>
      </c>
      <c r="B1468" s="8" t="n">
        <v>0.28</v>
      </c>
      <c r="C1468" s="6" t="n">
        <v>1854.274727459245</v>
      </c>
      <c r="D1468" s="6" t="n">
        <v>44952.57502494116</v>
      </c>
      <c r="E1468" s="8" t="n">
        <v>0.05735503974672965</v>
      </c>
      <c r="F1468" s="8" t="n">
        <v>0.04847888367016819</v>
      </c>
      <c r="G1468" s="6" t="n">
        <v>1349.762141850354</v>
      </c>
      <c r="H1468" s="6" t="n">
        <v>41.88988577821119</v>
      </c>
      <c r="I1468" s="6" t="n">
        <v>115.3642120047676</v>
      </c>
    </row>
    <row r="1469">
      <c r="A1469" s="6" t="inlineStr">
        <is>
          <t>5 wt% Re | 250 C</t>
        </is>
      </c>
      <c r="B1469" s="8" t="n">
        <v>0.281</v>
      </c>
      <c r="C1469" s="6" t="n">
        <v>1856.558329717724</v>
      </c>
      <c r="D1469" s="6" t="n">
        <v>44873.17731777411</v>
      </c>
      <c r="E1469" s="8" t="n">
        <v>0.05710540237950654</v>
      </c>
      <c r="F1469" s="8" t="n">
        <v>0.04825204382129073</v>
      </c>
      <c r="G1469" s="6" t="n">
        <v>1351.544936001347</v>
      </c>
      <c r="H1469" s="6" t="n">
        <v>41.93844360465336</v>
      </c>
      <c r="I1469" s="6" t="n">
        <v>115.4787337791822</v>
      </c>
    </row>
    <row r="1470">
      <c r="A1470" s="6" t="inlineStr">
        <is>
          <t>5 wt% Re | 250 C</t>
        </is>
      </c>
      <c r="B1470" s="8" t="n">
        <v>0.282</v>
      </c>
      <c r="C1470" s="6" t="n">
        <v>1858.841839894602</v>
      </c>
      <c r="D1470" s="6" t="n">
        <v>44793.94693890172</v>
      </c>
      <c r="E1470" s="8" t="n">
        <v>0.05685740463775943</v>
      </c>
      <c r="F1470" s="8" t="n">
        <v>0.04802669386312686</v>
      </c>
      <c r="G1470" s="6" t="n">
        <v>1353.327730152339</v>
      </c>
      <c r="H1470" s="6" t="n">
        <v>41.98700278220151</v>
      </c>
      <c r="I1470" s="6" t="n">
        <v>115.5931596290488</v>
      </c>
    </row>
    <row r="1471">
      <c r="A1471" s="6" t="inlineStr">
        <is>
          <t>5 wt% Re | 250 C</t>
        </is>
      </c>
      <c r="B1471" s="8" t="n">
        <v>0.283</v>
      </c>
      <c r="C1471" s="6" t="n">
        <v>1861.125258292806</v>
      </c>
      <c r="D1471" s="6" t="n">
        <v>44714.88211452588</v>
      </c>
      <c r="E1471" s="8" t="n">
        <v>0.05661103042070195</v>
      </c>
      <c r="F1471" s="8" t="n">
        <v>0.0478028191652549</v>
      </c>
      <c r="G1471" s="6" t="n">
        <v>1355.110524303332</v>
      </c>
      <c r="H1471" s="6" t="n">
        <v>42.03556329653296</v>
      </c>
      <c r="I1471" s="6" t="n">
        <v>115.7074898811856</v>
      </c>
    </row>
    <row r="1472">
      <c r="A1472" s="6" t="inlineStr">
        <is>
          <t>5 wt% Re | 250 C</t>
        </is>
      </c>
      <c r="B1472" s="8" t="n">
        <v>0.284</v>
      </c>
      <c r="C1472" s="6" t="n">
        <v>1863.408585213672</v>
      </c>
      <c r="D1472" s="6" t="n">
        <v>44635.98109583141</v>
      </c>
      <c r="E1472" s="8" t="n">
        <v>0.05636626383766847</v>
      </c>
      <c r="F1472" s="8" t="n">
        <v>0.04758040528818518</v>
      </c>
      <c r="G1472" s="6" t="n">
        <v>1356.893318454324</v>
      </c>
      <c r="H1472" s="6" t="n">
        <v>42.08412513352674</v>
      </c>
      <c r="I1472" s="6" t="n">
        <v>115.8217248605527</v>
      </c>
    </row>
    <row r="1473">
      <c r="A1473" s="6" t="inlineStr">
        <is>
          <t>5 wt% Re | 250 C</t>
        </is>
      </c>
      <c r="B1473" s="8" t="n">
        <v>0.285</v>
      </c>
      <c r="C1473" s="6" t="n">
        <v>1865.691820956959</v>
      </c>
      <c r="D1473" s="6" t="n">
        <v>44557.24215854807</v>
      </c>
      <c r="E1473" s="8" t="n">
        <v>0.05612308920469763</v>
      </c>
      <c r="F1473" s="8" t="n">
        <v>0.04735943798025553</v>
      </c>
      <c r="G1473" s="6" t="n">
        <v>1358.676112605317</v>
      </c>
      <c r="H1473" s="6" t="n">
        <v>42.1326882792601</v>
      </c>
      <c r="I1473" s="6" t="n">
        <v>115.9358648902643</v>
      </c>
    </row>
    <row r="1474">
      <c r="A1474" s="6" t="inlineStr">
        <is>
          <t>5 wt% Re | 250 C</t>
        </is>
      </c>
      <c r="B1474" s="8" t="n">
        <v>0.286</v>
      </c>
      <c r="C1474" s="6" t="n">
        <v>1867.974965820847</v>
      </c>
      <c r="D1474" s="6" t="n">
        <v>44478.66360252113</v>
      </c>
      <c r="E1474" s="8" t="n">
        <v>0.05588149104118228</v>
      </c>
      <c r="F1474" s="8" t="n">
        <v>0.04713990317458713</v>
      </c>
      <c r="G1474" s="6" t="n">
        <v>1360.458906756309</v>
      </c>
      <c r="H1474" s="6" t="n">
        <v>42.18125272000501</v>
      </c>
      <c r="I1474" s="6" t="n">
        <v>116.0499102916011</v>
      </c>
    </row>
    <row r="1475">
      <c r="A1475" s="6" t="inlineStr">
        <is>
          <t>5 wt% Re | 250 C</t>
        </is>
      </c>
      <c r="B1475" s="8" t="n">
        <v>0.287</v>
      </c>
      <c r="C1475" s="6" t="n">
        <v>1870.25802010196</v>
      </c>
      <c r="D1475" s="6" t="n">
        <v>44400.24375129149</v>
      </c>
      <c r="E1475" s="8" t="n">
        <v>0.05564145406658422</v>
      </c>
      <c r="F1475" s="8" t="n">
        <v>0.04692178698609935</v>
      </c>
      <c r="G1475" s="6" t="n">
        <v>1362.241700907301</v>
      </c>
      <c r="H1475" s="6" t="n">
        <v>42.22981844222477</v>
      </c>
      <c r="I1475" s="6" t="n">
        <v>116.1638613840224</v>
      </c>
    </row>
    <row r="1476">
      <c r="A1476" s="6" t="inlineStr">
        <is>
          <t>5 wt% Re | 250 C</t>
        </is>
      </c>
      <c r="B1476" s="8" t="n">
        <v>0.288</v>
      </c>
      <c r="C1476" s="6" t="n">
        <v>1872.54098409536</v>
      </c>
      <c r="D1476" s="6" t="n">
        <v>44321.98095168417</v>
      </c>
      <c r="E1476" s="8" t="n">
        <v>0.05540296319721257</v>
      </c>
      <c r="F1476" s="8" t="n">
        <v>0.04670507570858227</v>
      </c>
      <c r="G1476" s="6" t="n">
        <v>1364.024495058294</v>
      </c>
      <c r="H1476" s="6" t="n">
        <v>42.27838543257067</v>
      </c>
      <c r="I1476" s="6" t="n">
        <v>116.2777184851786</v>
      </c>
    </row>
    <row r="1477">
      <c r="A1477" s="6" t="inlineStr">
        <is>
          <t>5 wt% Re | 250 C</t>
        </is>
      </c>
      <c r="B1477" s="8" t="n">
        <v>0.289</v>
      </c>
      <c r="C1477" s="6" t="n">
        <v>1874.823858094564</v>
      </c>
      <c r="D1477" s="6" t="n">
        <v>44243.87357340552</v>
      </c>
      <c r="E1477" s="8" t="n">
        <v>0.05516600354306425</v>
      </c>
      <c r="F1477" s="8" t="n">
        <v>0.0464897558118257</v>
      </c>
      <c r="G1477" s="6" t="n">
        <v>1365.807289209286</v>
      </c>
      <c r="H1477" s="6" t="n">
        <v>42.32695367787876</v>
      </c>
      <c r="I1477" s="6" t="n">
        <v>116.391481910923</v>
      </c>
    </row>
    <row r="1478">
      <c r="A1478" s="6" t="inlineStr">
        <is>
          <t>5 wt% Re | 250 C</t>
        </is>
      </c>
      <c r="B1478" s="8" t="n">
        <v>0.29</v>
      </c>
      <c r="C1478" s="6" t="n">
        <v>1877.106642391548</v>
      </c>
      <c r="D1478" s="6" t="n">
        <v>44165.92000864869</v>
      </c>
      <c r="E1478" s="8" t="n">
        <v>0.05493056040472489</v>
      </c>
      <c r="F1478" s="8" t="n">
        <v>0.04627581393880312</v>
      </c>
      <c r="G1478" s="6" t="n">
        <v>1367.590083360279</v>
      </c>
      <c r="H1478" s="6" t="n">
        <v>42.37552316516669</v>
      </c>
      <c r="I1478" s="6" t="n">
        <v>116.5051519753247</v>
      </c>
    </row>
    <row r="1479">
      <c r="A1479" s="6" t="inlineStr">
        <is>
          <t>5 wt% Re | 250 C</t>
        </is>
      </c>
      <c r="B1479" s="8" t="n">
        <v>0.291</v>
      </c>
      <c r="C1479" s="6" t="n">
        <v>1879.389337276758</v>
      </c>
      <c r="D1479" s="6" t="n">
        <v>44088.11867170726</v>
      </c>
      <c r="E1479" s="8" t="n">
        <v>0.0546966192703293</v>
      </c>
      <c r="F1479" s="8" t="n">
        <v>0.04606323690290973</v>
      </c>
      <c r="G1479" s="6" t="n">
        <v>1369.372877511271</v>
      </c>
      <c r="H1479" s="6" t="n">
        <v>42.42409388163055</v>
      </c>
      <c r="I1479" s="6" t="n">
        <v>116.6187289906796</v>
      </c>
    </row>
    <row r="1480">
      <c r="A1480" s="6" t="inlineStr">
        <is>
          <t>5 wt% Re | 250 C</t>
        </is>
      </c>
      <c r="B1480" s="8" t="n">
        <v>0.292</v>
      </c>
      <c r="C1480" s="6" t="n">
        <v>1881.671943039118</v>
      </c>
      <c r="D1480" s="6" t="n">
        <v>44010.46799859685</v>
      </c>
      <c r="E1480" s="8" t="n">
        <v>0.05446416581257973</v>
      </c>
      <c r="F1480" s="8" t="n">
        <v>0.04585201168525299</v>
      </c>
      <c r="G1480" s="6" t="n">
        <v>1371.155671662264</v>
      </c>
      <c r="H1480" s="6" t="n">
        <v>42.4726658146418</v>
      </c>
      <c r="I1480" s="6" t="n">
        <v>116.7322132675237</v>
      </c>
    </row>
    <row r="1481">
      <c r="A1481" s="6" t="inlineStr">
        <is>
          <t>5 wt% Re | 250 C</t>
        </is>
      </c>
      <c r="B1481" s="8" t="n">
        <v>0.293</v>
      </c>
      <c r="C1481" s="6" t="n">
        <v>1883.954459966035</v>
      </c>
      <c r="D1481" s="6" t="n">
        <v>43932.96644668436</v>
      </c>
      <c r="E1481" s="8" t="n">
        <v>0.05423318588582098</v>
      </c>
      <c r="F1481" s="8" t="n">
        <v>0.04564212543199486</v>
      </c>
      <c r="G1481" s="6" t="n">
        <v>1372.938465813256</v>
      </c>
      <c r="H1481" s="6" t="n">
        <v>42.52123895174432</v>
      </c>
      <c r="I1481" s="6" t="n">
        <v>116.8456051146438</v>
      </c>
    </row>
    <row r="1482">
      <c r="A1482" s="6" t="inlineStr">
        <is>
          <t>5 wt% Re | 250 C</t>
        </is>
      </c>
      <c r="B1482" s="8" t="n">
        <v>0.294</v>
      </c>
      <c r="C1482" s="6" t="n">
        <v>1886.236888343414</v>
      </c>
      <c r="D1482" s="6" t="n">
        <v>43855.61249432489</v>
      </c>
      <c r="E1482" s="8" t="n">
        <v>0.05400366552317087</v>
      </c>
      <c r="F1482" s="8" t="n">
        <v>0.0454335654517443</v>
      </c>
      <c r="G1482" s="6" t="n">
        <v>1374.721259964249</v>
      </c>
      <c r="H1482" s="6" t="n">
        <v>42.5698132806515</v>
      </c>
      <c r="I1482" s="6" t="n">
        <v>116.9589048390906</v>
      </c>
    </row>
    <row r="1483">
      <c r="A1483" s="6" t="inlineStr">
        <is>
          <t>5 wt% Re | 250 C</t>
        </is>
      </c>
      <c r="B1483" s="8" t="n">
        <v>0.295</v>
      </c>
      <c r="C1483" s="6" t="n">
        <v>1888.519228455659</v>
      </c>
      <c r="D1483" s="6" t="n">
        <v>43778.40464050609</v>
      </c>
      <c r="E1483" s="8" t="n">
        <v>0.05377559093370502</v>
      </c>
      <c r="F1483" s="8" t="n">
        <v>0.0452263192129992</v>
      </c>
      <c r="G1483" s="6" t="n">
        <v>1376.504054115241</v>
      </c>
      <c r="H1483" s="6" t="n">
        <v>42.61838878924325</v>
      </c>
      <c r="I1483" s="6" t="n">
        <v>117.0721127461897</v>
      </c>
    </row>
    <row r="1484">
      <c r="A1484" s="6" t="inlineStr">
        <is>
          <t>5 wt% Re | 250 C</t>
        </is>
      </c>
      <c r="B1484" s="8" t="n">
        <v>0.296</v>
      </c>
      <c r="C1484" s="6" t="n">
        <v>1890.801480585686</v>
      </c>
      <c r="D1484" s="6" t="n">
        <v>43701.34140449946</v>
      </c>
      <c r="E1484" s="8" t="n">
        <v>0.05354894849969449</v>
      </c>
      <c r="F1484" s="8" t="n">
        <v>0.04502037434163615</v>
      </c>
      <c r="G1484" s="6" t="n">
        <v>1378.286848266233</v>
      </c>
      <c r="H1484" s="6" t="n">
        <v>42.66696546556335</v>
      </c>
      <c r="I1484" s="6" t="n">
        <v>117.1852291395539</v>
      </c>
    </row>
    <row r="1485">
      <c r="A1485" s="6" t="inlineStr">
        <is>
          <t>5 wt% Re | 250 C</t>
        </is>
      </c>
      <c r="B1485" s="8" t="n">
        <v>0.297</v>
      </c>
      <c r="C1485" s="6" t="n">
        <v>1893.083645014933</v>
      </c>
      <c r="D1485" s="6" t="n">
        <v>43624.42132551905</v>
      </c>
      <c r="E1485" s="8" t="n">
        <v>0.05332372477389553</v>
      </c>
      <c r="F1485" s="8" t="n">
        <v>0.04481571861844791</v>
      </c>
      <c r="G1485" s="6" t="n">
        <v>1380.069642417226</v>
      </c>
      <c r="H1485" s="6" t="n">
        <v>42.71554329781652</v>
      </c>
      <c r="I1485" s="6" t="n">
        <v>117.2982543210947</v>
      </c>
    </row>
    <row r="1486">
      <c r="A1486" s="6" t="inlineStr">
        <is>
          <t>5 wt% Re | 250 C</t>
        </is>
      </c>
      <c r="B1486" s="8" t="n">
        <v>0.298</v>
      </c>
      <c r="C1486" s="6" t="n">
        <v>1895.365722023361</v>
      </c>
      <c r="D1486" s="6" t="n">
        <v>43547.64296238671</v>
      </c>
      <c r="E1486" s="8" t="n">
        <v>0.05309990647688989</v>
      </c>
      <c r="F1486" s="8" t="n">
        <v>0.0446123399767264</v>
      </c>
      <c r="G1486" s="6" t="n">
        <v>1381.852436568219</v>
      </c>
      <c r="H1486" s="6" t="n">
        <v>42.7641222743659</v>
      </c>
      <c r="I1486" s="6" t="n">
        <v>117.4111885910343</v>
      </c>
    </row>
    <row r="1487">
      <c r="A1487" s="6" t="inlineStr">
        <is>
          <t>5 wt% Re | 250 C</t>
        </is>
      </c>
      <c r="B1487" s="8" t="n">
        <v>0.299</v>
      </c>
      <c r="C1487" s="6" t="n">
        <v>1897.647711889467</v>
      </c>
      <c r="D1487" s="6" t="n">
        <v>43471.00489320435</v>
      </c>
      <c r="E1487" s="8" t="n">
        <v>0.05287748049447485</v>
      </c>
      <c r="F1487" s="8" t="n">
        <v>0.04441022649989119</v>
      </c>
      <c r="G1487" s="6" t="n">
        <v>1383.635230719211</v>
      </c>
      <c r="H1487" s="6" t="n">
        <v>42.81270238373019</v>
      </c>
      <c r="I1487" s="6" t="n">
        <v>117.5240322479168</v>
      </c>
    </row>
    <row r="1488">
      <c r="A1488" s="6" t="inlineStr">
        <is>
          <t>5 wt% Re | 250 C</t>
        </is>
      </c>
      <c r="B1488" s="8" t="n">
        <v>0.3</v>
      </c>
      <c r="C1488" s="6" t="n">
        <v>1899.929614890301</v>
      </c>
      <c r="D1488" s="6" t="n">
        <v>43394.5057150324</v>
      </c>
      <c r="E1488" s="8" t="n">
        <v>0.05265643387510173</v>
      </c>
      <c r="F1488" s="8" t="n">
        <v>0.04420936641916193</v>
      </c>
      <c r="G1488" s="6" t="n">
        <v>1385.418024870204</v>
      </c>
      <c r="H1488" s="6" t="n">
        <v>42.86128361458131</v>
      </c>
      <c r="I1488" s="6" t="n">
        <v>117.6367855886202</v>
      </c>
    </row>
    <row r="1489">
      <c r="A1489" s="6" t="inlineStr">
        <is>
          <t>5 wt% Re | 250 C</t>
        </is>
      </c>
      <c r="B1489" s="8" t="n">
        <v>0.301</v>
      </c>
      <c r="C1489" s="6" t="n">
        <v>1902.211431301453</v>
      </c>
      <c r="D1489" s="6" t="n">
        <v>43318.14404357515</v>
      </c>
      <c r="E1489" s="8" t="n">
        <v>0.05243675382736203</v>
      </c>
      <c r="F1489" s="8" t="n">
        <v>0.04400974811127403</v>
      </c>
      <c r="G1489" s="6" t="n">
        <v>1387.200819021196</v>
      </c>
      <c r="H1489" s="6" t="n">
        <v>42.9098659557416</v>
      </c>
      <c r="I1489" s="6" t="n">
        <v>117.7494489083677</v>
      </c>
    </row>
    <row r="1490">
      <c r="A1490" s="6" t="inlineStr">
        <is>
          <t>5 wt% Re | 250 C</t>
        </is>
      </c>
      <c r="B1490" s="8" t="n">
        <v>0.302</v>
      </c>
      <c r="C1490" s="6" t="n">
        <v>1904.493161397084</v>
      </c>
      <c r="D1490" s="6" t="n">
        <v>43241.91851287181</v>
      </c>
      <c r="E1490" s="8" t="n">
        <v>0.05221842771751992</v>
      </c>
      <c r="F1490" s="8" t="n">
        <v>0.04381136009623649</v>
      </c>
      <c r="G1490" s="6" t="n">
        <v>1388.983613172188</v>
      </c>
      <c r="H1490" s="6" t="n">
        <v>42.95844939618154</v>
      </c>
      <c r="I1490" s="6" t="n">
        <v>117.862022500739</v>
      </c>
    </row>
    <row r="1491">
      <c r="A1491" s="6" t="inlineStr">
        <is>
          <t>5 wt% Re | 250 C</t>
        </is>
      </c>
      <c r="B1491" s="8" t="n">
        <v>0.303</v>
      </c>
      <c r="C1491" s="6" t="n">
        <v>1906.774805449922</v>
      </c>
      <c r="D1491" s="6" t="n">
        <v>43165.82777499414</v>
      </c>
      <c r="E1491" s="8" t="n">
        <v>0.05200144306709036</v>
      </c>
      <c r="F1491" s="8" t="n">
        <v>0.04361419103513122</v>
      </c>
      <c r="G1491" s="6" t="n">
        <v>1390.766407323181</v>
      </c>
      <c r="H1491" s="6" t="n">
        <v>43.00703392501713</v>
      </c>
      <c r="I1491" s="6" t="n">
        <v>117.9745066576821</v>
      </c>
    </row>
    <row r="1492">
      <c r="A1492" s="6" t="inlineStr">
        <is>
          <t>5 wt% Re | 250 C</t>
        </is>
      </c>
      <c r="B1492" s="8" t="n">
        <v>0.304</v>
      </c>
      <c r="C1492" s="6" t="n">
        <v>1909.056363731271</v>
      </c>
      <c r="D1492" s="6" t="n">
        <v>43089.87049974976</v>
      </c>
      <c r="E1492" s="8" t="n">
        <v>0.0517857875504615</v>
      </c>
      <c r="F1492" s="8" t="n">
        <v>0.04341822972795255</v>
      </c>
      <c r="G1492" s="6" t="n">
        <v>1392.549201474173</v>
      </c>
      <c r="H1492" s="6" t="n">
        <v>43.05561953150767</v>
      </c>
      <c r="I1492" s="6" t="n">
        <v>118.0869016695242</v>
      </c>
    </row>
    <row r="1493">
      <c r="A1493" s="6" t="inlineStr">
        <is>
          <t>5 wt% Re | 250 C</t>
        </is>
      </c>
      <c r="B1493" s="8" t="n">
        <v>0.305</v>
      </c>
      <c r="C1493" s="6" t="n">
        <v>1911.337836511023</v>
      </c>
      <c r="D1493" s="6" t="n">
        <v>43014.0453743915</v>
      </c>
      <c r="E1493" s="8" t="n">
        <v>0.0515714489925609</v>
      </c>
      <c r="F1493" s="8" t="n">
        <v>0.04322346511148657</v>
      </c>
      <c r="G1493" s="6" t="n">
        <v>1394.331995625165</v>
      </c>
      <c r="H1493" s="6" t="n">
        <v>43.10420620505322</v>
      </c>
      <c r="I1493" s="6" t="n">
        <v>118.1992078249831</v>
      </c>
    </row>
    <row r="1494">
      <c r="A1494" s="6" t="inlineStr">
        <is>
          <t>5 wt% Re | 250 C</t>
        </is>
      </c>
      <c r="B1494" s="8" t="n">
        <v>0.306</v>
      </c>
      <c r="C1494" s="6" t="n">
        <v>1913.619224057668</v>
      </c>
      <c r="D1494" s="6" t="n">
        <v>42938.35110333218</v>
      </c>
      <c r="E1494" s="8" t="n">
        <v>0.05135841536656419</v>
      </c>
      <c r="F1494" s="8" t="n">
        <v>0.04302988625722905</v>
      </c>
      <c r="G1494" s="6" t="n">
        <v>1396.114789776158</v>
      </c>
      <c r="H1494" s="6" t="n">
        <v>43.15279393519252</v>
      </c>
      <c r="I1494" s="6" t="n">
        <v>118.3114254111787</v>
      </c>
    </row>
    <row r="1495">
      <c r="A1495" s="6" t="inlineStr">
        <is>
          <t>5 wt% Re | 250 C</t>
        </is>
      </c>
      <c r="B1495" s="8" t="n">
        <v>0.307</v>
      </c>
      <c r="C1495" s="6" t="n">
        <v>1915.900526638291</v>
      </c>
      <c r="D1495" s="6" t="n">
        <v>42862.78640786537</v>
      </c>
      <c r="E1495" s="8" t="n">
        <v>0.05114667479164553</v>
      </c>
      <c r="F1495" s="8" t="n">
        <v>0.04283748236934135</v>
      </c>
      <c r="G1495" s="6" t="n">
        <v>1397.89758392715</v>
      </c>
      <c r="H1495" s="6" t="n">
        <v>43.20138271160048</v>
      </c>
      <c r="I1495" s="6" t="n">
        <v>118.4235547136433</v>
      </c>
    </row>
    <row r="1496">
      <c r="A1496" s="6" t="inlineStr">
        <is>
          <t>5 wt% Re | 250 C</t>
        </is>
      </c>
      <c r="B1496" s="8" t="n">
        <v>0.308</v>
      </c>
      <c r="C1496" s="6" t="n">
        <v>1918.181744518597</v>
      </c>
      <c r="D1496" s="6" t="n">
        <v>42787.35002589108</v>
      </c>
      <c r="E1496" s="8" t="n">
        <v>0.05093621553076889</v>
      </c>
      <c r="F1496" s="8" t="n">
        <v>0.04264624278264337</v>
      </c>
      <c r="G1496" s="6" t="n">
        <v>1399.680378078143</v>
      </c>
      <c r="H1496" s="6" t="n">
        <v>43.24997252408624</v>
      </c>
      <c r="I1496" s="6" t="n">
        <v>118.5355960163335</v>
      </c>
    </row>
    <row r="1497">
      <c r="A1497" s="6" t="inlineStr">
        <is>
          <t>5 wt% Re | 250 C</t>
        </is>
      </c>
      <c r="B1497" s="8" t="n">
        <v>0.309</v>
      </c>
      <c r="C1497" s="6" t="n">
        <v>1920.462877962905</v>
      </c>
      <c r="D1497" s="6" t="n">
        <v>42712.04071164729</v>
      </c>
      <c r="E1497" s="8" t="n">
        <v>0.05072702598851936</v>
      </c>
      <c r="F1497" s="8" t="n">
        <v>0.04245615696064293</v>
      </c>
      <c r="G1497" s="6" t="n">
        <v>1401.463172229135</v>
      </c>
      <c r="H1497" s="6" t="n">
        <v>43.29856336259074</v>
      </c>
      <c r="I1497" s="6" t="n">
        <v>118.647549601641</v>
      </c>
    </row>
    <row r="1498">
      <c r="A1498" s="6" t="inlineStr">
        <is>
          <t>5 wt% Re | 250 C</t>
        </is>
      </c>
      <c r="B1498" s="8" t="n">
        <v>0.31</v>
      </c>
      <c r="C1498" s="6" t="n">
        <v>1922.743927234166</v>
      </c>
      <c r="D1498" s="6" t="n">
        <v>42636.85723544625</v>
      </c>
      <c r="E1498" s="8" t="n">
        <v>0.05051909470897341</v>
      </c>
      <c r="F1498" s="8" t="n">
        <v>0.04226721449360053</v>
      </c>
      <c r="G1498" s="6" t="n">
        <v>1403.245966380128</v>
      </c>
      <c r="H1498" s="6" t="n">
        <v>43.34715521718479</v>
      </c>
      <c r="I1498" s="6" t="n">
        <v>118.7594157504029</v>
      </c>
    </row>
    <row r="1499">
      <c r="A1499" s="6" t="inlineStr">
        <is>
          <t>5 wt% Re | 250 C</t>
        </is>
      </c>
      <c r="B1499" s="8" t="n">
        <v>0.311</v>
      </c>
      <c r="C1499" s="6" t="n">
        <v>1925.024892593963</v>
      </c>
      <c r="D1499" s="6" t="n">
        <v>42561.79838341619</v>
      </c>
      <c r="E1499" s="8" t="n">
        <v>0.05031241037360778</v>
      </c>
      <c r="F1499" s="8" t="n">
        <v>0.04207940509662922</v>
      </c>
      <c r="G1499" s="6" t="n">
        <v>1405.02876053112</v>
      </c>
      <c r="H1499" s="6" t="n">
        <v>43.39574807806689</v>
      </c>
      <c r="I1499" s="6" t="n">
        <v>118.8711947419135</v>
      </c>
    </row>
    <row r="1500">
      <c r="A1500" s="6" t="inlineStr">
        <is>
          <t>5 wt% Re | 250 C</t>
        </is>
      </c>
      <c r="B1500" s="8" t="n">
        <v>0.312</v>
      </c>
      <c r="C1500" s="6" t="n">
        <v>1927.305774302528</v>
      </c>
      <c r="D1500" s="6" t="n">
        <v>42486.86295724775</v>
      </c>
      <c r="E1500" s="8" t="n">
        <v>0.05010696179924552</v>
      </c>
      <c r="F1500" s="8" t="n">
        <v>0.04189271860782814</v>
      </c>
      <c r="G1500" s="6" t="n">
        <v>1406.811554682113</v>
      </c>
      <c r="H1500" s="6" t="n">
        <v>43.44434193556118</v>
      </c>
      <c r="I1500" s="6" t="n">
        <v>118.9828868539341</v>
      </c>
    </row>
    <row r="1501">
      <c r="A1501" s="6" t="inlineStr">
        <is>
          <t>5 wt% Re | 250 C</t>
        </is>
      </c>
      <c r="B1501" s="8" t="n">
        <v>0.313</v>
      </c>
      <c r="C1501" s="6" t="n">
        <v>1929.586572618742</v>
      </c>
      <c r="D1501" s="6" t="n">
        <v>42412.0497739455</v>
      </c>
      <c r="E1501" s="8" t="n">
        <v>0.04990273793603909</v>
      </c>
      <c r="F1501" s="8" t="n">
        <v>0.04170714498644992</v>
      </c>
      <c r="G1501" s="6" t="n">
        <v>1408.594348833105</v>
      </c>
      <c r="H1501" s="6" t="n">
        <v>43.49293678011546</v>
      </c>
      <c r="I1501" s="6" t="n">
        <v>119.0944923627047</v>
      </c>
    </row>
    <row r="1502">
      <c r="A1502" s="6" t="inlineStr">
        <is>
          <t>5 wt% Re | 250 C</t>
        </is>
      </c>
      <c r="B1502" s="8" t="n">
        <v>0.314</v>
      </c>
      <c r="C1502" s="6" t="n">
        <v>1931.86728780015</v>
      </c>
      <c r="D1502" s="6" t="n">
        <v>42337.35766558391</v>
      </c>
      <c r="E1502" s="8" t="n">
        <v>0.04969972786548913</v>
      </c>
      <c r="F1502" s="8" t="n">
        <v>0.04152267431110027</v>
      </c>
      <c r="G1502" s="6" t="n">
        <v>1410.377142984098</v>
      </c>
      <c r="H1502" s="6" t="n">
        <v>43.54153260229925</v>
      </c>
      <c r="I1502" s="6" t="n">
        <v>119.2060115429537</v>
      </c>
    </row>
    <row r="1503">
      <c r="A1503" s="6" t="inlineStr">
        <is>
          <t>5 wt% Re | 250 C</t>
        </is>
      </c>
      <c r="B1503" s="8" t="n">
        <v>0.315</v>
      </c>
      <c r="C1503" s="6" t="n">
        <v>1934.147920102962</v>
      </c>
      <c r="D1503" s="6" t="n">
        <v>42262.78547906834</v>
      </c>
      <c r="E1503" s="8" t="n">
        <v>0.0494979207984988</v>
      </c>
      <c r="F1503" s="8" t="n">
        <v>0.04133929677797006</v>
      </c>
      <c r="G1503" s="6" t="n">
        <v>1412.15993713509</v>
      </c>
      <c r="H1503" s="6" t="n">
        <v>43.59012939280174</v>
      </c>
      <c r="I1503" s="6" t="n">
        <v>119.317444667909</v>
      </c>
    </row>
    <row r="1504">
      <c r="A1504" s="6" t="inlineStr">
        <is>
          <t>5 wt% Re | 250 C</t>
        </is>
      </c>
      <c r="B1504" s="8" t="n">
        <v>0.316</v>
      </c>
      <c r="C1504" s="6" t="n">
        <v>1936.428469782072</v>
      </c>
      <c r="D1504" s="6" t="n">
        <v>42188.33207590023</v>
      </c>
      <c r="E1504" s="8" t="n">
        <v>0.04929730607346206</v>
      </c>
      <c r="F1504" s="8" t="n">
        <v>0.04115700269909823</v>
      </c>
      <c r="G1504" s="6" t="n">
        <v>1413.942731286083</v>
      </c>
      <c r="H1504" s="6" t="n">
        <v>43.6387271424301</v>
      </c>
      <c r="I1504" s="6" t="n">
        <v>119.4287920093087</v>
      </c>
    </row>
    <row r="1505">
      <c r="A1505" s="6" t="inlineStr">
        <is>
          <t>5 wt% Re | 250 C</t>
        </is>
      </c>
      <c r="B1505" s="8" t="n">
        <v>0.317</v>
      </c>
      <c r="C1505" s="6" t="n">
        <v>1938.708937091051</v>
      </c>
      <c r="D1505" s="6" t="n">
        <v>42113.99633194698</v>
      </c>
      <c r="E1505" s="8" t="n">
        <v>0.04909787315438645</v>
      </c>
      <c r="F1505" s="8" t="n">
        <v>0.04097578250066587</v>
      </c>
      <c r="G1505" s="6" t="n">
        <v>1415.725525437075</v>
      </c>
      <c r="H1505" s="6" t="n">
        <v>43.68732584210737</v>
      </c>
      <c r="I1505" s="6" t="n">
        <v>119.5400538374107</v>
      </c>
    </row>
    <row r="1506">
      <c r="A1506" s="6" t="inlineStr">
        <is>
          <t>5 wt% Re | 250 C</t>
        </is>
      </c>
      <c r="B1506" s="8" t="n">
        <v>0.318</v>
      </c>
      <c r="C1506" s="6" t="n">
        <v>1940.989322282171</v>
      </c>
      <c r="D1506" s="6" t="n">
        <v>42039.77713721597</v>
      </c>
      <c r="E1506" s="8" t="n">
        <v>0.04889961162904832</v>
      </c>
      <c r="F1506" s="8" t="n">
        <v>0.04079562672132005</v>
      </c>
      <c r="G1506" s="6" t="n">
        <v>1417.508319588068</v>
      </c>
      <c r="H1506" s="6" t="n">
        <v>43.73592548287085</v>
      </c>
      <c r="I1506" s="6" t="n">
        <v>119.651230421004</v>
      </c>
    </row>
    <row r="1507">
      <c r="A1507" s="6" t="inlineStr">
        <is>
          <t>5 wt% Re | 250 C</t>
        </is>
      </c>
      <c r="B1507" s="8" t="n">
        <v>0.319</v>
      </c>
      <c r="C1507" s="6" t="n">
        <v>1943.269625606399</v>
      </c>
      <c r="D1507" s="6" t="n">
        <v>41965.67339563304</v>
      </c>
      <c r="E1507" s="8" t="n">
        <v>0.04870251120718087</v>
      </c>
      <c r="F1507" s="8" t="n">
        <v>0.04061652601052726</v>
      </c>
      <c r="G1507" s="6" t="n">
        <v>1419.29111373906</v>
      </c>
      <c r="H1507" s="6" t="n">
        <v>43.7845260558702</v>
      </c>
      <c r="I1507" s="6" t="n">
        <v>119.7623220274184</v>
      </c>
    </row>
    <row r="1508">
      <c r="A1508" s="6" t="inlineStr">
        <is>
          <t>5 wt% Re | 250 C</t>
        </is>
      </c>
      <c r="B1508" s="8" t="n">
        <v>0.32</v>
      </c>
      <c r="C1508" s="6" t="n">
        <v>1945.549847313416</v>
      </c>
      <c r="D1508" s="6" t="n">
        <v>41891.6840248249</v>
      </c>
      <c r="E1508" s="8" t="n">
        <v>0.04850656171869359</v>
      </c>
      <c r="F1508" s="8" t="n">
        <v>0.04043847112695551</v>
      </c>
      <c r="G1508" s="6" t="n">
        <v>1421.073907890052</v>
      </c>
      <c r="H1508" s="6" t="n">
        <v>43.83312755236571</v>
      </c>
      <c r="I1508" s="6" t="n">
        <v>119.8733289225349</v>
      </c>
    </row>
    <row r="1509">
      <c r="A1509" s="6" t="inlineStr">
        <is>
          <t>5 wt% Re | 250 C</t>
        </is>
      </c>
      <c r="B1509" s="8" t="n">
        <v>0.321</v>
      </c>
      <c r="C1509" s="6" t="n">
        <v>1947.82998765162</v>
      </c>
      <c r="D1509" s="6" t="n">
        <v>41817.80795590582</v>
      </c>
      <c r="E1509" s="8" t="n">
        <v>0.04831175311192328</v>
      </c>
      <c r="F1509" s="8" t="n">
        <v>0.04026145293688499</v>
      </c>
      <c r="G1509" s="6" t="n">
        <v>1422.856702041045</v>
      </c>
      <c r="H1509" s="6" t="n">
        <v>43.88172996372658</v>
      </c>
      <c r="I1509" s="6" t="n">
        <v>119.9842513707959</v>
      </c>
    </row>
    <row r="1510">
      <c r="A1510" s="6" t="inlineStr">
        <is>
          <t>5 wt% Re | 250 C</t>
        </is>
      </c>
      <c r="B1510" s="8" t="n">
        <v>0.322</v>
      </c>
      <c r="C1510" s="6" t="n">
        <v>1950.110046868131</v>
      </c>
      <c r="D1510" s="6" t="n">
        <v>41744.04413326811</v>
      </c>
      <c r="E1510" s="8" t="n">
        <v>0.04811807545191499</v>
      </c>
      <c r="F1510" s="8" t="n">
        <v>0.04008546241264606</v>
      </c>
      <c r="G1510" s="6" t="n">
        <v>1424.639496192037</v>
      </c>
      <c r="H1510" s="6" t="n">
        <v>43.93033328142919</v>
      </c>
      <c r="I1510" s="6" t="n">
        <v>120.095089635215</v>
      </c>
    </row>
    <row r="1511">
      <c r="A1511" s="6" t="inlineStr">
        <is>
          <t>5 wt% Re | 250 C</t>
        </is>
      </c>
      <c r="B1511" s="8" t="n">
        <v>0.323</v>
      </c>
      <c r="C1511" s="6" t="n">
        <v>1952.390025208806</v>
      </c>
      <c r="D1511" s="6" t="n">
        <v>41670.39151437671</v>
      </c>
      <c r="E1511" s="8" t="n">
        <v>0.04792551891873326</v>
      </c>
      <c r="F1511" s="8" t="n">
        <v>0.03991049063108469</v>
      </c>
      <c r="G1511" s="6" t="n">
        <v>1426.42229034303</v>
      </c>
      <c r="H1511" s="6" t="n">
        <v>43.97893749705551</v>
      </c>
      <c r="I1511" s="6" t="n">
        <v>120.2058439773875</v>
      </c>
    </row>
    <row r="1512">
      <c r="A1512" s="6" t="inlineStr">
        <is>
          <t>5 wt% Re | 250 C</t>
        </is>
      </c>
      <c r="B1512" s="8" t="n">
        <v>0.324</v>
      </c>
      <c r="C1512" s="6" t="n">
        <v>1954.669922918243</v>
      </c>
      <c r="D1512" s="6" t="n">
        <v>41596.84906956722</v>
      </c>
      <c r="E1512" s="8" t="n">
        <v>0.04773407380580218</v>
      </c>
      <c r="F1512" s="8" t="n">
        <v>0.03973652877205418</v>
      </c>
      <c r="G1512" s="6" t="n">
        <v>1428.205084494022</v>
      </c>
      <c r="H1512" s="6" t="n">
        <v>44.02754260229148</v>
      </c>
      <c r="I1512" s="6" t="n">
        <v>120.3165146574999</v>
      </c>
    </row>
    <row r="1513">
      <c r="A1513" s="6" t="inlineStr">
        <is>
          <t>5 wt% Re | 250 C</t>
        </is>
      </c>
      <c r="B1513" s="8" t="n">
        <v>0.325</v>
      </c>
      <c r="C1513" s="6" t="n">
        <v>1956.949740239786</v>
      </c>
      <c r="D1513" s="6" t="n">
        <v>41523.4157818482</v>
      </c>
      <c r="E1513" s="8" t="n">
        <v>0.04754373051827466</v>
      </c>
      <c r="F1513" s="8" t="n">
        <v>0.03956356811693321</v>
      </c>
      <c r="G1513" s="6" t="n">
        <v>1429.987878645014</v>
      </c>
      <c r="H1513" s="6" t="n">
        <v>44.07614858892526</v>
      </c>
      <c r="I1513" s="6" t="n">
        <v>120.42710193434</v>
      </c>
    </row>
    <row r="1514">
      <c r="A1514" s="6" t="inlineStr">
        <is>
          <t>5 wt% Re | 250 C</t>
        </is>
      </c>
      <c r="B1514" s="8" t="n">
        <v>0.326</v>
      </c>
      <c r="C1514" s="6" t="n">
        <v>1959.229477415539</v>
      </c>
      <c r="D1514" s="6" t="n">
        <v>41450.09064670647</v>
      </c>
      <c r="E1514" s="8" t="n">
        <v>0.04735447957142917</v>
      </c>
      <c r="F1514" s="8" t="n">
        <v>0.03939160004716912</v>
      </c>
      <c r="G1514" s="6" t="n">
        <v>1431.770672796007</v>
      </c>
      <c r="H1514" s="6" t="n">
        <v>44.12475544884589</v>
      </c>
      <c r="I1514" s="6" t="n">
        <v>120.5376060653064</v>
      </c>
    </row>
    <row r="1515">
      <c r="A1515" s="6" t="inlineStr">
        <is>
          <t>5 wt% Re | 250 C</t>
        </is>
      </c>
      <c r="B1515" s="8" t="n">
        <v>0.327</v>
      </c>
      <c r="C1515" s="6" t="n">
        <v>1961.50913468637</v>
      </c>
      <c r="D1515" s="6" t="n">
        <v>41376.87267191662</v>
      </c>
      <c r="E1515" s="8" t="n">
        <v>0.04716631158909448</v>
      </c>
      <c r="F1515" s="8" t="n">
        <v>0.03922061604284645</v>
      </c>
      <c r="G1515" s="6" t="n">
        <v>1433.553466946999</v>
      </c>
      <c r="H1515" s="6" t="n">
        <v>44.17336317404149</v>
      </c>
      <c r="I1515" s="6" t="n">
        <v>120.6480273064188</v>
      </c>
    </row>
    <row r="1516">
      <c r="A1516" s="6" t="inlineStr">
        <is>
          <t>5 wt% Re | 250 C</t>
        </is>
      </c>
      <c r="B1516" s="8" t="n">
        <v>0.328</v>
      </c>
      <c r="C1516" s="6" t="n">
        <v>1963.788712291917</v>
      </c>
      <c r="D1516" s="6" t="n">
        <v>41303.76087735341</v>
      </c>
      <c r="E1516" s="8" t="n">
        <v>0.04697921730210107</v>
      </c>
      <c r="F1516" s="8" t="n">
        <v>0.03905060768127976</v>
      </c>
      <c r="G1516" s="6" t="n">
        <v>1435.336261097992</v>
      </c>
      <c r="H1516" s="6" t="n">
        <v>44.22197175659802</v>
      </c>
      <c r="I1516" s="6" t="n">
        <v>120.7583659123271</v>
      </c>
    </row>
    <row r="1517">
      <c r="A1517" s="6" t="inlineStr">
        <is>
          <t>5 wt% Re | 250 C</t>
        </is>
      </c>
      <c r="B1517" s="8" t="n">
        <v>0.329</v>
      </c>
      <c r="C1517" s="6" t="n">
        <v>1966.068210470602</v>
      </c>
      <c r="D1517" s="6" t="n">
        <v>41230.75429480815</v>
      </c>
      <c r="E1517" s="8" t="n">
        <v>0.04679318754675912</v>
      </c>
      <c r="F1517" s="8" t="n">
        <v>0.03888156663563067</v>
      </c>
      <c r="G1517" s="6" t="n">
        <v>1437.119055248984</v>
      </c>
      <c r="H1517" s="6" t="n">
        <v>44.27058118869755</v>
      </c>
      <c r="I1517" s="6" t="n">
        <v>120.8686221363212</v>
      </c>
    </row>
    <row r="1518">
      <c r="A1518" s="6" t="inlineStr">
        <is>
          <t>5 wt% Re | 250 C</t>
        </is>
      </c>
      <c r="B1518" s="8" t="n">
        <v>0.33</v>
      </c>
      <c r="C1518" s="6" t="n">
        <v>1968.347629459632</v>
      </c>
      <c r="D1518" s="6" t="n">
        <v>41157.8519678079</v>
      </c>
      <c r="E1518" s="8" t="n">
        <v>0.04660821326336237</v>
      </c>
      <c r="F1518" s="8" t="n">
        <v>0.0387134846735483</v>
      </c>
      <c r="G1518" s="6" t="n">
        <v>1438.901849399977</v>
      </c>
      <c r="H1518" s="6" t="n">
        <v>44.319191462617</v>
      </c>
      <c r="I1518" s="6" t="n">
        <v>120.9787962303405</v>
      </c>
    </row>
    <row r="1519">
      <c r="A1519" s="6" t="inlineStr">
        <is>
          <t>5 wt% Re | 250 C</t>
        </is>
      </c>
      <c r="B1519" s="8" t="n">
        <v>0.331</v>
      </c>
      <c r="C1519" s="6" t="n">
        <v>1970.626969495011</v>
      </c>
      <c r="D1519" s="6" t="n">
        <v>41085.05295143841</v>
      </c>
      <c r="E1519" s="8" t="n">
        <v>0.04642428549471738</v>
      </c>
      <c r="F1519" s="8" t="n">
        <v>0.03854635365583287</v>
      </c>
      <c r="G1519" s="6" t="n">
        <v>1440.684643550969</v>
      </c>
      <c r="H1519" s="6" t="n">
        <v>44.36780257072657</v>
      </c>
      <c r="I1519" s="6" t="n">
        <v>121.0888884449835</v>
      </c>
    </row>
    <row r="1520">
      <c r="A1520" s="6" t="inlineStr">
        <is>
          <t>5 wt% Re | 250 C</t>
        </is>
      </c>
      <c r="B1520" s="8" t="n">
        <v>0.332</v>
      </c>
      <c r="C1520" s="6" t="n">
        <v>1972.906230811544</v>
      </c>
      <c r="D1520" s="6" t="n">
        <v>41012.35631216982</v>
      </c>
      <c r="E1520" s="8" t="n">
        <v>0.04624139538469761</v>
      </c>
      <c r="F1520" s="8" t="n">
        <v>0.0383801655351218</v>
      </c>
      <c r="G1520" s="6" t="n">
        <v>1442.467437701962</v>
      </c>
      <c r="H1520" s="6" t="n">
        <v>44.41641450548839</v>
      </c>
      <c r="I1520" s="6" t="n">
        <v>121.198899029517</v>
      </c>
    </row>
    <row r="1521">
      <c r="A1521" s="6" t="inlineStr">
        <is>
          <t>5 wt% Re | 250 C</t>
        </is>
      </c>
      <c r="B1521" s="8" t="n">
        <v>0.333</v>
      </c>
      <c r="C1521" s="6" t="n">
        <v>1975.185413642849</v>
      </c>
      <c r="D1521" s="6" t="n">
        <v>40939.76112768595</v>
      </c>
      <c r="E1521" s="8" t="n">
        <v>0.04605953417682206</v>
      </c>
      <c r="F1521" s="8" t="n">
        <v>0.03821491235459817</v>
      </c>
      <c r="G1521" s="6" t="n">
        <v>1444.250231852954</v>
      </c>
      <c r="H1521" s="6" t="n">
        <v>44.46502725945517</v>
      </c>
      <c r="I1521" s="6" t="n">
        <v>121.3088282318854</v>
      </c>
    </row>
    <row r="1522">
      <c r="A1522" s="6" t="inlineStr">
        <is>
          <t>5 wt% Re | 250 C</t>
        </is>
      </c>
      <c r="B1522" s="8" t="n">
        <v>0.334</v>
      </c>
      <c r="C1522" s="6" t="n">
        <v>1977.464518221359</v>
      </c>
      <c r="D1522" s="6" t="n">
        <v>40867.26648671625</v>
      </c>
      <c r="E1522" s="8" t="n">
        <v>0.04587869321285767</v>
      </c>
      <c r="F1522" s="8" t="n">
        <v>0.03805058624672076</v>
      </c>
      <c r="G1522" s="6" t="n">
        <v>1446.033026003947</v>
      </c>
      <c r="H1522" s="6" t="n">
        <v>44.51364082526875</v>
      </c>
      <c r="I1522" s="6" t="n">
        <v>121.4186762987199</v>
      </c>
    </row>
    <row r="1523">
      <c r="A1523" s="6" t="inlineStr">
        <is>
          <t>5 wt% Re | 250 C</t>
        </is>
      </c>
      <c r="B1523" s="8" t="n">
        <v>0.335</v>
      </c>
      <c r="C1523" s="6" t="n">
        <v>1979.743544778337</v>
      </c>
      <c r="D1523" s="6" t="n">
        <v>40794.87148887109</v>
      </c>
      <c r="E1523" s="8" t="n">
        <v>0.04569886393144526</v>
      </c>
      <c r="F1523" s="8" t="n">
        <v>0.03788717943197545</v>
      </c>
      <c r="G1523" s="6" t="n">
        <v>1447.815820154939</v>
      </c>
      <c r="H1523" s="6" t="n">
        <v>44.56225519565886</v>
      </c>
      <c r="I1523" s="6" t="n">
        <v>121.528443475348</v>
      </c>
    </row>
    <row r="1524">
      <c r="A1524" s="6" t="inlineStr">
        <is>
          <t>5 wt% Re | 250 C</t>
        </is>
      </c>
      <c r="B1524" s="8" t="n">
        <v>0.336</v>
      </c>
      <c r="C1524" s="6" t="n">
        <v>1982.022493543875</v>
      </c>
      <c r="D1524" s="6" t="n">
        <v>40722.57524447965</v>
      </c>
      <c r="E1524" s="8" t="n">
        <v>0.04552003786674848</v>
      </c>
      <c r="F1524" s="8" t="n">
        <v>0.03772468421764755</v>
      </c>
      <c r="G1524" s="6" t="n">
        <v>1449.598614305932</v>
      </c>
      <c r="H1524" s="6" t="n">
        <v>44.61087036344181</v>
      </c>
      <c r="I1524" s="6" t="n">
        <v>121.6381300058024</v>
      </c>
    </row>
    <row r="1525">
      <c r="A1525" s="6" t="inlineStr">
        <is>
          <t>5 wt% Re | 250 C</t>
        </is>
      </c>
      <c r="B1525" s="8" t="n">
        <v>0.337</v>
      </c>
      <c r="C1525" s="6" t="n">
        <v>1984.301364746906</v>
      </c>
      <c r="D1525" s="6" t="n">
        <v>40650.37687443112</v>
      </c>
      <c r="E1525" s="8" t="n">
        <v>0.04534220664712522</v>
      </c>
      <c r="F1525" s="8" t="n">
        <v>0.0375630929966146</v>
      </c>
      <c r="G1525" s="6" t="n">
        <v>1451.381408456924</v>
      </c>
      <c r="H1525" s="6" t="n">
        <v>44.65948632151911</v>
      </c>
      <c r="I1525" s="6" t="n">
        <v>121.7477361328297</v>
      </c>
    </row>
    <row r="1526">
      <c r="A1526" s="6" t="inlineStr">
        <is>
          <t>5 wt% Re | 250 C</t>
        </is>
      </c>
      <c r="B1526" s="8" t="n">
        <v>0.338</v>
      </c>
      <c r="C1526" s="6" t="n">
        <v>1986.580158615212</v>
      </c>
      <c r="D1526" s="6" t="n">
        <v>40578.27551001826</v>
      </c>
      <c r="E1526" s="8" t="n">
        <v>0.04516536199382123</v>
      </c>
      <c r="F1526" s="8" t="n">
        <v>0.03740239824615918</v>
      </c>
      <c r="G1526" s="6" t="n">
        <v>1453.164202607916</v>
      </c>
      <c r="H1526" s="6" t="n">
        <v>44.70810306287635</v>
      </c>
      <c r="I1526" s="6" t="n">
        <v>121.8572620979001</v>
      </c>
    </row>
    <row r="1527">
      <c r="A1527" s="6" t="inlineStr">
        <is>
          <t>5 wt% Re | 250 C</t>
        </is>
      </c>
      <c r="B1527" s="8" t="n">
        <v>0.339</v>
      </c>
      <c r="C1527" s="6" t="n">
        <v>1988.85887537543</v>
      </c>
      <c r="D1527" s="6" t="n">
        <v>40506.27029278418</v>
      </c>
      <c r="E1527" s="8" t="n">
        <v>0.04498949571968542</v>
      </c>
      <c r="F1527" s="8" t="n">
        <v>0.03724259252680164</v>
      </c>
      <c r="G1527" s="6" t="n">
        <v>1454.946996758909</v>
      </c>
      <c r="H1527" s="6" t="n">
        <v>44.75672058058182</v>
      </c>
      <c r="I1527" s="6" t="n">
        <v>121.9667081412157</v>
      </c>
    </row>
    <row r="1528">
      <c r="A1528" s="6" t="inlineStr">
        <is>
          <t>5 wt% Re | 250 C</t>
        </is>
      </c>
      <c r="B1528" s="8" t="n">
        <v>0.34</v>
      </c>
      <c r="C1528" s="6" t="n">
        <v>1991.137515253058</v>
      </c>
      <c r="D1528" s="6" t="n">
        <v>40434.36037437138</v>
      </c>
      <c r="E1528" s="8" t="n">
        <v>0.04481459972790627</v>
      </c>
      <c r="F1528" s="8" t="n">
        <v>0.03708366848115186</v>
      </c>
      <c r="G1528" s="6" t="n">
        <v>1456.729790909901</v>
      </c>
      <c r="H1528" s="6" t="n">
        <v>44.80533886778542</v>
      </c>
      <c r="I1528" s="6" t="n">
        <v>122.0760745017195</v>
      </c>
    </row>
    <row r="1529">
      <c r="A1529" s="6" t="inlineStr">
        <is>
          <t>5 wt% Re | 250 C</t>
        </is>
      </c>
      <c r="B1529" s="8" t="n">
        <v>0.341</v>
      </c>
      <c r="C1529" s="6" t="n">
        <v>1993.416078472465</v>
      </c>
      <c r="D1529" s="6" t="n">
        <v>40362.54491637381</v>
      </c>
      <c r="E1529" s="8" t="n">
        <v>0.04464066601076935</v>
      </c>
      <c r="F1529" s="8" t="n">
        <v>0.03692561883278023</v>
      </c>
      <c r="G1529" s="6" t="n">
        <v>1458.512585060894</v>
      </c>
      <c r="H1529" s="6" t="n">
        <v>44.85395791771732</v>
      </c>
      <c r="I1529" s="6" t="n">
        <v>122.1853614171043</v>
      </c>
    </row>
    <row r="1530">
      <c r="A1530" s="6" t="inlineStr">
        <is>
          <t>5 wt% Re | 250 C</t>
        </is>
      </c>
      <c r="B1530" s="8" t="n">
        <v>0.342</v>
      </c>
      <c r="C1530" s="6" t="n">
        <v>1995.694565256895</v>
      </c>
      <c r="D1530" s="6" t="n">
        <v>40290.82309019134</v>
      </c>
      <c r="E1530" s="8" t="n">
        <v>0.04446768664843508</v>
      </c>
      <c r="F1530" s="8" t="n">
        <v>0.036768436385107</v>
      </c>
      <c r="G1530" s="6" t="n">
        <v>1460.295379211886</v>
      </c>
      <c r="H1530" s="6" t="n">
        <v>44.90257772368698</v>
      </c>
      <c r="I1530" s="6" t="n">
        <v>122.2945691238213</v>
      </c>
    </row>
    <row r="1531">
      <c r="A1531" s="6" t="inlineStr">
        <is>
          <t>5 wt% Re | 250 C</t>
        </is>
      </c>
      <c r="B1531" s="8" t="n">
        <v>0.343</v>
      </c>
      <c r="C1531" s="6" t="n">
        <v>1997.972975828478</v>
      </c>
      <c r="D1531" s="6" t="n">
        <v>40219.19407688682</v>
      </c>
      <c r="E1531" s="8" t="n">
        <v>0.0442956538077366</v>
      </c>
      <c r="F1531" s="8" t="n">
        <v>0.03661211402031003</v>
      </c>
      <c r="G1531" s="6" t="n">
        <v>1462.078173362878</v>
      </c>
      <c r="H1531" s="6" t="n">
        <v>44.95119827908179</v>
      </c>
      <c r="I1531" s="6" t="n">
        <v>122.4036978570888</v>
      </c>
    </row>
    <row r="1532">
      <c r="A1532" s="6" t="inlineStr">
        <is>
          <t>5 wt% Re | 250 C</t>
        </is>
      </c>
      <c r="B1532" s="8" t="n">
        <v>0.344</v>
      </c>
      <c r="C1532" s="6" t="n">
        <v>2000.25131040823</v>
      </c>
      <c r="D1532" s="6" t="n">
        <v>40147.65706704561</v>
      </c>
      <c r="E1532" s="8" t="n">
        <v>0.04412455974099743</v>
      </c>
      <c r="F1532" s="8" t="n">
        <v>0.03645664469825034</v>
      </c>
      <c r="G1532" s="6" t="n">
        <v>1463.860967513871</v>
      </c>
      <c r="H1532" s="6" t="n">
        <v>44.99981957736606</v>
      </c>
      <c r="I1532" s="6" t="n">
        <v>122.5127478509006</v>
      </c>
    </row>
    <row r="1533">
      <c r="A1533" s="6" t="inlineStr">
        <is>
          <t>5 wt% Re | 250 C</t>
        </is>
      </c>
      <c r="B1533" s="8" t="n">
        <v>0.345</v>
      </c>
      <c r="C1533" s="6" t="n">
        <v>2002.529569216074</v>
      </c>
      <c r="D1533" s="6" t="n">
        <v>40076.2112606376</v>
      </c>
      <c r="E1533" s="8" t="n">
        <v>0.04395439678486828</v>
      </c>
      <c r="F1533" s="8" t="n">
        <v>0.03630202145541514</v>
      </c>
      <c r="G1533" s="6" t="n">
        <v>1465.643761664863</v>
      </c>
      <c r="H1533" s="6" t="n">
        <v>45.04844161207991</v>
      </c>
      <c r="I1533" s="6" t="n">
        <v>122.6217193380347</v>
      </c>
    </row>
    <row r="1534">
      <c r="A1534" s="6" t="inlineStr">
        <is>
          <t>5 wt% Re | 250 C</t>
        </is>
      </c>
      <c r="B1534" s="8" t="n">
        <v>0.346</v>
      </c>
      <c r="C1534" s="6" t="n">
        <v>2004.80775247083</v>
      </c>
      <c r="D1534" s="6" t="n">
        <v>40004.85586688157</v>
      </c>
      <c r="E1534" s="8" t="n">
        <v>0.04378515735918298</v>
      </c>
      <c r="F1534" s="8" t="n">
        <v>0.03614823740387828</v>
      </c>
      <c r="G1534" s="6" t="n">
        <v>1467.426555815856</v>
      </c>
      <c r="H1534" s="6" t="n">
        <v>45.09706437683809</v>
      </c>
      <c r="I1534" s="6" t="n">
        <v>122.7306125500618</v>
      </c>
    </row>
    <row r="1535">
      <c r="A1535" s="6" t="inlineStr">
        <is>
          <t>5 wt% Re | 250 C</t>
        </is>
      </c>
      <c r="B1535" s="8" t="n">
        <v>0.347</v>
      </c>
      <c r="C1535" s="6" t="n">
        <v>2007.085860390234</v>
      </c>
      <c r="D1535" s="6" t="n">
        <v>39933.59010411197</v>
      </c>
      <c r="E1535" s="8" t="n">
        <v>0.04361683396583271</v>
      </c>
      <c r="F1535" s="8" t="n">
        <v>0.03599528573027731</v>
      </c>
      <c r="G1535" s="6" t="n">
        <v>1469.209349966849</v>
      </c>
      <c r="H1535" s="6" t="n">
        <v>45.145687865329</v>
      </c>
      <c r="I1535" s="6" t="n">
        <v>122.8394277173533</v>
      </c>
    </row>
    <row r="1536">
      <c r="A1536" s="6" t="inlineStr">
        <is>
          <t>5 wt% Re | 250 C</t>
        </is>
      </c>
      <c r="B1536" s="8" t="n">
        <v>0.348</v>
      </c>
      <c r="C1536" s="6" t="n">
        <v>2009.363893190938</v>
      </c>
      <c r="D1536" s="6" t="n">
        <v>39862.41319964783</v>
      </c>
      <c r="E1536" s="8" t="n">
        <v>0.04344941918765878</v>
      </c>
      <c r="F1536" s="8" t="n">
        <v>0.03584315969480728</v>
      </c>
      <c r="G1536" s="6" t="n">
        <v>1470.992144117841</v>
      </c>
      <c r="H1536" s="6" t="n">
        <v>45.19431207131353</v>
      </c>
      <c r="I1536" s="6" t="n">
        <v>122.94816506909</v>
      </c>
    </row>
    <row r="1537">
      <c r="A1537" s="6" t="inlineStr">
        <is>
          <t>5 wt% Re | 250 C</t>
        </is>
      </c>
      <c r="B1537" s="8" t="n">
        <v>0.349</v>
      </c>
      <c r="C1537" s="6" t="n">
        <v>2011.641851088523</v>
      </c>
      <c r="D1537" s="6" t="n">
        <v>39791.32438966421</v>
      </c>
      <c r="E1537" s="8" t="n">
        <v>0.04328290568736307</v>
      </c>
      <c r="F1537" s="8" t="n">
        <v>0.03569185263023076</v>
      </c>
      <c r="G1537" s="6" t="n">
        <v>1472.774938268833</v>
      </c>
      <c r="H1537" s="6" t="n">
        <v>45.24293698862414</v>
      </c>
      <c r="I1537" s="6" t="n">
        <v>123.0568248332703</v>
      </c>
    </row>
    <row r="1538">
      <c r="A1538" s="6" t="inlineStr">
        <is>
          <t>5 wt% Re | 250 C</t>
        </is>
      </c>
      <c r="B1538" s="8" t="n">
        <v>0.35</v>
      </c>
      <c r="C1538" s="6" t="n">
        <v>2013.919734297499</v>
      </c>
      <c r="D1538" s="6" t="n">
        <v>39720.32291906553</v>
      </c>
      <c r="E1538" s="8" t="n">
        <v>0.04311728620643608</v>
      </c>
      <c r="F1538" s="8" t="n">
        <v>0.03554135794090381</v>
      </c>
      <c r="G1538" s="6" t="n">
        <v>1474.557732419826</v>
      </c>
      <c r="H1538" s="6" t="n">
        <v>45.29156261116374</v>
      </c>
      <c r="I1538" s="6" t="n">
        <v>123.1654072367182</v>
      </c>
    </row>
    <row r="1539">
      <c r="A1539" s="6" t="inlineStr">
        <is>
          <t>5 wt% Re | 250 C</t>
        </is>
      </c>
      <c r="B1539" s="8" t="n">
        <v>0.351</v>
      </c>
      <c r="C1539" s="6" t="n">
        <v>2016.197543031321</v>
      </c>
      <c r="D1539" s="6" t="n">
        <v>39649.40804136136</v>
      </c>
      <c r="E1539" s="8" t="n">
        <v>0.0429525535641023</v>
      </c>
      <c r="F1539" s="8" t="n">
        <v>0.03539166910181753</v>
      </c>
      <c r="G1539" s="6" t="n">
        <v>1476.340526570818</v>
      </c>
      <c r="H1539" s="6" t="n">
        <v>45.34018893290474</v>
      </c>
      <c r="I1539" s="6" t="n">
        <v>123.2739125050915</v>
      </c>
    </row>
    <row r="1540">
      <c r="A1540" s="6" t="inlineStr">
        <is>
          <t>5 wt% Re | 250 C</t>
        </is>
      </c>
      <c r="B1540" s="8" t="n">
        <v>0.352</v>
      </c>
      <c r="C1540" s="6" t="n">
        <v>2018.475277502385</v>
      </c>
      <c r="D1540" s="6" t="n">
        <v>39578.57901854406</v>
      </c>
      <c r="E1540" s="8" t="n">
        <v>0.04278870065628226</v>
      </c>
      <c r="F1540" s="8" t="n">
        <v>0.03524277965765506</v>
      </c>
      <c r="G1540" s="6" t="n">
        <v>1478.123320721811</v>
      </c>
      <c r="H1540" s="6" t="n">
        <v>45.38881594788804</v>
      </c>
      <c r="I1540" s="6" t="n">
        <v>123.38234086289</v>
      </c>
    </row>
    <row r="1541">
      <c r="A1541" s="6" t="inlineStr">
        <is>
          <t>5 wt% Re | 250 C</t>
        </is>
      </c>
      <c r="B1541" s="8" t="n">
        <v>0.353</v>
      </c>
      <c r="C1541" s="6" t="n">
        <v>2020.752937922042</v>
      </c>
      <c r="D1541" s="6" t="n">
        <v>39507.83512096872</v>
      </c>
      <c r="E1541" s="8" t="n">
        <v>0.04262572045457141</v>
      </c>
      <c r="F1541" s="8" t="n">
        <v>0.0350946832218636</v>
      </c>
      <c r="G1541" s="6" t="n">
        <v>1479.906114872803</v>
      </c>
      <c r="H1541" s="6" t="n">
        <v>45.43744365022203</v>
      </c>
      <c r="I1541" s="6" t="n">
        <v>123.4906925334633</v>
      </c>
    </row>
    <row r="1542">
      <c r="A1542" s="6" t="inlineStr">
        <is>
          <t>5 wt% Re | 250 C</t>
        </is>
      </c>
      <c r="B1542" s="8" t="n">
        <v>0.354</v>
      </c>
      <c r="C1542" s="6" t="n">
        <v>2023.030524500603</v>
      </c>
      <c r="D1542" s="6" t="n">
        <v>39437.17562723494</v>
      </c>
      <c r="E1542" s="8" t="n">
        <v>0.04246360600523506</v>
      </c>
      <c r="F1542" s="8" t="n">
        <v>0.03494737347574115</v>
      </c>
      <c r="G1542" s="6" t="n">
        <v>1481.688909023796</v>
      </c>
      <c r="H1542" s="6" t="n">
        <v>45.48607203408174</v>
      </c>
      <c r="I1542" s="6" t="n">
        <v>123.5989677390187</v>
      </c>
    </row>
    <row r="1543">
      <c r="A1543" s="6" t="inlineStr">
        <is>
          <t>5 wt% Re | 250 C</t>
        </is>
      </c>
      <c r="B1543" s="8" t="n">
        <v>0.355</v>
      </c>
      <c r="C1543" s="6" t="n">
        <v>2025.308037447345</v>
      </c>
      <c r="D1543" s="6" t="n">
        <v>39366.59982407085</v>
      </c>
      <c r="E1543" s="8" t="n">
        <v>0.04230235042821945</v>
      </c>
      <c r="F1543" s="8" t="n">
        <v>0.03480084416753795</v>
      </c>
      <c r="G1543" s="6" t="n">
        <v>1483.471703174788</v>
      </c>
      <c r="H1543" s="6" t="n">
        <v>45.53470109370778</v>
      </c>
      <c r="I1543" s="6" t="n">
        <v>123.7071667006293</v>
      </c>
    </row>
    <row r="1544">
      <c r="A1544" s="6" t="inlineStr">
        <is>
          <t>5 wt% Re | 250 C</t>
        </is>
      </c>
      <c r="B1544" s="8" t="n">
        <v>0.356</v>
      </c>
      <c r="C1544" s="6" t="n">
        <v>2027.585476970518</v>
      </c>
      <c r="D1544" s="6" t="n">
        <v>39296.10700621884</v>
      </c>
      <c r="E1544" s="8" t="n">
        <v>0.04214194691617842</v>
      </c>
      <c r="F1544" s="8" t="n">
        <v>0.03465508911157198</v>
      </c>
      <c r="G1544" s="6" t="n">
        <v>1485.25449732578</v>
      </c>
      <c r="H1544" s="6" t="n">
        <v>45.5833308234055</v>
      </c>
      <c r="I1544" s="6" t="n">
        <v>123.8152896382417</v>
      </c>
    </row>
    <row r="1545">
      <c r="A1545" s="6" t="inlineStr">
        <is>
          <t>5 wt% Re | 250 C</t>
        </is>
      </c>
      <c r="B1545" s="8" t="n">
        <v>0.357</v>
      </c>
      <c r="C1545" s="6" t="n">
        <v>2029.862843277351</v>
      </c>
      <c r="D1545" s="6" t="n">
        <v>39225.69647632334</v>
      </c>
      <c r="E1545" s="8" t="n">
        <v>0.04198238873351549</v>
      </c>
      <c r="F1545" s="8" t="n">
        <v>0.03451010218735853</v>
      </c>
      <c r="G1545" s="6" t="n">
        <v>1487.037291476773</v>
      </c>
      <c r="H1545" s="6" t="n">
        <v>45.63196121754404</v>
      </c>
      <c r="I1545" s="6" t="n">
        <v>123.9233367706839</v>
      </c>
    </row>
    <row r="1546">
      <c r="A1546" s="6" t="inlineStr">
        <is>
          <t>5 wt% Re | 250 C</t>
        </is>
      </c>
      <c r="B1546" s="8" t="n">
        <v>0.358</v>
      </c>
      <c r="C1546" s="6" t="n">
        <v>2032.140136574057</v>
      </c>
      <c r="D1546" s="6" t="n">
        <v>39155.36754482046</v>
      </c>
      <c r="E1546" s="8" t="n">
        <v>0.04182366921544101</v>
      </c>
      <c r="F1546" s="8" t="n">
        <v>0.03436587733875346</v>
      </c>
      <c r="G1546" s="6" t="n">
        <v>1488.820085627765</v>
      </c>
      <c r="H1546" s="6" t="n">
        <v>45.68059227055547</v>
      </c>
      <c r="I1546" s="6" t="n">
        <v>124.0313083156724</v>
      </c>
    </row>
    <row r="1547">
      <c r="A1547" s="6" t="inlineStr">
        <is>
          <t>5 wt% Re | 250 C</t>
        </is>
      </c>
      <c r="B1547" s="8" t="n">
        <v>0.359</v>
      </c>
      <c r="C1547" s="6" t="n">
        <v>2034.41735706585</v>
      </c>
      <c r="D1547" s="6" t="n">
        <v>39085.11952982949</v>
      </c>
      <c r="E1547" s="8" t="n">
        <v>0.0416657817670442</v>
      </c>
      <c r="F1547" s="8" t="n">
        <v>0.03422240857311001</v>
      </c>
      <c r="G1547" s="6" t="n">
        <v>1490.602879778758</v>
      </c>
      <c r="H1547" s="6" t="n">
        <v>45.72922397693387</v>
      </c>
      <c r="I1547" s="6" t="n">
        <v>124.1392044898207</v>
      </c>
    </row>
    <row r="1548">
      <c r="A1548" s="6" t="inlineStr">
        <is>
          <t>5 wt% Re | 250 C</t>
        </is>
      </c>
      <c r="B1548" s="8" t="n">
        <v>0.36</v>
      </c>
      <c r="C1548" s="6" t="n">
        <v>2036.694504956929</v>
      </c>
      <c r="D1548" s="6" t="n">
        <v>39014.95175704618</v>
      </c>
      <c r="E1548" s="8" t="n">
        <v>0.04150871986237972</v>
      </c>
      <c r="F1548" s="8" t="n">
        <v>0.03407968996044873</v>
      </c>
      <c r="G1548" s="6" t="n">
        <v>1492.38567392975</v>
      </c>
      <c r="H1548" s="6" t="n">
        <v>45.77785633123452</v>
      </c>
      <c r="I1548" s="6" t="n">
        <v>124.2470255086462</v>
      </c>
    </row>
    <row r="1549">
      <c r="A1549" s="6" t="inlineStr">
        <is>
          <t>5 wt% Re | 250 C</t>
        </is>
      </c>
      <c r="B1549" s="8" t="n">
        <v>0.361</v>
      </c>
      <c r="C1549" s="6" t="n">
        <v>2038.971580450511</v>
      </c>
      <c r="D1549" s="6" t="n">
        <v>38944.86355963774</v>
      </c>
      <c r="E1549" s="8" t="n">
        <v>0.04135247704356847</v>
      </c>
      <c r="F1549" s="8" t="n">
        <v>0.03393771563264043</v>
      </c>
      <c r="G1549" s="6" t="n">
        <v>1494.168468080743</v>
      </c>
      <c r="H1549" s="6" t="n">
        <v>45.82648932807304</v>
      </c>
      <c r="I1549" s="6" t="n">
        <v>124.354771586578</v>
      </c>
    </row>
    <row r="1550">
      <c r="A1550" s="6" t="inlineStr">
        <is>
          <t>5 wt% Re | 250 C</t>
        </is>
      </c>
      <c r="B1550" s="8" t="n">
        <v>0.362</v>
      </c>
      <c r="C1550" s="6" t="n">
        <v>2041.248583748817</v>
      </c>
      <c r="D1550" s="6" t="n">
        <v>38874.85427813977</v>
      </c>
      <c r="E1550" s="8" t="n">
        <v>0.04119704691991254</v>
      </c>
      <c r="F1550" s="8" t="n">
        <v>0.03379647978260199</v>
      </c>
      <c r="G1550" s="6" t="n">
        <v>1495.951262231735</v>
      </c>
      <c r="H1550" s="6" t="n">
        <v>45.87512296212451</v>
      </c>
      <c r="I1550" s="6" t="n">
        <v>124.4624429369643</v>
      </c>
    </row>
    <row r="1551">
      <c r="A1551" s="6" t="inlineStr">
        <is>
          <t>5 wt% Re | 250 C</t>
        </is>
      </c>
      <c r="B1551" s="8" t="n">
        <v>0.363</v>
      </c>
      <c r="C1551" s="6" t="n">
        <v>2043.525515053089</v>
      </c>
      <c r="D1551" s="6" t="n">
        <v>38804.92326035466</v>
      </c>
      <c r="E1551" s="8" t="n">
        <v>0.04104242316702383</v>
      </c>
      <c r="F1551" s="8" t="n">
        <v>0.03365597666350446</v>
      </c>
      <c r="G1551" s="6" t="n">
        <v>1497.734056382728</v>
      </c>
      <c r="H1551" s="6" t="n">
        <v>45.92375722812271</v>
      </c>
      <c r="I1551" s="6" t="n">
        <v>124.5700397720797</v>
      </c>
    </row>
    <row r="1552">
      <c r="A1552" s="6" t="inlineStr">
        <is>
          <t>5 wt% Re | 250 C</t>
        </is>
      </c>
      <c r="B1552" s="8" t="n">
        <v>0.364</v>
      </c>
      <c r="C1552" s="6" t="n">
        <v>2045.802374563592</v>
      </c>
      <c r="D1552" s="6" t="n">
        <v>38735.0698612518</v>
      </c>
      <c r="E1552" s="8" t="n">
        <v>0.04088859952596625</v>
      </c>
      <c r="F1552" s="8" t="n">
        <v>0.03351620058799371</v>
      </c>
      <c r="G1552" s="6" t="n">
        <v>1499.51685053372</v>
      </c>
      <c r="H1552" s="6" t="n">
        <v>45.97239212085931</v>
      </c>
      <c r="I1552" s="6" t="n">
        <v>124.6775623031327</v>
      </c>
    </row>
    <row r="1553">
      <c r="A1553" s="6" t="inlineStr">
        <is>
          <t>5 wt% Re | 250 C</t>
        </is>
      </c>
      <c r="B1553" s="8" t="n">
        <v>0.365</v>
      </c>
      <c r="C1553" s="6" t="n">
        <v>2048.079162479622</v>
      </c>
      <c r="D1553" s="6" t="n">
        <v>38665.29344286943</v>
      </c>
      <c r="E1553" s="8" t="n">
        <v>0.04073556980241121</v>
      </c>
      <c r="F1553" s="8" t="n">
        <v>0.03337714592742295</v>
      </c>
      <c r="G1553" s="6" t="n">
        <v>1501.299644684712</v>
      </c>
      <c r="H1553" s="6" t="n">
        <v>46.02102763518301</v>
      </c>
      <c r="I1553" s="6" t="n">
        <v>124.7850107402729</v>
      </c>
    </row>
    <row r="1554">
      <c r="A1554" s="6" t="inlineStr">
        <is>
          <t>5 wt% Re | 250 C</t>
        </is>
      </c>
      <c r="B1554" s="8" t="n">
        <v>0.366</v>
      </c>
      <c r="C1554" s="6" t="n">
        <v>2050.355878999511</v>
      </c>
      <c r="D1554" s="6" t="n">
        <v>38595.59337421803</v>
      </c>
      <c r="E1554" s="8" t="n">
        <v>0.04058332786580609</v>
      </c>
      <c r="F1554" s="8" t="n">
        <v>0.03323880711109722</v>
      </c>
      <c r="G1554" s="6" t="n">
        <v>1503.082438835705</v>
      </c>
      <c r="H1554" s="6" t="n">
        <v>46.06966376599887</v>
      </c>
      <c r="I1554" s="6" t="n">
        <v>124.8923852925982</v>
      </c>
    </row>
    <row r="1555">
      <c r="A1555" s="6" t="inlineStr">
        <is>
          <t>5 wt% Re | 250 C</t>
        </is>
      </c>
      <c r="B1555" s="8" t="n">
        <v>0.367</v>
      </c>
      <c r="C1555" s="6" t="n">
        <v>2052.632524320634</v>
      </c>
      <c r="D1555" s="6" t="n">
        <v>38525.96903118535</v>
      </c>
      <c r="E1555" s="8" t="n">
        <v>0.04043186764855557</v>
      </c>
      <c r="F1555" s="8" t="n">
        <v>0.03310117862552939</v>
      </c>
      <c r="G1555" s="6" t="n">
        <v>1504.865232986697</v>
      </c>
      <c r="H1555" s="6" t="n">
        <v>46.1183005082674</v>
      </c>
      <c r="I1555" s="6" t="n">
        <v>124.999686168162</v>
      </c>
    </row>
    <row r="1556">
      <c r="A1556" s="6" t="inlineStr">
        <is>
          <t>5 wt% Re | 250 C</t>
        </is>
      </c>
      <c r="B1556" s="8" t="n">
        <v>0.368</v>
      </c>
      <c r="C1556" s="6" t="n">
        <v>2054.909098639415</v>
      </c>
      <c r="D1556" s="6" t="n">
        <v>38456.41979644298</v>
      </c>
      <c r="E1556" s="8" t="n">
        <v>0.04028118314521559</v>
      </c>
      <c r="F1556" s="8" t="n">
        <v>0.03296425501370781</v>
      </c>
      <c r="G1556" s="6" t="n">
        <v>1506.64802713769</v>
      </c>
      <c r="H1556" s="6" t="n">
        <v>46.16693785700392</v>
      </c>
      <c r="I1556" s="6" t="n">
        <v>125.1069135739801</v>
      </c>
    </row>
    <row r="1557">
      <c r="A1557" s="6" t="inlineStr">
        <is>
          <t>5 wt% Re | 250 C</t>
        </is>
      </c>
      <c r="B1557" s="8" t="n">
        <v>0.369</v>
      </c>
      <c r="C1557" s="6" t="n">
        <v>2057.185602151333</v>
      </c>
      <c r="D1557" s="6" t="n">
        <v>38386.94505935442</v>
      </c>
      <c r="E1557" s="8" t="n">
        <v>0.04013126841169951</v>
      </c>
      <c r="F1557" s="8" t="n">
        <v>0.03282803087437494</v>
      </c>
      <c r="G1557" s="6" t="n">
        <v>1508.430821288682</v>
      </c>
      <c r="H1557" s="6" t="n">
        <v>46.21557580727785</v>
      </c>
      <c r="I1557" s="6" t="n">
        <v>125.2140677160381</v>
      </c>
    </row>
    <row r="1558">
      <c r="A1558" s="6" t="inlineStr">
        <is>
          <t>5 wt% Re | 250 C</t>
        </is>
      </c>
      <c r="B1558" s="8" t="n">
        <v>0.37</v>
      </c>
      <c r="C1558" s="6" t="n">
        <v>2059.462035050926</v>
      </c>
      <c r="D1558" s="6" t="n">
        <v>38317.54421588463</v>
      </c>
      <c r="E1558" s="8" t="n">
        <v>0.03998211756449657</v>
      </c>
      <c r="F1558" s="8" t="n">
        <v>0.03269250086131714</v>
      </c>
      <c r="G1558" s="6" t="n">
        <v>1510.213615439675</v>
      </c>
      <c r="H1558" s="6" t="n">
        <v>46.26421435421185</v>
      </c>
      <c r="I1558" s="6" t="n">
        <v>125.3211487992981</v>
      </c>
    </row>
    <row r="1559">
      <c r="A1559" s="6" t="inlineStr">
        <is>
          <t>5 wt% Re | 250 C</t>
        </is>
      </c>
      <c r="B1559" s="8" t="n">
        <v>0.371</v>
      </c>
      <c r="C1559" s="6" t="n">
        <v>2061.738397531802</v>
      </c>
      <c r="D1559" s="6" t="n">
        <v>38248.21666851111</v>
      </c>
      <c r="E1559" s="8" t="n">
        <v>0.03983372477990216</v>
      </c>
      <c r="F1559" s="8" t="n">
        <v>0.03255765968266532</v>
      </c>
      <c r="G1559" s="6" t="n">
        <v>1511.996409590667</v>
      </c>
      <c r="H1559" s="6" t="n">
        <v>46.31285349298116</v>
      </c>
      <c r="I1559" s="6" t="n">
        <v>125.428157027706</v>
      </c>
    </row>
    <row r="1560">
      <c r="A1560" s="6" t="inlineStr">
        <is>
          <t>5 wt% Re | 250 C</t>
        </is>
      </c>
      <c r="B1560" s="8" t="n">
        <v>0.372</v>
      </c>
      <c r="C1560" s="6" t="n">
        <v>2064.014689786638</v>
      </c>
      <c r="D1560" s="6" t="n">
        <v>38178.96182613628</v>
      </c>
      <c r="E1560" s="8" t="n">
        <v>0.03968608429325982</v>
      </c>
      <c r="F1560" s="8" t="n">
        <v>0.03242350210020607</v>
      </c>
      <c r="G1560" s="6" t="n">
        <v>1513.77920374166</v>
      </c>
      <c r="H1560" s="6" t="n">
        <v>46.3614932188129</v>
      </c>
      <c r="I1560" s="6" t="n">
        <v>125.5350926041978</v>
      </c>
    </row>
    <row r="1561">
      <c r="A1561" s="6" t="inlineStr">
        <is>
          <t>5 wt% Re | 250 C</t>
        </is>
      </c>
      <c r="B1561" s="8" t="n">
        <v>0.373</v>
      </c>
      <c r="C1561" s="6" t="n">
        <v>2066.290912007192</v>
      </c>
      <c r="D1561" s="6" t="n">
        <v>38109.77910400146</v>
      </c>
      <c r="E1561" s="8" t="n">
        <v>0.0395391903982148</v>
      </c>
      <c r="F1561" s="8" t="n">
        <v>0.03229002292870345</v>
      </c>
      <c r="G1561" s="6" t="n">
        <v>1515.561997892652</v>
      </c>
      <c r="H1561" s="6" t="n">
        <v>46.41013352698541</v>
      </c>
      <c r="I1561" s="6" t="n">
        <v>125.6419557307069</v>
      </c>
    </row>
    <row r="1562">
      <c r="A1562" s="6" t="inlineStr">
        <is>
          <t>5 wt% Re | 250 C</t>
        </is>
      </c>
      <c r="B1562" s="8" t="n">
        <v>0.374</v>
      </c>
      <c r="C1562" s="6" t="n">
        <v>2068.567064384306</v>
      </c>
      <c r="D1562" s="6" t="n">
        <v>38040.66792360203</v>
      </c>
      <c r="E1562" s="8" t="n">
        <v>0.0393930374459788</v>
      </c>
      <c r="F1562" s="8" t="n">
        <v>0.03215721703523087</v>
      </c>
      <c r="G1562" s="6" t="n">
        <v>1517.344792043644</v>
      </c>
      <c r="H1562" s="6" t="n">
        <v>46.45877441282751</v>
      </c>
      <c r="I1562" s="6" t="n">
        <v>125.7487466081709</v>
      </c>
    </row>
    <row r="1563">
      <c r="A1563" s="6" t="inlineStr">
        <is>
          <t>5 wt% Re | 250 C</t>
        </is>
      </c>
      <c r="B1563" s="8" t="n">
        <v>0.375</v>
      </c>
      <c r="C1563" s="6" t="n">
        <v>2070.843147107913</v>
      </c>
      <c r="D1563" s="6" t="n">
        <v>37971.62771260412</v>
      </c>
      <c r="E1563" s="8" t="n">
        <v>0.03924761984460596</v>
      </c>
      <c r="F1563" s="8" t="n">
        <v>0.03202507933851314</v>
      </c>
      <c r="G1563" s="6" t="n">
        <v>1519.127586194637</v>
      </c>
      <c r="H1563" s="6" t="n">
        <v>46.50741587171781</v>
      </c>
      <c r="I1563" s="6" t="n">
        <v>125.8554654365378</v>
      </c>
    </row>
    <row r="1564">
      <c r="A1564" s="6" t="inlineStr">
        <is>
          <t>5 wt% Re | 250 C</t>
        </is>
      </c>
      <c r="B1564" s="8" t="n">
        <v>0.376</v>
      </c>
      <c r="C1564" s="6" t="n">
        <v>2073.119160367041</v>
      </c>
      <c r="D1564" s="6" t="n">
        <v>37902.6579047625</v>
      </c>
      <c r="E1564" s="8" t="n">
        <v>0.03910293205827954</v>
      </c>
      <c r="F1564" s="8" t="n">
        <v>0.03189360480827838</v>
      </c>
      <c r="G1564" s="6" t="n">
        <v>1520.910380345629</v>
      </c>
      <c r="H1564" s="6" t="n">
        <v>46.55605789908416</v>
      </c>
      <c r="I1564" s="6" t="n">
        <v>125.9621124147734</v>
      </c>
    </row>
    <row r="1565">
      <c r="A1565" s="6" t="inlineStr">
        <is>
          <t>5 wt% Re | 250 C</t>
        </is>
      </c>
      <c r="B1565" s="8" t="n">
        <v>0.377</v>
      </c>
      <c r="C1565" s="6" t="n">
        <v>2075.395104349819</v>
      </c>
      <c r="D1565" s="6" t="n">
        <v>37833.75793983986</v>
      </c>
      <c r="E1565" s="8" t="n">
        <v>0.03895896860660956</v>
      </c>
      <c r="F1565" s="8" t="n">
        <v>0.03176278846461975</v>
      </c>
      <c r="G1565" s="6" t="n">
        <v>1522.693174496622</v>
      </c>
      <c r="H1565" s="6" t="n">
        <v>46.60470049040287</v>
      </c>
      <c r="I1565" s="6" t="n">
        <v>126.0686877408672</v>
      </c>
    </row>
    <row r="1566">
      <c r="A1566" s="6" t="inlineStr">
        <is>
          <t>5 wt% Re | 250 C</t>
        </is>
      </c>
      <c r="B1566" s="8" t="n">
        <v>0.378</v>
      </c>
      <c r="C1566" s="6" t="n">
        <v>2077.670979243485</v>
      </c>
      <c r="D1566" s="6" t="n">
        <v>37764.92726352731</v>
      </c>
      <c r="E1566" s="8" t="n">
        <v>0.0388157240639408</v>
      </c>
      <c r="F1566" s="8" t="n">
        <v>0.03163262537736661</v>
      </c>
      <c r="G1566" s="6" t="n">
        <v>1524.475968647614</v>
      </c>
      <c r="H1566" s="6" t="n">
        <v>46.6533436411981</v>
      </c>
      <c r="I1566" s="6" t="n">
        <v>126.1751916118395</v>
      </c>
    </row>
    <row r="1567">
      <c r="A1567" s="6" t="inlineStr">
        <is>
          <t>5 wt% Re | 250 C</t>
        </is>
      </c>
      <c r="B1567" s="8" t="n">
        <v>0.379</v>
      </c>
      <c r="C1567" s="6" t="n">
        <v>2079.94678523439</v>
      </c>
      <c r="D1567" s="6" t="n">
        <v>37696.16532736619</v>
      </c>
      <c r="E1567" s="8" t="n">
        <v>0.0386731930586711</v>
      </c>
      <c r="F1567" s="8" t="n">
        <v>0.03150311066546518</v>
      </c>
      <c r="G1567" s="6" t="n">
        <v>1526.258762798607</v>
      </c>
      <c r="H1567" s="6" t="n">
        <v>46.7019873470413</v>
      </c>
      <c r="I1567" s="6" t="n">
        <v>126.2816242237477</v>
      </c>
    </row>
    <row r="1568">
      <c r="A1568" s="6" t="inlineStr">
        <is>
          <t>5 wt% Re | 250 C</t>
        </is>
      </c>
      <c r="B1568" s="8" t="n">
        <v>0.38</v>
      </c>
      <c r="C1568" s="6" t="n">
        <v>2082.222522508002</v>
      </c>
      <c r="D1568" s="6" t="n">
        <v>37627.47158867111</v>
      </c>
      <c r="E1568" s="8" t="n">
        <v>0.03853137027258005</v>
      </c>
      <c r="F1568" s="8" t="n">
        <v>0.03137423949636844</v>
      </c>
      <c r="G1568" s="6" t="n">
        <v>1528.041556949599</v>
      </c>
      <c r="H1568" s="6" t="n">
        <v>46.7506316035505</v>
      </c>
      <c r="I1568" s="6" t="n">
        <v>126.3879857716928</v>
      </c>
    </row>
    <row r="1569">
      <c r="A1569" s="6" t="inlineStr">
        <is>
          <t>5 wt% Re | 250 C</t>
        </is>
      </c>
      <c r="B1569" s="8" t="n">
        <v>0.381</v>
      </c>
      <c r="C1569" s="6" t="n">
        <v>2084.498191248917</v>
      </c>
      <c r="D1569" s="6" t="n">
        <v>37558.84551045416</v>
      </c>
      <c r="E1569" s="8" t="n">
        <v>0.03839025044016738</v>
      </c>
      <c r="F1569" s="8" t="n">
        <v>0.03124600708543497</v>
      </c>
      <c r="G1569" s="6" t="n">
        <v>1529.824351100592</v>
      </c>
      <c r="H1569" s="6" t="n">
        <v>46.79927640638976</v>
      </c>
      <c r="I1569" s="6" t="n">
        <v>126.4942764498254</v>
      </c>
    </row>
    <row r="1570">
      <c r="A1570" s="6" t="inlineStr">
        <is>
          <t>5 wt% Re | 250 C</t>
        </is>
      </c>
      <c r="B1570" s="8" t="n">
        <v>0.382</v>
      </c>
      <c r="C1570" s="6" t="n">
        <v>2086.773791640856</v>
      </c>
      <c r="D1570" s="6" t="n">
        <v>37490.28656135029</v>
      </c>
      <c r="E1570" s="8" t="n">
        <v>0.03824982834800141</v>
      </c>
      <c r="F1570" s="8" t="n">
        <v>0.03111840869533691</v>
      </c>
      <c r="G1570" s="6" t="n">
        <v>1531.607145251584</v>
      </c>
      <c r="H1570" s="6" t="n">
        <v>46.84792175126852</v>
      </c>
      <c r="I1570" s="6" t="n">
        <v>126.6004964513529</v>
      </c>
    </row>
    <row r="1571">
      <c r="A1571" s="6" t="inlineStr">
        <is>
          <t>5 wt% Re | 250 C</t>
        </is>
      </c>
      <c r="B1571" s="8" t="n">
        <v>0.383</v>
      </c>
      <c r="C1571" s="6" t="n">
        <v>2089.049323866678</v>
      </c>
      <c r="D1571" s="6" t="n">
        <v>37421.79421554401</v>
      </c>
      <c r="E1571" s="8" t="n">
        <v>0.03811009883407692</v>
      </c>
      <c r="F1571" s="8" t="n">
        <v>0.03099143963547648</v>
      </c>
      <c r="G1571" s="6" t="n">
        <v>1533.389939402577</v>
      </c>
      <c r="H1571" s="6" t="n">
        <v>46.89656763394103</v>
      </c>
      <c r="I1571" s="6" t="n">
        <v>126.706645968545</v>
      </c>
    </row>
    <row r="1572">
      <c r="A1572" s="6" t="inlineStr">
        <is>
          <t>5 wt% Re | 250 C</t>
        </is>
      </c>
      <c r="B1572" s="8" t="n">
        <v>0.384</v>
      </c>
      <c r="C1572" s="6" t="n">
        <v>2091.324788108383</v>
      </c>
      <c r="D1572" s="6" t="n">
        <v>37353.36795269706</v>
      </c>
      <c r="E1572" s="8" t="n">
        <v>0.03797105678718268</v>
      </c>
      <c r="F1572" s="8" t="n">
        <v>0.03086509526141122</v>
      </c>
      <c r="G1572" s="6" t="n">
        <v>1535.172733553569</v>
      </c>
      <c r="H1572" s="6" t="n">
        <v>46.94521405020579</v>
      </c>
      <c r="I1572" s="6" t="n">
        <v>126.8127251927404</v>
      </c>
    </row>
    <row r="1573">
      <c r="A1573" s="6" t="inlineStr">
        <is>
          <t>5 wt% Re | 250 C</t>
        </is>
      </c>
      <c r="B1573" s="8" t="n">
        <v>0.385</v>
      </c>
      <c r="C1573" s="6" t="n">
        <v>2093.600184547116</v>
      </c>
      <c r="D1573" s="6" t="n">
        <v>37285.0072578773</v>
      </c>
      <c r="E1573" s="8" t="n">
        <v>0.03783269714627823</v>
      </c>
      <c r="F1573" s="8" t="n">
        <v>0.03073937097428774</v>
      </c>
      <c r="G1573" s="6" t="n">
        <v>1536.955527704562</v>
      </c>
      <c r="H1573" s="6" t="n">
        <v>46.99386099590497</v>
      </c>
      <c r="I1573" s="6" t="n">
        <v>126.9187343143529</v>
      </c>
    </row>
    <row r="1574">
      <c r="A1574" s="6" t="inlineStr">
        <is>
          <t>5 wt% Re | 250 C</t>
        </is>
      </c>
      <c r="B1574" s="8" t="n">
        <v>0.386</v>
      </c>
      <c r="C1574" s="6" t="n">
        <v>2095.875513363174</v>
      </c>
      <c r="D1574" s="6" t="n">
        <v>37216.71162148865</v>
      </c>
      <c r="E1574" s="8" t="n">
        <v>0.03769501489987969</v>
      </c>
      <c r="F1574" s="8" t="n">
        <v>0.03061426222028361</v>
      </c>
      <c r="G1574" s="6" t="n">
        <v>1538.738321855554</v>
      </c>
      <c r="H1574" s="6" t="n">
        <v>47.04250846692373</v>
      </c>
      <c r="I1574" s="6" t="n">
        <v>127.0246735228775</v>
      </c>
    </row>
    <row r="1575">
      <c r="A1575" s="6" t="inlineStr">
        <is>
          <t>5 wt% Re | 250 C</t>
        </is>
      </c>
      <c r="B1575" s="8" t="n">
        <v>0.387</v>
      </c>
      <c r="C1575" s="6" t="n">
        <v>2098.150774736011</v>
      </c>
      <c r="D1575" s="6" t="n">
        <v>37148.48053920219</v>
      </c>
      <c r="E1575" s="8" t="n">
        <v>0.03755800508545487</v>
      </c>
      <c r="F1575" s="8" t="n">
        <v>0.03048976449005768</v>
      </c>
      <c r="G1575" s="6" t="n">
        <v>1540.521116006547</v>
      </c>
      <c r="H1575" s="6" t="n">
        <v>47.09115645918986</v>
      </c>
      <c r="I1575" s="6" t="n">
        <v>127.1305430068964</v>
      </c>
    </row>
    <row r="1576">
      <c r="A1576" s="6" t="inlineStr">
        <is>
          <t>5 wt% Re | 250 C</t>
        </is>
      </c>
      <c r="B1576" s="8" t="n">
        <v>0.388</v>
      </c>
      <c r="C1576" s="6" t="n">
        <v>2100.425968844244</v>
      </c>
      <c r="D1576" s="6" t="n">
        <v>37080.31351188825</v>
      </c>
      <c r="E1576" s="8" t="n">
        <v>0.03742166278882686</v>
      </c>
      <c r="F1576" s="8" t="n">
        <v>0.03036587331820814</v>
      </c>
      <c r="G1576" s="6" t="n">
        <v>1542.303910157539</v>
      </c>
      <c r="H1576" s="6" t="n">
        <v>47.1398049686731</v>
      </c>
      <c r="I1576" s="6" t="n">
        <v>127.2363429540855</v>
      </c>
    </row>
    <row r="1577">
      <c r="A1577" s="6" t="inlineStr">
        <is>
          <t>5 wt% Re | 250 C</t>
        </is>
      </c>
      <c r="B1577" s="8" t="n">
        <v>0.389</v>
      </c>
      <c r="C1577" s="6" t="n">
        <v>2102.701095865655</v>
      </c>
      <c r="D1577" s="6" t="n">
        <v>37012.21004554964</v>
      </c>
      <c r="E1577" s="8" t="n">
        <v>0.03728598314358657</v>
      </c>
      <c r="F1577" s="8" t="n">
        <v>0.03024258428273874</v>
      </c>
      <c r="G1577" s="6" t="n">
        <v>1544.086704308531</v>
      </c>
      <c r="H1577" s="6" t="n">
        <v>47.18845399138462</v>
      </c>
      <c r="I1577" s="6" t="n">
        <v>127.3420735512199</v>
      </c>
    </row>
    <row r="1578">
      <c r="A1578" s="6" t="inlineStr">
        <is>
          <t>5 wt% Re | 250 C</t>
        </is>
      </c>
      <c r="B1578" s="8" t="n">
        <v>0.39</v>
      </c>
      <c r="C1578" s="6" t="n">
        <v>2104.976155977201</v>
      </c>
      <c r="D1578" s="6" t="n">
        <v>36944.16965125577</v>
      </c>
      <c r="E1578" s="8" t="n">
        <v>0.03715096133051371</v>
      </c>
      <c r="F1578" s="8" t="n">
        <v>0.03011989300453265</v>
      </c>
      <c r="G1578" s="6" t="n">
        <v>1545.869498459524</v>
      </c>
      <c r="H1578" s="6" t="n">
        <v>47.23710352337651</v>
      </c>
      <c r="I1578" s="6" t="n">
        <v>127.4477349841799</v>
      </c>
    </row>
    <row r="1579">
      <c r="A1579" s="6" t="inlineStr">
        <is>
          <t>5 wt% Re | 250 C</t>
        </is>
      </c>
      <c r="B1579" s="8" t="n">
        <v>0.391</v>
      </c>
      <c r="C1579" s="6" t="n">
        <v>2107.251149355017</v>
      </c>
      <c r="D1579" s="6" t="n">
        <v>36876.1918450779</v>
      </c>
      <c r="E1579" s="8" t="n">
        <v>0.03701659257700623</v>
      </c>
      <c r="F1579" s="8" t="n">
        <v>0.02999779514683392</v>
      </c>
      <c r="G1579" s="6" t="n">
        <v>1547.652292610516</v>
      </c>
      <c r="H1579" s="6" t="n">
        <v>47.28575356074125</v>
      </c>
      <c r="I1579" s="6" t="n">
        <v>127.5533274379575</v>
      </c>
    </row>
    <row r="1580">
      <c r="A1580" s="6" t="inlineStr">
        <is>
          <t>5 wt% Re | 250 C</t>
        </is>
      </c>
      <c r="B1580" s="8" t="n">
        <v>0.392</v>
      </c>
      <c r="C1580" s="6" t="n">
        <v>2109.526076174418</v>
      </c>
      <c r="D1580" s="6" t="n">
        <v>36808.27614802535</v>
      </c>
      <c r="E1580" s="8" t="n">
        <v>0.03688287215651793</v>
      </c>
      <c r="F1580" s="8" t="n">
        <v>0.02987628641473658</v>
      </c>
      <c r="G1580" s="6" t="n">
        <v>1549.435086761509</v>
      </c>
      <c r="H1580" s="6" t="n">
        <v>47.33440409961121</v>
      </c>
      <c r="I1580" s="6" t="n">
        <v>127.6588510966615</v>
      </c>
    </row>
    <row r="1581">
      <c r="A1581" s="6" t="inlineStr">
        <is>
          <t>5 wt% Re | 250 C</t>
        </is>
      </c>
      <c r="B1581" s="8" t="n">
        <v>0.393</v>
      </c>
      <c r="C1581" s="6" t="n">
        <v>2111.800936609911</v>
      </c>
      <c r="D1581" s="6" t="n">
        <v>36740.42208598265</v>
      </c>
      <c r="E1581" s="8" t="n">
        <v>0.03674979538800429</v>
      </c>
      <c r="F1581" s="8" t="n">
        <v>0.02975536255468099</v>
      </c>
      <c r="G1581" s="6" t="n">
        <v>1551.217880912501</v>
      </c>
      <c r="H1581" s="6" t="n">
        <v>47.38305513615806</v>
      </c>
      <c r="I1581" s="6" t="n">
        <v>127.7643061435237</v>
      </c>
    </row>
    <row r="1582">
      <c r="A1582" s="6" t="inlineStr">
        <is>
          <t>5 wt% Re | 250 C</t>
        </is>
      </c>
      <c r="B1582" s="8" t="n">
        <v>0.394</v>
      </c>
      <c r="C1582" s="6" t="n">
        <v>2114.075730835194</v>
      </c>
      <c r="D1582" s="6" t="n">
        <v>36672.62918964772</v>
      </c>
      <c r="E1582" s="8" t="n">
        <v>0.03661735763537622</v>
      </c>
      <c r="F1582" s="8" t="n">
        <v>0.02963501935395746</v>
      </c>
      <c r="G1582" s="6" t="n">
        <v>1553.000675063494</v>
      </c>
      <c r="H1582" s="6" t="n">
        <v>47.43170666659244</v>
      </c>
      <c r="I1582" s="6" t="n">
        <v>127.8696927609048</v>
      </c>
    </row>
    <row r="1583">
      <c r="A1583" s="6" t="inlineStr">
        <is>
          <t>5 wt% Re | 250 C</t>
        </is>
      </c>
      <c r="B1583" s="8" t="n">
        <v>0.395</v>
      </c>
      <c r="C1583" s="6" t="n">
        <v>2116.350459023161</v>
      </c>
      <c r="D1583" s="6" t="n">
        <v>36604.89699447087</v>
      </c>
      <c r="E1583" s="8" t="n">
        <v>0.03648555430696167</v>
      </c>
      <c r="F1583" s="8" t="n">
        <v>0.02951525264021712</v>
      </c>
      <c r="G1583" s="6" t="n">
        <v>1554.783469214486</v>
      </c>
      <c r="H1583" s="6" t="n">
        <v>47.48035868716325</v>
      </c>
      <c r="I1583" s="6" t="n">
        <v>127.9750111302998</v>
      </c>
    </row>
    <row r="1584">
      <c r="A1584" s="6" t="inlineStr">
        <is>
          <t>5 wt% Re | 250 C</t>
        </is>
      </c>
      <c r="B1584" s="8" t="n">
        <v>0.396</v>
      </c>
      <c r="C1584" s="6" t="n">
        <v>2118.625121345916</v>
      </c>
      <c r="D1584" s="6" t="n">
        <v>36537.22504059481</v>
      </c>
      <c r="E1584" s="8" t="n">
        <v>0.03635438085497501</v>
      </c>
      <c r="F1584" s="8" t="n">
        <v>0.02939605828098965</v>
      </c>
      <c r="G1584" s="6" t="n">
        <v>1556.566263365479</v>
      </c>
      <c r="H1584" s="6" t="n">
        <v>47.52901119415735</v>
      </c>
      <c r="I1584" s="6" t="n">
        <v>128.0802614323439</v>
      </c>
    </row>
    <row r="1585">
      <c r="A1585" s="6" t="inlineStr">
        <is>
          <t>5 wt% Re | 250 C</t>
        </is>
      </c>
      <c r="B1585" s="8" t="n">
        <v>0.397</v>
      </c>
      <c r="C1585" s="6" t="n">
        <v>2120.899717974763</v>
      </c>
      <c r="D1585" s="6" t="n">
        <v>36469.61287279566</v>
      </c>
      <c r="E1585" s="8" t="n">
        <v>0.03622383277499386</v>
      </c>
      <c r="F1585" s="8" t="n">
        <v>0.02927743218320799</v>
      </c>
      <c r="G1585" s="6" t="n">
        <v>1558.349057516471</v>
      </c>
      <c r="H1585" s="6" t="n">
        <v>47.57766418389903</v>
      </c>
      <c r="I1585" s="6" t="n">
        <v>128.1854438468182</v>
      </c>
    </row>
    <row r="1586">
      <c r="A1586" s="6" t="inlineStr">
        <is>
          <t>5 wt% Re | 250 C</t>
        </is>
      </c>
      <c r="B1586" s="8" t="n">
        <v>0.398</v>
      </c>
      <c r="C1586" s="6" t="n">
        <v>2123.174249080226</v>
      </c>
      <c r="D1586" s="6" t="n">
        <v>36402.06004042456</v>
      </c>
      <c r="E1586" s="8" t="n">
        <v>0.03609390560544362</v>
      </c>
      <c r="F1586" s="8" t="n">
        <v>0.02915937029273984</v>
      </c>
      <c r="G1586" s="6" t="n">
        <v>1560.131851667463</v>
      </c>
      <c r="H1586" s="6" t="n">
        <v>47.62631765274946</v>
      </c>
      <c r="I1586" s="6" t="n">
        <v>128.290558552655</v>
      </c>
    </row>
    <row r="1587">
      <c r="A1587" s="6" t="inlineStr">
        <is>
          <t>5 wt% Re | 250 C</t>
        </is>
      </c>
      <c r="B1587" s="8" t="n">
        <v>0.399</v>
      </c>
      <c r="C1587" s="6" t="n">
        <v>2125.448714832044</v>
      </c>
      <c r="D1587" s="6" t="n">
        <v>36334.56609735049</v>
      </c>
      <c r="E1587" s="8" t="n">
        <v>0.03596459492708911</v>
      </c>
      <c r="F1587" s="8" t="n">
        <v>0.02904186859392579</v>
      </c>
      <c r="G1587" s="6" t="n">
        <v>1561.914645818456</v>
      </c>
      <c r="H1587" s="6" t="n">
        <v>47.67497159710633</v>
      </c>
      <c r="I1587" s="6" t="n">
        <v>128.3956057279435</v>
      </c>
    </row>
    <row r="1588">
      <c r="A1588" s="6" t="inlineStr">
        <is>
          <t>5 wt% Re | 250 C</t>
        </is>
      </c>
      <c r="B1588" s="8" t="n">
        <v>0.4</v>
      </c>
      <c r="C1588" s="6" t="n">
        <v>2127.723115399177</v>
      </c>
      <c r="D1588" s="6" t="n">
        <v>36267.13060190371</v>
      </c>
      <c r="E1588" s="8" t="n">
        <v>0.03583589636253345</v>
      </c>
      <c r="F1588" s="8" t="n">
        <v>0.02892492310912399</v>
      </c>
      <c r="G1588" s="6" t="n">
        <v>1563.697439969449</v>
      </c>
      <c r="H1588" s="6" t="n">
        <v>47.72362601340333</v>
      </c>
      <c r="I1588" s="6" t="n">
        <v>128.5005855499356</v>
      </c>
    </row>
  </sheetData>
  <mergeCells count="2">
    <mergeCell ref="A1:I1"/>
    <mergeCell ref="A2:I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1"/>
  <sheetViews>
    <sheetView showGridLines="0" workbookViewId="0">
      <pane ySplit="4" topLeftCell="A5" activePane="bottomLeft" state="frozen"/>
      <selection pane="bottomLeft" activeCell="A1" sqref="A1"/>
    </sheetView>
  </sheetViews>
  <sheetFormatPr baseColWidth="8" defaultRowHeight="15"/>
  <cols>
    <col width="23" customWidth="1" min="1" max="1"/>
    <col width="20" customWidth="1" min="2" max="2"/>
    <col width="20" customWidth="1" min="3" max="3"/>
    <col width="20" customWidth="1" min="4" max="4"/>
    <col width="20" customWidth="1" min="5" max="5"/>
    <col width="75" customWidth="1" min="6" max="6"/>
  </cols>
  <sheetData>
    <row r="1" ht="26" customHeight="1">
      <c r="A1" s="1" t="inlineStr">
        <is>
          <t>Methane accumulation / purge diagnostic</t>
        </is>
      </c>
    </row>
    <row r="2" ht="34" customHeight="1">
      <c r="A2" s="2" t="inlineStr">
        <is>
          <t>The source-reference non-H2/CO2 fraction is not a universal hard limit. It is used as a same-plant reference envelope to quantify how much purge architecture would need to change for each catalyst.</t>
        </is>
      </c>
    </row>
    <row r="4">
      <c r="A4" s="5" t="inlineStr">
        <is>
          <t>Candidate</t>
        </is>
      </c>
      <c r="B4" s="5" t="inlineStr">
        <is>
          <t>At 2%: non-H2/CO2</t>
        </is>
      </c>
      <c r="C4" s="5" t="inlineStr">
        <is>
          <t>At 2%: recycle kmol/h</t>
        </is>
      </c>
      <c r="D4" s="5" t="inlineStr">
        <is>
          <t>Purge to source gas fraction</t>
        </is>
      </c>
      <c r="E4" s="5" t="inlineStr">
        <is>
          <t>NPC at that purge €/t</t>
        </is>
      </c>
      <c r="F4" s="5" t="inlineStr">
        <is>
          <t>Interpretation</t>
        </is>
      </c>
    </row>
    <row r="5">
      <c r="A5" s="6" t="inlineStr">
        <is>
          <t>1 wt% Re | 200 C</t>
        </is>
      </c>
      <c r="B5" s="8" t="n">
        <v>0.04809347473338729</v>
      </c>
      <c r="C5" s="6" t="n">
        <v>116546.4918011905</v>
      </c>
      <c r="D5" s="8" t="n">
        <v>0.014</v>
      </c>
      <c r="E5" s="6" t="n">
        <v>938.3604618858911</v>
      </c>
      <c r="F5" s="18" t="inlineStr">
        <is>
          <t>High required purge indicates that catalyst byproduct identity forces a different recycle architecture.</t>
        </is>
      </c>
    </row>
    <row r="6">
      <c r="A6" s="6" t="inlineStr">
        <is>
          <t>5 wt% Re | 200 C</t>
        </is>
      </c>
      <c r="B6" s="8" t="n">
        <v>0.1306475147003574</v>
      </c>
      <c r="C6" s="6" t="n">
        <v>67467.39665524026</v>
      </c>
      <c r="D6" s="8" t="n">
        <v>0.042</v>
      </c>
      <c r="E6" s="6" t="n">
        <v>996.8064341214558</v>
      </c>
      <c r="F6" s="18" t="inlineStr">
        <is>
          <t>High required purge indicates that catalyst byproduct identity forces a different recycle architecture.</t>
        </is>
      </c>
    </row>
    <row r="7">
      <c r="A7" s="6" t="inlineStr">
        <is>
          <t>1 wt% Re | 250 C</t>
        </is>
      </c>
      <c r="B7" s="8" t="n">
        <v>0.09525204641256982</v>
      </c>
      <c r="C7" s="6" t="n">
        <v>100925.12216073</v>
      </c>
      <c r="D7" s="8" t="n">
        <v>0.029</v>
      </c>
      <c r="E7" s="6" t="n">
        <v>996.2001929952061</v>
      </c>
      <c r="F7" s="18" t="inlineStr">
        <is>
          <t>High required purge indicates that catalyst byproduct identity forces a different recycle architecture.</t>
        </is>
      </c>
    </row>
    <row r="8">
      <c r="A8" s="6" t="inlineStr">
        <is>
          <t>5 wt% Re | 250 C</t>
        </is>
      </c>
      <c r="B8" s="8" t="n">
        <v>0.5208080092004862</v>
      </c>
      <c r="C8" s="6" t="n">
        <v>145648.0103387932</v>
      </c>
      <c r="D8" s="8" t="n">
        <v>0.241</v>
      </c>
      <c r="E8" s="6" t="n">
        <v>1765.139001395579</v>
      </c>
      <c r="F8" s="18" t="inlineStr">
        <is>
          <t>High required purge indicates that catalyst byproduct identity forces a different recycle architecture.</t>
        </is>
      </c>
    </row>
    <row r="10">
      <c r="A10" t="inlineStr">
        <is>
          <t>Source reference non-H2/CO2 fraction</t>
        </is>
      </c>
      <c r="B10" s="8" t="n">
        <v>0.06862515529373837</v>
      </c>
    </row>
    <row r="11">
      <c r="A11" t="inlineStr">
        <is>
          <t>Source reference recycle</t>
        </is>
      </c>
      <c r="B11" s="6" t="n">
        <v>54290</v>
      </c>
      <c r="C11" t="inlineStr">
        <is>
          <t>kmol/h</t>
        </is>
      </c>
    </row>
  </sheetData>
  <mergeCells count="2">
    <mergeCell ref="A2:F2"/>
    <mergeCell ref="A1:F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8"/>
  <sheetViews>
    <sheetView showGridLines="0" workbookViewId="0">
      <pane ySplit="4" topLeftCell="A5" activePane="bottomLeft" state="frozen"/>
      <selection pane="bottomLeft" activeCell="A1" sqref="A1"/>
    </sheetView>
  </sheetViews>
  <sheetFormatPr baseColWidth="8" defaultRowHeight="15"/>
  <cols>
    <col width="23" customWidth="1" min="1" max="1"/>
    <col width="18" customWidth="1" min="2" max="2"/>
    <col width="18" customWidth="1" min="3" max="3"/>
    <col width="20" customWidth="1" min="4" max="4"/>
    <col width="72" customWidth="1" min="5" max="5"/>
  </cols>
  <sheetData>
    <row r="1" ht="26" customHeight="1">
      <c r="A1" s="1" t="inlineStr">
        <is>
          <t>Local catalyst-economic leverage within methanol</t>
        </is>
      </c>
    </row>
    <row r="2" ht="34" customHeight="1">
      <c r="A2" s="2" t="inlineStr">
        <is>
          <t>Local elasticities at the source-anchored 2% purge. L_X and L_STY are beneficial-increase elasticities; L_CH4 is the cost elasticity to CH4 while selectivity is transferred between CH4 and MeOH.</t>
        </is>
      </c>
    </row>
    <row r="4">
      <c r="A4" s="5" t="inlineStr">
        <is>
          <t>Candidate</t>
        </is>
      </c>
      <c r="B4" s="5" t="inlineStr">
        <is>
          <t>L_STY</t>
        </is>
      </c>
      <c r="C4" s="5" t="inlineStr">
        <is>
          <t>L_conversion</t>
        </is>
      </c>
      <c r="D4" s="5" t="inlineStr">
        <is>
          <t>L_CH4 suppression</t>
        </is>
      </c>
      <c r="E4" s="5" t="inlineStr">
        <is>
          <t>Interpretation</t>
        </is>
      </c>
    </row>
    <row r="5">
      <c r="A5" s="6" t="inlineStr">
        <is>
          <t>1 wt% Re | 200 C</t>
        </is>
      </c>
      <c r="B5" s="6" t="n">
        <v>0.004715299976110694</v>
      </c>
      <c r="C5" s="6" t="n">
        <v>0.1217419575230543</v>
      </c>
      <c r="D5" s="6" t="n"/>
      <c r="E5" s="18" t="inlineStr">
        <is>
          <t>A value of 0.10 means a 1% beneficial property change changes system cost by ~0.10% locally.</t>
        </is>
      </c>
    </row>
    <row r="6">
      <c r="A6" s="6" t="inlineStr">
        <is>
          <t>5 wt% Re | 200 C</t>
        </is>
      </c>
      <c r="B6" s="6" t="n">
        <v>0.003597001948674901</v>
      </c>
      <c r="C6" s="6" t="n">
        <v>0.07496160388292641</v>
      </c>
      <c r="D6" s="6" t="n">
        <v>0.03599787445800993</v>
      </c>
      <c r="E6" s="18" t="inlineStr">
        <is>
          <t>A value of 0.10 means a 1% beneficial property change changes system cost by ~0.10% locally.</t>
        </is>
      </c>
    </row>
    <row r="7">
      <c r="A7" s="6" t="inlineStr">
        <is>
          <t>1 wt% Re | 250 C</t>
        </is>
      </c>
      <c r="B7" s="6" t="n">
        <v>0.004289785394274203</v>
      </c>
      <c r="C7" s="6" t="n">
        <v>0.1037856013729145</v>
      </c>
      <c r="D7" s="6" t="n">
        <v>0.01189898398240993</v>
      </c>
      <c r="E7" s="18" t="inlineStr">
        <is>
          <t>A value of 0.10 means a 1% beneficial property change changes system cost by ~0.10% locally.</t>
        </is>
      </c>
    </row>
    <row r="8">
      <c r="A8" s="6" t="inlineStr">
        <is>
          <t>5 wt% Re | 250 C</t>
        </is>
      </c>
      <c r="B8" s="6" t="n">
        <v>0.00289430146472775</v>
      </c>
      <c r="C8" s="6" t="n">
        <v>0.05882776006061632</v>
      </c>
      <c r="D8" s="6" t="n">
        <v>0.3757939247335326</v>
      </c>
      <c r="E8" s="18" t="inlineStr">
        <is>
          <t>A value of 0.10 means a 1% beneficial property change changes system cost by ~0.10% locally.</t>
        </is>
      </c>
    </row>
  </sheetData>
  <mergeCells count="2">
    <mergeCell ref="A2:E2"/>
    <mergeCell ref="A1:E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8"/>
  <sheetViews>
    <sheetView showGridLines="0" workbookViewId="0">
      <pane ySplit="4" topLeftCell="A5" activePane="bottomLeft" state="frozen"/>
      <selection pane="bottomLeft" activeCell="A1" sqref="A1"/>
    </sheetView>
  </sheetViews>
  <sheetFormatPr baseColWidth="8" defaultRowHeight="15"/>
  <cols>
    <col width="28" customWidth="1" min="1" max="1"/>
    <col width="95" customWidth="1" min="2" max="2"/>
    <col width="72" customWidth="1" min="3" max="3"/>
  </cols>
  <sheetData>
    <row r="1" ht="26" customHeight="1">
      <c r="A1" s="1" t="inlineStr">
        <is>
          <t>Sources</t>
        </is>
      </c>
    </row>
    <row r="2" ht="34" customHeight="1">
      <c r="A2" s="2" t="inlineStr">
        <is>
          <t>Primary/authoritative sources and exactly what is taken from each.</t>
        </is>
      </c>
    </row>
    <row r="4">
      <c r="A4" s="5" t="inlineStr">
        <is>
          <t>Use</t>
        </is>
      </c>
      <c r="B4" s="5" t="inlineStr">
        <is>
          <t>URL / local source</t>
        </is>
      </c>
      <c r="C4" s="5" t="inlineStr">
        <is>
          <t>What is taken</t>
        </is>
      </c>
    </row>
    <row r="5">
      <c r="A5" s="6" t="inlineStr">
        <is>
          <t>Detailed methanol process + TEA</t>
        </is>
      </c>
      <c r="B5" s="6" t="inlineStr">
        <is>
          <t>https://www.mdpi.com/2227-9717/10/8/1535</t>
        </is>
      </c>
      <c r="C5" s="13" t="inlineStr">
        <is>
          <t>Plant scale; 70 bar; 2% purge; recycle flow; process configuration; catalyst loading; compressor efficiencies; EC/FCI/ACC/OPEX/NPC; feed/electricity prices; Lang factor/economic equations; Figure 11 EC split.</t>
        </is>
      </c>
    </row>
    <row r="6">
      <c r="A6" s="6" t="inlineStr">
        <is>
          <t>Re/TiO2 catalyst data</t>
        </is>
      </c>
      <c r="B6" s="6" t="inlineStr">
        <is>
          <t>https://www.osti.gov/pages/servlets/purl/3005244</t>
        </is>
      </c>
      <c r="C6" s="13" t="inlineStr">
        <is>
          <t>Table 3 conversion, MeOH STY, MeOH/CH4 selectivity and controlled 100 bar CO2/H2=1:4 conditions.</t>
        </is>
      </c>
    </row>
    <row r="7">
      <c r="A7" s="6" t="inlineStr">
        <is>
          <t>Re/TiO2 bibliographic record</t>
        </is>
      </c>
      <c r="B7" s="6" t="inlineStr">
        <is>
          <t>https://www.osti.gov/pages/biblio/3005244</t>
        </is>
      </c>
      <c r="C7" s="13" t="inlineStr">
        <is>
          <t>Publication/DOI metadata.</t>
        </is>
      </c>
    </row>
    <row r="8">
      <c r="A8" s="6" t="inlineStr">
        <is>
          <t>Ammonia final model</t>
        </is>
      </c>
      <c r="B8" s="6" t="inlineStr">
        <is>
          <t>ammonia_final_consistency_closure_v1.xlsx / NH3-FINAL-1.0</t>
        </is>
      </c>
      <c r="C8" s="13" t="inlineStr">
        <is>
          <t>NH3-FINAL-1.0 Fe optimum and reoptimized ±0.5% activity perturbations for local activity-economic leverage.</t>
        </is>
      </c>
    </row>
  </sheetData>
  <mergeCells count="2">
    <mergeCell ref="A1:C1"/>
    <mergeCell ref="A2:C2"/>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14"/>
  <sheetViews>
    <sheetView showGridLines="0" workbookViewId="0">
      <pane ySplit="4" topLeftCell="A5" activePane="bottomLeft" state="frozen"/>
      <selection pane="bottomLeft" activeCell="A1" sqref="A1"/>
    </sheetView>
  </sheetViews>
  <sheetFormatPr baseColWidth="8" defaultRowHeight="15"/>
  <cols>
    <col width="34" customWidth="1" min="1" max="1"/>
    <col width="16" customWidth="1" min="2" max="2"/>
    <col width="86" customWidth="1" min="3" max="3"/>
  </cols>
  <sheetData>
    <row r="1" ht="26" customHeight="1">
      <c r="A1" s="1" t="inlineStr">
        <is>
          <t>Audit / scope control</t>
        </is>
      </c>
    </row>
    <row r="2" ht="34" customHeight="1">
      <c r="A2" s="2" t="inlineStr">
        <is>
          <t>Checks required before using v3 as a paper result.</t>
        </is>
      </c>
    </row>
    <row r="4">
      <c r="A4" s="5" t="inlineStr">
        <is>
          <t>Check</t>
        </is>
      </c>
      <c r="B4" s="5" t="inlineStr">
        <is>
          <t>Status</t>
        </is>
      </c>
      <c r="C4" s="5" t="inlineStr">
        <is>
          <t>Notes</t>
        </is>
      </c>
    </row>
    <row r="5">
      <c r="A5" t="inlineStr">
        <is>
          <t>Free k_loop removed</t>
        </is>
      </c>
      <c r="B5" s="19" t="inlineStr">
        <is>
          <t>PASS</t>
        </is>
      </c>
      <c r="C5" s="7" t="inlineStr">
        <is>
          <t>Recycle/separation cost is no longer represented by an arbitrary cost coefficient.</t>
        </is>
      </c>
    </row>
    <row r="6">
      <c r="A6" t="inlineStr">
        <is>
          <t>Species recycle is explicit</t>
        </is>
      </c>
      <c r="B6" s="19" t="inlineStr">
        <is>
          <t>PASS</t>
        </is>
      </c>
      <c r="C6" s="7" t="inlineStr">
        <is>
          <t>CH4/CO-like/N2 accumulation, recycle and purge are solved at steady state; fresh H2/CO2 makeup follows from the same mass balance.</t>
        </is>
      </c>
    </row>
    <row r="7">
      <c r="A7" t="inlineStr">
        <is>
          <t>Source annual NPC reconstructed</t>
        </is>
      </c>
      <c r="B7" s="19" t="inlineStr">
        <is>
          <t>PASS</t>
        </is>
      </c>
      <c r="C7" s="7" t="inlineStr">
        <is>
          <t>Model=1071.68 vs source=1071.8 M€/y.</t>
        </is>
      </c>
    </row>
    <row r="8">
      <c r="A8" t="inlineStr">
        <is>
          <t>Source recycle flow calibrated</t>
        </is>
      </c>
      <c r="B8" s="19" t="inlineStr">
        <is>
          <t>PASS</t>
        </is>
      </c>
      <c r="C8" s="7" t="inlineStr">
        <is>
          <t>One scalar flow correction 1.0989 exactly maps the reduced source balance to 54,290 kmol/h; it is then frozen for all candidates.</t>
        </is>
      </c>
    </row>
    <row r="9">
      <c r="A9" t="inlineStr">
        <is>
          <t>Product selectivity treatment</t>
        </is>
      </c>
      <c r="B9" s="19" t="inlineStr">
        <is>
          <t>PASS</t>
        </is>
      </c>
      <c r="C9" s="7" t="inlineStr">
        <is>
          <t>No exact CO value is invented where the catalyst paper says CO&lt;1%; rounded carbon closure is carried as CO-like recoverable gas. 1 wt%/200C CH4&lt;1 is central=0 with a bounded alternative available.</t>
        </is>
      </c>
    </row>
    <row r="10">
      <c r="A10" t="inlineStr">
        <is>
          <t>Separation CAPEX explicit</t>
        </is>
      </c>
      <c r="B10" s="19" t="inlineStr">
        <is>
          <t>PASS</t>
        </is>
      </c>
      <c r="C10" s="7" t="inlineStr">
        <is>
          <t>Heat exchangers/flash/recycle compressor/distillation/pump all scale with explicit gas/liquid flow or compressor power.</t>
        </is>
      </c>
    </row>
    <row r="11">
      <c r="A11" t="inlineStr">
        <is>
          <t>Separation utility OPEX</t>
        </is>
      </c>
      <c r="B11" s="20" t="inlineStr">
        <is>
          <t>LIMITATION</t>
        </is>
      </c>
      <c r="C11" s="7" t="inlineStr">
        <is>
          <t>The source process is heat-integrated; v3 does not invent an external steam tariff. Variable thermal separation duty is represented through equipment scaling, while the source-calibrated direct-OPEX residual remains fixed.</t>
        </is>
      </c>
    </row>
    <row r="12">
      <c r="A12" t="inlineStr">
        <is>
          <t>Equipment split precision</t>
        </is>
      </c>
      <c r="B12" s="20" t="inlineStr">
        <is>
          <t>LIMITATION</t>
        </is>
      </c>
      <c r="C12" s="7" t="inlineStr">
        <is>
          <t>Figure 11 EC category shares are approximate digitization, normalized to exact 85.5 M€ total. This is adequate for reduced sensitivity, not a substitute for the source supplementary equipment table.</t>
        </is>
      </c>
    </row>
    <row r="13">
      <c r="A13" t="inlineStr">
        <is>
          <t>Re catalyst purchase price</t>
        </is>
      </c>
      <c r="B13" s="20" t="inlineStr">
        <is>
          <t>EXCLUDED BY DESIGN</t>
        </is>
      </c>
      <c r="C13" s="7" t="inlineStr">
        <is>
          <t>Headline comparison isolates performance-mediated leverage. A consistent supported Re/TiO2 catalyst manufacturing/recovery cost is not available in the supplied primary catalyst paper.</t>
        </is>
      </c>
    </row>
    <row r="14">
      <c r="A14" t="inlineStr">
        <is>
          <t>Global T/P optimization</t>
        </is>
      </c>
      <c r="B14" s="20" t="inlineStr">
        <is>
          <t>NOT CLAIMED</t>
        </is>
      </c>
      <c r="C14" s="7" t="inlineStr">
        <is>
          <t>Catalyst performance exists only at measured 200/250 C and 100 bar; v3 compares those controlled operating points and propagates process economics. It does not interpolate a new kinetic map.</t>
        </is>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2026-08-19T05:19:42Z</dcterms:created>
  <dcterms:modified xmlns:dcterms="http://purl.org/dc/terms/" xmlns:xsi="http://www.w3.org/2001/XMLSchema-instance" xsi:type="dcterms:W3CDTF">2026-10-05T05:24:24Z</dcterms:modified>
</cp:coreProperties>
</file>