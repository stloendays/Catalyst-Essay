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All_444" sheetId="2" state="visible" r:id="rId2"/>
    <sheet xmlns:r="http://schemas.openxmlformats.org/officeDocument/2006/relationships" name="Step_Raw14" sheetId="3" state="visible" r:id="rId3"/>
    <sheet xmlns:r="http://schemas.openxmlformats.org/officeDocument/2006/relationships" name="Terrace_Step_N" sheetId="4" state="visible" r:id="rId4"/>
    <sheet xmlns:r="http://schemas.openxmlformats.org/officeDocument/2006/relationships" name="Step_15_Energetics" sheetId="5" state="visible" r:id="rId5"/>
    <sheet xmlns:r="http://schemas.openxmlformats.org/officeDocument/2006/relationships" name="Scaling_Fits" sheetId="6" state="visible" r:id="rId6"/>
    <sheet xmlns:r="http://schemas.openxmlformats.org/officeDocument/2006/relationships" name="Thermo_673K" sheetId="7" state="visible" r:id="rId7"/>
    <sheet xmlns:r="http://schemas.openxmlformats.org/officeDocument/2006/relationships" name="MKM_15" sheetId="8" state="visible" r:id="rId8"/>
    <sheet xmlns:r="http://schemas.openxmlformats.org/officeDocument/2006/relationships" name="Direct_DFT_Check" sheetId="9" state="visible" r:id="rId9"/>
    <sheet xmlns:r="http://schemas.openxmlformats.org/officeDocument/2006/relationships" name="Volcano_1D" sheetId="10" state="visible" r:id="rId10"/>
    <sheet xmlns:r="http://schemas.openxmlformats.org/officeDocument/2006/relationships" name="Sources" sheetId="11" state="visible" r:id="rId11"/>
  </sheets>
  <definedNames>
    <definedName name="_xlnm._FilterDatabase" localSheetId="1" hidden="1">'S1_All_444'!$A$4:$I$448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E+00"/>
    <numFmt numFmtId="166" formatCode="0.000"/>
  </numFmts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F4E78"/>
    </font>
    <font>
      <color rgb="00666666"/>
    </font>
    <font>
      <color rgb="00C65911"/>
    </font>
    <font>
      <b val="1"/>
      <color rgb="00008C95"/>
    </font>
    <font>
      <color rgb="00008000"/>
    </font>
    <font>
      <b val="1"/>
      <color rgb="00FFFFFF"/>
    </font>
    <font>
      <color rgb="00000000"/>
    </font>
    <font>
      <b val="1"/>
      <color rgb="007030A0"/>
    </font>
    <font>
      <color rgb="000000FF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8" fillId="6" borderId="0" applyAlignment="1" pivotButton="0" quotePrefix="0" xfId="0">
      <alignment vertical="center" wrapText="1"/>
    </xf>
    <xf numFmtId="164" fontId="7" fillId="0" borderId="0" pivotButton="0" quotePrefix="0" xfId="0"/>
    <xf numFmtId="0" fontId="7" fillId="0" borderId="0" applyAlignment="1" pivotButton="0" quotePrefix="0" xfId="0">
      <alignment wrapText="1"/>
    </xf>
    <xf numFmtId="164" fontId="9" fillId="0" borderId="0" pivotButton="0" quotePrefix="0" xfId="0"/>
    <xf numFmtId="0" fontId="10" fillId="7" borderId="0" pivotButton="0" quotePrefix="0" xfId="0"/>
    <xf numFmtId="0" fontId="0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 wrapText="1"/>
    </xf>
    <xf numFmtId="0" fontId="0" fillId="7" borderId="0" pivotButton="0" quotePrefix="0" xfId="0"/>
    <xf numFmtId="164" fontId="9" fillId="7" borderId="0" applyAlignment="1" pivotButton="0" quotePrefix="0" xfId="0">
      <alignment vertical="top" wrapText="1"/>
    </xf>
    <xf numFmtId="0" fontId="4" fillId="7" borderId="0" pivotButton="0" quotePrefix="0" xfId="0"/>
    <xf numFmtId="0" fontId="4" fillId="7" borderId="0" applyAlignment="1" pivotButton="0" quotePrefix="0" xfId="0">
      <alignment vertical="top" wrapText="1"/>
    </xf>
    <xf numFmtId="164" fontId="11" fillId="8" borderId="0" pivotButton="0" quotePrefix="0" xfId="0"/>
    <xf numFmtId="0" fontId="8" fillId="6" borderId="0" pivotButton="0" quotePrefix="0" xfId="0"/>
    <xf numFmtId="0" fontId="7" fillId="9" borderId="0" pivotButton="0" quotePrefix="0" xfId="0"/>
    <xf numFmtId="164" fontId="7" fillId="9" borderId="0" pivotButton="0" quotePrefix="0" xfId="0"/>
    <xf numFmtId="165" fontId="7" fillId="9" borderId="0" pivotButton="0" quotePrefix="0" xfId="0"/>
    <xf numFmtId="0" fontId="7" fillId="4" borderId="0" pivotButton="0" quotePrefix="0" xfId="0"/>
    <xf numFmtId="164" fontId="7" fillId="4" borderId="0" pivotButton="0" quotePrefix="0" xfId="0"/>
    <xf numFmtId="165" fontId="7" fillId="4" borderId="0" pivotButton="0" quotePrefix="0" xfId="0"/>
    <xf numFmtId="165" fontId="7" fillId="0" borderId="0" pivotButton="0" quotePrefix="0" xfId="0"/>
    <xf numFmtId="0" fontId="7" fillId="5" borderId="0" pivotButton="0" quotePrefix="0" xfId="0"/>
    <xf numFmtId="164" fontId="7" fillId="5" borderId="0" pivotButton="0" quotePrefix="0" xfId="0"/>
    <xf numFmtId="165" fontId="7" fillId="5" borderId="0" pivotButton="0" quotePrefix="0" xfId="0"/>
    <xf numFmtId="166" fontId="7" fillId="0" borderId="0" pivotButton="0" quotePrefix="0" xfId="0"/>
    <xf numFmtId="166" fontId="6" fillId="5" borderId="0" pivotButton="0" quotePrefix="0" xfId="0"/>
    <xf numFmtId="165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Editable 1D activity volcano</a:t>
            </a:r>
          </a:p>
        </rich>
      </tx>
    </title>
    <plotArea>
      <scatterChart>
        <ser>
          <idx val="0"/>
          <order val="0"/>
          <tx>
            <v>Scaling/BEP MKM</v>
          </tx>
          <spPr>
            <a:ln xmlns:a="http://schemas.openxmlformats.org/drawingml/2006/main" w="24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'Volcano_1D'!$A$5:$A$245</f>
            </numRef>
          </xVal>
          <yVal>
            <numRef>
              <f>'Volcano_1D'!$B$5:$B$245</f>
            </numRef>
          </yVal>
        </ser>
        <ser>
          <idx val="1"/>
          <order val="1"/>
          <tx>
            <v>15 metals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'Volcano_1D'!$I$5:$I$19</f>
            </numRef>
          </xVal>
          <yVal>
            <numRef>
              <f>'Volcano_1D'!$J$5:$J$19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E_N (eV)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log10 TOF (s^-1)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E5" authorId="0" shapeId="0">
      <text>
        <t>Source: https://doi.org/10.1073/pnas.2106527118
Supplementary: pnas.2106527118.sd01.txt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5" authorId="0" shapeId="0">
      <text>
        <t>Source: https://doi.org/10.1073/pnas.2106527118
Supplementary: pnas.2106527118.sd01.txt</t>
      </text>
    </comment>
    <comment ref="E5" authorId="0" shapeId="0">
      <text>
        <t>Source: https://doi.org/10.1073/pnas.2106527118
Supplementary: pnas.2106527118.sd01.txt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C5" authorId="0" shapeId="0">
      <text>
        <t>Source: https://doi.org/10.1073/pnas.2106527118
Supplementary: pnas.2106527118.sd01.txt</t>
      </text>
    </comment>
    <comment ref="F5" authorId="0" shapeId="0">
      <text>
        <t>Source: https://doi.org/10.1073/pnas.2106527118
Supplementary: pnas.2106527118.sd01.txt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7429500" cy="445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33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</row>
      <rowOff>0</rowOff>
    </from>
    <ext cx="8858250" cy="5505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S1AllTable" displayName="S1AllTable" ref="A4:I448" headerRowCount="1">
  <autoFilter ref="A4:I448"/>
  <tableColumns count="9">
    <tableColumn id="1" name="surface"/>
    <tableColumn id="2" name="phase"/>
    <tableColumn id="3" name="site"/>
    <tableColumn id="4" name="species"/>
    <tableColumn id="5" name="formation_energy_eV"/>
    <tableColumn id="6" name="frequencies_meV"/>
    <tableColumn id="7" name="reference"/>
    <tableColumn id="8" name="coverage"/>
    <tableColumn id="9" name="st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epRaw14Table" displayName="StepRaw14Table" ref="A4:K18" headerRowCount="1">
  <autoFilter ref="A4:K18"/>
  <tableColumns count="11">
    <tableColumn id="1" name="Metal"/>
    <tableColumn id="2" name="E_N (eV)"/>
    <tableColumn id="3" name="E_H (eV)"/>
    <tableColumn id="4" name="E_N2* (eV)"/>
    <tableColumn id="5" name="E_N-N^TS (eV)"/>
    <tableColumn id="6" name="E_NH (eV)"/>
    <tableColumn id="7" name="E_N-H^TS (eV)"/>
    <tableColumn id="8" name="E_NH-H^TS (eV)"/>
    <tableColumn id="9" name="E_NH2 (eV)"/>
    <tableColumn id="10" name="E_NH2-H^TS (eV)"/>
    <tableColumn id="11" name="E_NH3 (eV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ep15Table" displayName="Step15Table" ref="A4:M19" headerRowCount="1">
  <autoFilter ref="A4:M19"/>
  <tableColumns count="13">
    <tableColumn id="1" name="Metal"/>
    <tableColumn id="2" name="Source method"/>
    <tableColumn id="3" name="E_N (eV)"/>
    <tableColumn id="4" name="E_H (eV)"/>
    <tableColumn id="5" name="E_N2* (eV)"/>
    <tableColumn id="6" name="E_N-N^TS (eV)"/>
    <tableColumn id="7" name="E_NH (eV)"/>
    <tableColumn id="8" name="E_N-H^TS (eV)"/>
    <tableColumn id="9" name="E_NH-H^TS (eV)"/>
    <tableColumn id="10" name="E_NH2 (eV)"/>
    <tableColumn id="11" name="E_NH2-H^TS (eV)"/>
    <tableColumn id="12" name="E_NH3 (eV)"/>
    <tableColumn id="13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KM15Table" displayName="MKM15Table" ref="A4:P19" headerRowCount="1">
  <autoFilter ref="A4:P19"/>
  <tableColumns count="16">
    <tableColumn id="1" name="Rank"/>
    <tableColumn id="2" name="Metal"/>
    <tableColumn id="3" name="E_N (eV)"/>
    <tableColumn id="4" name="log10 TOF"/>
    <tableColumn id="5" name="TOF (s^-1)"/>
    <tableColumn id="6" name="E_N source"/>
    <tableColumn id="7" name="theta_*"/>
    <tableColumn id="8" name="theta_N"/>
    <tableColumn id="9" name="theta_H"/>
    <tableColumn id="10" name="theta_NH"/>
    <tableColumn id="11" name="theta_NH2"/>
    <tableColumn id="12" name="theta_NH3"/>
    <tableColumn id="13" name="Ea N2 diss (eV)"/>
    <tableColumn id="14" name="Ea N→NH (eV)"/>
    <tableColumn id="15" name="Ea NH→NH2 (eV)"/>
    <tableColumn id="16" name="Ea NH2→NH3 (eV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rectCheckTable" displayName="DirectCheckTable" ref="A4:P19" headerRowCount="1">
  <autoFilter ref="A4:P19"/>
  <tableColumns count="16">
    <tableColumn id="1" name="Rank"/>
    <tableColumn id="2" name="Metal"/>
    <tableColumn id="3" name="E_N (eV)"/>
    <tableColumn id="4" name="log10 TOF"/>
    <tableColumn id="5" name="TOF (s^-1)"/>
    <tableColumn id="6" name="E_N source"/>
    <tableColumn id="7" name="theta_*"/>
    <tableColumn id="8" name="theta_N"/>
    <tableColumn id="9" name="theta_H"/>
    <tableColumn id="10" name="theta_NH"/>
    <tableColumn id="11" name="theta_NH2"/>
    <tableColumn id="12" name="theta_NH3"/>
    <tableColumn id="13" name="Ea N2 diss (eV)"/>
    <tableColumn id="14" name="Ea N→NH (eV)"/>
    <tableColumn id="15" name="Ea NH→NH2 (eV)"/>
    <tableColumn id="16" name="Ea NH2→NH3 (eV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7" customHeight="1">
      <c r="A1" s="1" t="inlineStr">
        <is>
          <t>Ammonia activity volcano — Dataset S1 / MKM V1</t>
        </is>
      </c>
    </row>
    <row r="2" ht="32" customHeight="1">
      <c r="A2" s="2" t="inlineStr">
        <is>
          <t>Wang &amp; Abild-Pedersen (PNAS 2021) supplementary energetics → step-site scaling/BEP → reduced mean-field microkinetics → TOF</t>
        </is>
      </c>
    </row>
    <row r="4" ht="48" customHeight="1">
      <c r="A4" s="3" t="inlineStr">
        <is>
          <t>Scope</t>
        </is>
      </c>
      <c r="B4" s="4" t="inlineStr">
        <is>
          <t>This workbook builds a genuine descriptor–activity volcano: x = step-site N formation energy E_N; y = log10 NH3 TOF. It is no longer the literature-guided schematic volcano.</t>
        </is>
      </c>
    </row>
    <row r="5" ht="35" customHeight="1">
      <c r="A5" s="3" t="inlineStr">
        <is>
          <t>Source data</t>
        </is>
      </c>
      <c r="B5" s="4" t="inlineStr">
        <is>
          <t>Uploaded Dataset S1 (pnas.2106527118.sd01.txt). Parsed table contains 444 energetic rows across terrace, step_site, confined_site and gas.</t>
        </is>
      </c>
    </row>
    <row r="6" ht="48" customHeight="1">
      <c r="A6" s="3" t="inlineStr">
        <is>
          <t>Critical completeness finding</t>
        </is>
      </c>
      <c r="B6" s="5" t="inlineStr">
        <is>
          <t>Dataset S1 contains complete 10-species step-site energetics for 14 metals, but no Fe step_site rows. Fe terrace E_N is present; Fe step E_N is therefore estimated from the 14-metal terrace→step E_N regression. All other Fe step energetics are then generated from the 14-metal step scaling fits.</t>
        </is>
      </c>
    </row>
    <row r="7" ht="48" customHeight="1">
      <c r="A7" s="3" t="inlineStr">
        <is>
          <t>Main activity volcano</t>
        </is>
      </c>
      <c r="B7" s="4" t="inlineStr">
        <is>
          <t>The main volcano is a one-descriptor model. For each metal, only step E_N locates it on the x-axis; H, N2, NHx and four TS energies are generated by S1-derived linear scaling relations. This makes the curve internally consistent and gives Ru/Os near the optimum with Fe on the strong-binding side.</t>
        </is>
      </c>
    </row>
    <row r="8" ht="48" customHeight="1">
      <c r="A8" s="3" t="inlineStr">
        <is>
          <t>MKM conditions</t>
        </is>
      </c>
      <c r="B8" s="4" t="inlineStr">
        <is>
          <t>T=673 K; p(N2)=24.5 bar; p(H2)=74.25 bar; p(NH3)=1 bar. Adsorbate/TS vibrational free energies use S1 frequencies; gases use ideal-gas statistical thermodynamics at 1 bar standard state.</t>
        </is>
      </c>
    </row>
    <row r="9" ht="48" customHeight="1">
      <c r="A9" s="3" t="inlineStr">
        <is>
          <t>Model status</t>
        </is>
      </c>
      <c r="B9" s="5" t="inlineStr">
        <is>
          <t>MKM V1 is a transparent reduced one-site mean-field reconstruction using explicit S1 TS energies/scaling and detailed balance. It is not claimed to reproduce the paper’s CatMAP implementation or its absolute TOFs exactly.</t>
        </is>
      </c>
    </row>
    <row r="10" ht="35" customHeight="1">
      <c r="A10" s="3" t="inlineStr">
        <is>
          <t>Headline result</t>
        </is>
      </c>
      <c r="B10" s="6" t="inlineStr">
        <is>
          <t>Smooth 1D optimum: E_N ≈ -1.175 eV. Descriptor-based ranking starts Ru &gt; Os &gt; Fe. See MKM_15 and Volcano_1D.</t>
        </is>
      </c>
    </row>
    <row r="11" ht="48" customHeight="1">
      <c r="A11" s="3" t="inlineStr">
        <is>
          <t>What to use in group meeting</t>
        </is>
      </c>
      <c r="B11" s="4" t="inlineStr">
        <is>
          <t>Use the main PNG / Volcano_1D figure and the Step_15_Energetics + Scaling_Fits sheets. Direct_DFT_Check is a diagnostic showing departures from the strict 1D scaling manifold, not the headline ranking.</t>
        </is>
      </c>
    </row>
    <row r="12"/>
    <row r="13">
      <c r="A13" t="inlineStr">
        <is>
          <t>Primary article URL</t>
        </is>
      </c>
      <c r="B13" s="7" t="inlineStr">
        <is>
          <t>https://doi.org/10.1073/pnas.2106527118</t>
        </is>
      </c>
    </row>
    <row r="14">
      <c r="A14" t="inlineStr">
        <is>
          <t>PMC full text</t>
        </is>
      </c>
      <c r="B14" s="7" t="inlineStr">
        <is>
          <t>https://pmc.ncbi.nlm.nih.gov/articles/PMC8325328/</t>
        </is>
      </c>
    </row>
    <row r="15">
      <c r="A15" t="inlineStr">
        <is>
          <t>Uploaded S1</t>
        </is>
      </c>
      <c r="B15" s="8" t="inlineStr">
        <is>
          <t>pnas.2106527118.sd01.txt</t>
        </is>
      </c>
    </row>
    <row r="16">
      <c r="A16" t="inlineStr">
        <is>
          <t>Reproducible solver</t>
        </is>
      </c>
      <c r="B16" s="9" t="inlineStr">
        <is>
          <t>mkm_s1_activity_v2.py</t>
        </is>
      </c>
    </row>
  </sheetData>
  <mergeCells count="10">
    <mergeCell ref="B4:L4"/>
    <mergeCell ref="A2:L2"/>
    <mergeCell ref="B6:L6"/>
    <mergeCell ref="B7:L7"/>
    <mergeCell ref="A1:L1"/>
    <mergeCell ref="B11:L11"/>
    <mergeCell ref="B5:L5"/>
    <mergeCell ref="B10:L10"/>
    <mergeCell ref="B9:L9"/>
    <mergeCell ref="B8:L8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0" customWidth="1" min="3" max="3"/>
    <col width="10" customWidth="1" min="4" max="4"/>
    <col width="21" customWidth="1" min="5" max="5"/>
    <col width="48" customWidth="1" min="6" max="6"/>
    <col width="11" customWidth="1" min="7" max="7"/>
    <col width="10" customWidth="1" min="8" max="8"/>
    <col width="10" customWidth="1" min="9" max="9"/>
  </cols>
  <sheetData>
    <row r="1" ht="27" customHeight="1">
      <c r="A1" s="1" t="inlineStr">
        <is>
          <t>Dataset S1 — parsed formation-energy table</t>
        </is>
      </c>
    </row>
    <row r="2" ht="32" customHeight="1">
      <c r="A2" s="2" t="inlineStr">
        <is>
          <t>Direct parse of the uploaded supplementary TXT. Frequencies are retained as supplied; formation energies are in eV.</t>
        </is>
      </c>
    </row>
    <row r="3"/>
    <row r="4" ht="32" customHeight="1">
      <c r="A4" s="10" t="inlineStr">
        <is>
          <t>surface</t>
        </is>
      </c>
      <c r="B4" s="10" t="inlineStr">
        <is>
          <t>phase</t>
        </is>
      </c>
      <c r="C4" s="10" t="inlineStr">
        <is>
          <t>site</t>
        </is>
      </c>
      <c r="D4" s="10" t="inlineStr">
        <is>
          <t>species</t>
        </is>
      </c>
      <c r="E4" s="10" t="inlineStr">
        <is>
          <t>formation_energy_eV</t>
        </is>
      </c>
      <c r="F4" s="10" t="inlineStr">
        <is>
          <t>frequencies_meV</t>
        </is>
      </c>
      <c r="G4" s="10" t="inlineStr">
        <is>
          <t>reference</t>
        </is>
      </c>
      <c r="H4" s="10" t="inlineStr">
        <is>
          <t>coverage</t>
        </is>
      </c>
      <c r="I4" s="10" t="inlineStr">
        <is>
          <t>std</t>
        </is>
      </c>
    </row>
    <row r="5">
      <c r="A5" s="8" t="inlineStr">
        <is>
          <t>Ag</t>
        </is>
      </c>
      <c r="B5" s="8" t="inlineStr">
        <is>
          <t>terrace</t>
        </is>
      </c>
      <c r="C5" s="8" t="n"/>
      <c r="D5" s="8" t="inlineStr">
        <is>
          <t>H</t>
        </is>
      </c>
      <c r="E5" s="11" t="n">
        <v>0.2881</v>
      </c>
      <c r="F5" s="12" t="inlineStr">
        <is>
          <t>[83.0, 83.2, 97.7]</t>
        </is>
      </c>
      <c r="G5" s="8" t="inlineStr">
        <is>
          <t>65</t>
        </is>
      </c>
      <c r="H5" s="8" t="n">
        <v>0.25</v>
      </c>
      <c r="I5" s="8" t="n"/>
    </row>
    <row r="6">
      <c r="A6" s="8" t="inlineStr">
        <is>
          <t>Ag</t>
        </is>
      </c>
      <c r="B6" s="8" t="inlineStr">
        <is>
          <t>terrace</t>
        </is>
      </c>
      <c r="C6" s="8" t="n"/>
      <c r="D6" s="8" t="inlineStr">
        <is>
          <t>N</t>
        </is>
      </c>
      <c r="E6" s="11" t="n">
        <v>2.9765</v>
      </c>
      <c r="F6" s="12" t="inlineStr">
        <is>
          <t>[45.5, 45.5, 46.5]</t>
        </is>
      </c>
      <c r="G6" s="8" t="inlineStr">
        <is>
          <t>47</t>
        </is>
      </c>
      <c r="H6" s="8" t="n">
        <v>0.25</v>
      </c>
      <c r="I6" s="8" t="n"/>
    </row>
    <row r="7">
      <c r="A7" s="8" t="inlineStr">
        <is>
          <t>Ag</t>
        </is>
      </c>
      <c r="B7" s="8" t="inlineStr">
        <is>
          <t>terrace</t>
        </is>
      </c>
      <c r="C7" s="8" t="n"/>
      <c r="D7" s="8" t="inlineStr">
        <is>
          <t>N-H</t>
        </is>
      </c>
      <c r="E7" s="11" t="n">
        <v>4.1409</v>
      </c>
      <c r="F7" s="12" t="inlineStr">
        <is>
          <t>[31.3, 42.2, 45.8, 65.2, 142.1]</t>
        </is>
      </c>
      <c r="G7" s="8" t="inlineStr">
        <is>
          <t>150</t>
        </is>
      </c>
      <c r="H7" s="8" t="n">
        <v>0.25</v>
      </c>
      <c r="I7" s="8" t="n"/>
    </row>
    <row r="8">
      <c r="A8" s="8" t="inlineStr">
        <is>
          <t>Ag</t>
        </is>
      </c>
      <c r="B8" s="8" t="inlineStr">
        <is>
          <t>terrace</t>
        </is>
      </c>
      <c r="C8" s="8" t="n"/>
      <c r="D8" s="8" t="inlineStr">
        <is>
          <t>N2</t>
        </is>
      </c>
      <c r="E8" s="11" t="n">
        <v>-0.0978</v>
      </c>
      <c r="F8" s="12" t="inlineStr">
        <is>
          <t>[1.9, 1.5, 3.7, 4.0, 6.1, 298.2]</t>
        </is>
      </c>
      <c r="G8" s="8" t="inlineStr">
        <is>
          <t>40</t>
        </is>
      </c>
      <c r="H8" s="8" t="n">
        <v>0.25</v>
      </c>
      <c r="I8" s="8" t="n"/>
    </row>
    <row r="9">
      <c r="A9" s="8" t="inlineStr">
        <is>
          <t>Ag</t>
        </is>
      </c>
      <c r="B9" s="8" t="inlineStr">
        <is>
          <t>terrace</t>
        </is>
      </c>
      <c r="C9" s="8" t="n"/>
      <c r="D9" s="8" t="inlineStr">
        <is>
          <t>N-N</t>
        </is>
      </c>
      <c r="E9" s="11" t="n">
        <v>6.4811</v>
      </c>
      <c r="F9" s="12" t="inlineStr">
        <is>
          <t>[42.5, 52.7, 55.1, 56.7, 59.3]</t>
        </is>
      </c>
      <c r="G9" s="8" t="inlineStr">
        <is>
          <t>notsure</t>
        </is>
      </c>
      <c r="H9" s="8" t="n">
        <v>0.25</v>
      </c>
      <c r="I9" s="8" t="n"/>
    </row>
    <row r="10">
      <c r="A10" s="8" t="inlineStr">
        <is>
          <t>Ag</t>
        </is>
      </c>
      <c r="B10" s="8" t="inlineStr">
        <is>
          <t>terrace</t>
        </is>
      </c>
      <c r="C10" s="8" t="n"/>
      <c r="D10" s="8" t="inlineStr">
        <is>
          <t>NH</t>
        </is>
      </c>
      <c r="E10" s="11" t="n">
        <v>1.2327</v>
      </c>
      <c r="F10" s="7" t="inlineStr">
        <is>
          <t>[42.5, 42.5, 46.8, 73.4, 73.4, 435.1]</t>
        </is>
      </c>
      <c r="G10" s="8" t="inlineStr">
        <is>
          <t>101</t>
        </is>
      </c>
      <c r="H10" s="8" t="n">
        <v>0.25</v>
      </c>
      <c r="I10" s="8" t="n"/>
    </row>
    <row r="11">
      <c r="A11" s="8" t="inlineStr">
        <is>
          <t>Ag</t>
        </is>
      </c>
      <c r="B11" s="8" t="inlineStr">
        <is>
          <t>terrace</t>
        </is>
      </c>
      <c r="C11" s="8" t="n"/>
      <c r="D11" s="8" t="inlineStr">
        <is>
          <t>NH-H</t>
        </is>
      </c>
      <c r="E11" s="11" t="n">
        <v>2.5534</v>
      </c>
      <c r="F11" s="7" t="inlineStr">
        <is>
          <t>[27.7, 36.3, 44.0, 55.8, 66.6, 78.6, 133.3, 429.6]</t>
        </is>
      </c>
      <c r="G11" s="8" t="inlineStr">
        <is>
          <t>125</t>
        </is>
      </c>
      <c r="H11" s="8" t="n">
        <v>0.25</v>
      </c>
      <c r="I11" s="8" t="n"/>
    </row>
    <row r="12">
      <c r="A12" s="8" t="inlineStr">
        <is>
          <t>Ag</t>
        </is>
      </c>
      <c r="B12" s="8" t="inlineStr">
        <is>
          <t>terrace</t>
        </is>
      </c>
      <c r="C12" s="8" t="n"/>
      <c r="D12" s="8" t="inlineStr">
        <is>
          <t>NH2</t>
        </is>
      </c>
      <c r="E12" s="11" t="n">
        <v>0.0122</v>
      </c>
      <c r="F12" s="7" t="inlineStr">
        <is>
          <t>[12.3, 29.1, 40.9, 58.5, 62.4, 63.1, 185.7, 432.5, 445.4]</t>
        </is>
      </c>
      <c r="G12" s="8" t="inlineStr">
        <is>
          <t>33</t>
        </is>
      </c>
      <c r="H12" s="8" t="n">
        <v>0.25</v>
      </c>
      <c r="I12" s="8" t="n"/>
    </row>
    <row r="13">
      <c r="A13" s="8" t="inlineStr">
        <is>
          <t>Ag</t>
        </is>
      </c>
      <c r="B13" s="8" t="inlineStr">
        <is>
          <t>terrace</t>
        </is>
      </c>
      <c r="C13" s="8" t="n"/>
      <c r="D13" s="8" t="inlineStr">
        <is>
          <t>NH2-H</t>
        </is>
      </c>
      <c r="E13" s="11" t="n">
        <v>1.3437</v>
      </c>
      <c r="F13" s="7" t="inlineStr">
        <is>
          <t>[13.2, 21.4, 32.3, 46.2, 60.3, 88.7, 102.8, 138.2, 185.9, 422.1, 435.9]</t>
        </is>
      </c>
      <c r="G13" s="8" t="inlineStr">
        <is>
          <t>137</t>
        </is>
      </c>
      <c r="H13" s="8" t="n">
        <v>0.25</v>
      </c>
      <c r="I13" s="8" t="n"/>
    </row>
    <row r="14">
      <c r="A14" s="8" t="inlineStr">
        <is>
          <t>Ag</t>
        </is>
      </c>
      <c r="B14" s="8" t="inlineStr">
        <is>
          <t>terrace</t>
        </is>
      </c>
      <c r="C14" s="8" t="n"/>
      <c r="D14" s="8" t="inlineStr">
        <is>
          <t>NH3</t>
        </is>
      </c>
      <c r="E14" s="11" t="n">
        <v>-1.0219</v>
      </c>
      <c r="F14" s="7" t="inlineStr">
        <is>
          <t>[15.0, 5.4, 6.2, 13.8, 36.2, 36.2, 128.2, 200.4, 200.7, 429.6, 447.4, 447.8]</t>
        </is>
      </c>
      <c r="G14" s="8" t="inlineStr">
        <is>
          <t>104</t>
        </is>
      </c>
      <c r="H14" s="8" t="n">
        <v>0.25</v>
      </c>
      <c r="I14" s="8" t="n"/>
    </row>
    <row r="15">
      <c r="A15" s="8" t="inlineStr">
        <is>
          <t>Au</t>
        </is>
      </c>
      <c r="B15" s="8" t="inlineStr">
        <is>
          <t>terrace</t>
        </is>
      </c>
      <c r="C15" s="8" t="n"/>
      <c r="D15" s="8" t="inlineStr">
        <is>
          <t>H</t>
        </is>
      </c>
      <c r="E15" s="11" t="n">
        <v>0.031</v>
      </c>
      <c r="F15" s="12" t="inlineStr">
        <is>
          <t>[73.2, 73.3, 94.3]</t>
        </is>
      </c>
      <c r="G15" s="8" t="inlineStr">
        <is>
          <t>58</t>
        </is>
      </c>
      <c r="H15" s="8" t="n">
        <v>0.25</v>
      </c>
      <c r="I15" s="8" t="n"/>
    </row>
    <row r="16">
      <c r="A16" s="8" t="inlineStr">
        <is>
          <t>Au</t>
        </is>
      </c>
      <c r="B16" s="8" t="inlineStr">
        <is>
          <t>terrace</t>
        </is>
      </c>
      <c r="C16" s="8" t="n"/>
      <c r="D16" s="8" t="inlineStr">
        <is>
          <t>N</t>
        </is>
      </c>
      <c r="E16" s="11" t="n">
        <v>2.3914</v>
      </c>
      <c r="F16" s="12" t="inlineStr">
        <is>
          <t>[48.9, 53.5, 53.6]</t>
        </is>
      </c>
      <c r="G16" s="8" t="inlineStr">
        <is>
          <t>32</t>
        </is>
      </c>
      <c r="H16" s="8" t="n">
        <v>0.25</v>
      </c>
      <c r="I16" s="8" t="n"/>
    </row>
    <row r="17">
      <c r="A17" s="8" t="inlineStr">
        <is>
          <t>Au</t>
        </is>
      </c>
      <c r="B17" s="8" t="inlineStr">
        <is>
          <t>terrace</t>
        </is>
      </c>
      <c r="C17" s="8" t="n"/>
      <c r="D17" s="8" t="inlineStr">
        <is>
          <t>N-H</t>
        </is>
      </c>
      <c r="E17" s="11" t="n">
        <v>3.412</v>
      </c>
      <c r="F17" s="12" t="inlineStr">
        <is>
          <t>[37.3, 43.4, 48.3, 53.5, 233.2]</t>
        </is>
      </c>
      <c r="G17" s="8" t="inlineStr">
        <is>
          <t>149</t>
        </is>
      </c>
      <c r="H17" s="8" t="n">
        <v>0.25</v>
      </c>
      <c r="I17" s="8" t="n"/>
    </row>
    <row r="18">
      <c r="A18" s="8" t="inlineStr">
        <is>
          <t>Au</t>
        </is>
      </c>
      <c r="B18" s="8" t="inlineStr">
        <is>
          <t>terrace</t>
        </is>
      </c>
      <c r="C18" s="8" t="n"/>
      <c r="D18" s="8" t="inlineStr">
        <is>
          <t>N2</t>
        </is>
      </c>
      <c r="E18" s="11" t="n">
        <v>-0.4162</v>
      </c>
      <c r="F18" s="12" t="inlineStr">
        <is>
          <t>[3.6, 2.3, 1.9, 0.9, 6.3, 298.7]</t>
        </is>
      </c>
      <c r="G18" s="8" t="inlineStr">
        <is>
          <t>57</t>
        </is>
      </c>
      <c r="H18" s="8" t="n">
        <v>0.25</v>
      </c>
      <c r="I18" s="8" t="n"/>
    </row>
    <row r="19">
      <c r="A19" s="8" t="inlineStr">
        <is>
          <t>Au</t>
        </is>
      </c>
      <c r="B19" s="8" t="inlineStr">
        <is>
          <t>terrace</t>
        </is>
      </c>
      <c r="C19" s="8" t="n"/>
      <c r="D19" s="8" t="inlineStr">
        <is>
          <t>N-N</t>
        </is>
      </c>
      <c r="E19" s="11" t="n">
        <v>5.7057</v>
      </c>
      <c r="F19" s="12" t="inlineStr">
        <is>
          <t>[42.5, 52.7, 55.1, 56.7, 59.3]</t>
        </is>
      </c>
      <c r="G19" s="8" t="inlineStr">
        <is>
          <t>notsure</t>
        </is>
      </c>
      <c r="H19" s="8" t="n">
        <v>0.25</v>
      </c>
      <c r="I19" s="8" t="n"/>
    </row>
    <row r="20">
      <c r="A20" s="8" t="inlineStr">
        <is>
          <t>Au</t>
        </is>
      </c>
      <c r="B20" s="8" t="inlineStr">
        <is>
          <t>terrace</t>
        </is>
      </c>
      <c r="C20" s="8" t="n"/>
      <c r="D20" s="8" t="inlineStr">
        <is>
          <t>NH</t>
        </is>
      </c>
      <c r="E20" s="11" t="n">
        <v>0.966</v>
      </c>
      <c r="F20" s="7" t="inlineStr">
        <is>
          <t>[49.1, 54.0, 54.0, 96.3, 96.3, 436.4]</t>
        </is>
      </c>
      <c r="G20" s="8" t="inlineStr">
        <is>
          <t>56</t>
        </is>
      </c>
      <c r="H20" s="8" t="n">
        <v>0.25</v>
      </c>
      <c r="I20" s="8" t="n"/>
    </row>
    <row r="21">
      <c r="A21" s="8" t="inlineStr">
        <is>
          <t>Au</t>
        </is>
      </c>
      <c r="B21" s="8" t="inlineStr">
        <is>
          <t>terrace</t>
        </is>
      </c>
      <c r="C21" s="8" t="n"/>
      <c r="D21" s="8" t="inlineStr">
        <is>
          <t>NH-H</t>
        </is>
      </c>
      <c r="E21" s="11" t="n">
        <v>2.3445</v>
      </c>
      <c r="F21" s="7" t="inlineStr">
        <is>
          <t>[23.0, 40.3, 41.9, 46.3, 90.2, 116.4, 225.3, 428.6]</t>
        </is>
      </c>
      <c r="G21" s="8" t="inlineStr">
        <is>
          <t>124</t>
        </is>
      </c>
      <c r="H21" s="8" t="n">
        <v>0.25</v>
      </c>
      <c r="I21" s="8" t="n"/>
    </row>
    <row r="22">
      <c r="A22" s="8" t="inlineStr">
        <is>
          <t>Au</t>
        </is>
      </c>
      <c r="B22" s="8" t="inlineStr">
        <is>
          <t>terrace</t>
        </is>
      </c>
      <c r="C22" s="8" t="n"/>
      <c r="D22" s="8" t="inlineStr">
        <is>
          <t>NH2</t>
        </is>
      </c>
      <c r="E22" s="11" t="n">
        <v>-0.022</v>
      </c>
      <c r="F22" s="7" t="inlineStr">
        <is>
          <t>[17.5, 33.5, 43.1, 69.3, 82.2, 85.4, 184.9, 434.8, 448.4]</t>
        </is>
      </c>
      <c r="G22" s="8" t="inlineStr">
        <is>
          <t>89</t>
        </is>
      </c>
      <c r="H22" s="8" t="n">
        <v>0.25</v>
      </c>
      <c r="I22" s="8" t="n"/>
    </row>
    <row r="23">
      <c r="A23" s="8" t="inlineStr">
        <is>
          <t>Au</t>
        </is>
      </c>
      <c r="B23" s="8" t="inlineStr">
        <is>
          <t>terrace</t>
        </is>
      </c>
      <c r="C23" s="8" t="n"/>
      <c r="D23" s="8" t="inlineStr">
        <is>
          <t>NH2-H</t>
        </is>
      </c>
      <c r="E23" s="11" t="n">
        <v>1.4289</v>
      </c>
      <c r="F23" s="7" t="inlineStr">
        <is>
          <t>[13.7, 10.0, 24.5, 33.0, 41.7, 83.4, 91.0, 180.7, 210.0, 425.1, 441.2]</t>
        </is>
      </c>
      <c r="G23" s="8" t="inlineStr">
        <is>
          <t>136</t>
        </is>
      </c>
      <c r="H23" s="8" t="n">
        <v>0.25</v>
      </c>
      <c r="I23" s="8" t="n"/>
    </row>
    <row r="24">
      <c r="A24" s="8" t="inlineStr">
        <is>
          <t>Au</t>
        </is>
      </c>
      <c r="B24" s="8" t="inlineStr">
        <is>
          <t>terrace</t>
        </is>
      </c>
      <c r="C24" s="8" t="n"/>
      <c r="D24" s="8" t="inlineStr">
        <is>
          <t>NH3</t>
        </is>
      </c>
      <c r="E24" s="11" t="n">
        <v>-1.3309</v>
      </c>
      <c r="F24" s="7" t="inlineStr">
        <is>
          <t>[16.4, 4.4, 5.6, 7.8, 41.0, 41.1, 122.6, 199.8, 200.2, 432.4, 450.3, 450.7]</t>
        </is>
      </c>
      <c r="G24" s="8" t="inlineStr">
        <is>
          <t>103</t>
        </is>
      </c>
      <c r="H24" s="8" t="n">
        <v>0.25</v>
      </c>
      <c r="I24" s="8" t="n"/>
    </row>
    <row r="25">
      <c r="A25" s="8" t="inlineStr">
        <is>
          <t>Co</t>
        </is>
      </c>
      <c r="B25" s="8" t="inlineStr">
        <is>
          <t>terrace</t>
        </is>
      </c>
      <c r="C25" s="8" t="n"/>
      <c r="D25" s="8" t="inlineStr">
        <is>
          <t>H</t>
        </is>
      </c>
      <c r="E25" s="11" t="n">
        <v>-0.4002</v>
      </c>
      <c r="F25" s="12" t="inlineStr">
        <is>
          <t>[103.4, 107.3, 138.1]</t>
        </is>
      </c>
      <c r="G25" s="8" t="inlineStr">
        <is>
          <t>28</t>
        </is>
      </c>
      <c r="H25" s="8" t="n">
        <v>0.25</v>
      </c>
      <c r="I25" s="8" t="n"/>
    </row>
    <row r="26">
      <c r="A26" s="8" t="inlineStr">
        <is>
          <t>Co</t>
        </is>
      </c>
      <c r="B26" s="8" t="inlineStr">
        <is>
          <t>terrace</t>
        </is>
      </c>
      <c r="C26" s="8" t="n"/>
      <c r="D26" s="8" t="inlineStr">
        <is>
          <t>N</t>
        </is>
      </c>
      <c r="E26" s="11" t="n">
        <v>-0.09859999999999999</v>
      </c>
      <c r="F26" s="12" t="inlineStr">
        <is>
          <t>[52.8, 54.6, 67.5]</t>
        </is>
      </c>
      <c r="G26" s="8" t="inlineStr">
        <is>
          <t>102</t>
        </is>
      </c>
      <c r="H26" s="8" t="n">
        <v>0.25</v>
      </c>
      <c r="I26" s="8" t="n"/>
    </row>
    <row r="27">
      <c r="A27" s="8" t="inlineStr">
        <is>
          <t>Co</t>
        </is>
      </c>
      <c r="B27" s="8" t="inlineStr">
        <is>
          <t>terrace</t>
        </is>
      </c>
      <c r="C27" s="8" t="n"/>
      <c r="D27" s="8" t="inlineStr">
        <is>
          <t>N-H</t>
        </is>
      </c>
      <c r="E27" s="11" t="n">
        <v>0.6448</v>
      </c>
      <c r="F27" s="12" t="inlineStr">
        <is>
          <t>[30.5, 48.8, 53.0, 65.3, 214.2]</t>
        </is>
      </c>
      <c r="G27" s="8" t="inlineStr">
        <is>
          <t>142</t>
        </is>
      </c>
      <c r="H27" s="8" t="n">
        <v>0.25</v>
      </c>
      <c r="I27" s="8" t="n"/>
    </row>
    <row r="28">
      <c r="A28" s="8" t="inlineStr">
        <is>
          <t>Co</t>
        </is>
      </c>
      <c r="B28" s="8" t="inlineStr">
        <is>
          <t>terrace</t>
        </is>
      </c>
      <c r="C28" s="8" t="n"/>
      <c r="D28" s="8" t="inlineStr">
        <is>
          <t>N-N</t>
        </is>
      </c>
      <c r="E28" s="11" t="n">
        <v>1.9204</v>
      </c>
      <c r="F28" s="12" t="inlineStr">
        <is>
          <t>[17.2, 51.5, 51.7, 61.9, 66.6]</t>
        </is>
      </c>
      <c r="G28" s="8" t="inlineStr">
        <is>
          <t>107</t>
        </is>
      </c>
      <c r="H28" s="8" t="n">
        <v>0.25</v>
      </c>
      <c r="I28" s="8" t="n"/>
    </row>
    <row r="29">
      <c r="A29" s="8" t="inlineStr">
        <is>
          <t>Co</t>
        </is>
      </c>
      <c r="B29" s="8" t="inlineStr">
        <is>
          <t>terrace</t>
        </is>
      </c>
      <c r="C29" s="8" t="n"/>
      <c r="D29" s="8" t="inlineStr">
        <is>
          <t>N2</t>
        </is>
      </c>
      <c r="E29" s="11" t="n">
        <v>-0.3946</v>
      </c>
      <c r="F29" s="12" t="inlineStr">
        <is>
          <t>[6.3, 6.7, 34.9, 39.9, 40.0, 270.1]</t>
        </is>
      </c>
      <c r="G29" s="8" t="inlineStr">
        <is>
          <t>44</t>
        </is>
      </c>
      <c r="H29" s="8" t="n">
        <v>0.25</v>
      </c>
      <c r="I29" s="8" t="n"/>
    </row>
    <row r="30">
      <c r="A30" s="8" t="inlineStr">
        <is>
          <t>Co</t>
        </is>
      </c>
      <c r="B30" s="8" t="inlineStr">
        <is>
          <t>terrace</t>
        </is>
      </c>
      <c r="C30" s="8" t="n"/>
      <c r="D30" s="8" t="inlineStr">
        <is>
          <t>NH</t>
        </is>
      </c>
      <c r="E30" s="11" t="n">
        <v>-0.7313</v>
      </c>
      <c r="F30" s="7" t="inlineStr">
        <is>
          <t>[43.7, 46.2, 63.0, 79.0, 81.0, 433.4]</t>
        </is>
      </c>
      <c r="G30" s="8" t="inlineStr">
        <is>
          <t>17</t>
        </is>
      </c>
      <c r="H30" s="8" t="n">
        <v>0.25</v>
      </c>
      <c r="I30" s="8" t="n"/>
    </row>
    <row r="31">
      <c r="A31" s="8" t="inlineStr">
        <is>
          <t>Co</t>
        </is>
      </c>
      <c r="B31" s="8" t="inlineStr">
        <is>
          <t>terrace</t>
        </is>
      </c>
      <c r="C31" s="8" t="n"/>
      <c r="D31" s="8" t="inlineStr">
        <is>
          <t>NH-H</t>
        </is>
      </c>
      <c r="E31" s="11" t="n">
        <v>0.0142</v>
      </c>
      <c r="F31" s="7" t="inlineStr">
        <is>
          <t>[38.0, 43.0, 61.1, 62.3, 71.8, 103.2, 153.3, 435.9]</t>
        </is>
      </c>
      <c r="G31" s="8" t="inlineStr">
        <is>
          <t>117</t>
        </is>
      </c>
      <c r="H31" s="8" t="n">
        <v>0.25</v>
      </c>
      <c r="I31" s="8" t="n"/>
    </row>
    <row r="32">
      <c r="A32" s="8" t="inlineStr">
        <is>
          <t>Co</t>
        </is>
      </c>
      <c r="B32" s="8" t="inlineStr">
        <is>
          <t>terrace</t>
        </is>
      </c>
      <c r="C32" s="8" t="n"/>
      <c r="D32" s="8" t="inlineStr">
        <is>
          <t>NH2</t>
        </is>
      </c>
      <c r="E32" s="11" t="n">
        <v>-0.9291</v>
      </c>
      <c r="F32" s="7" t="inlineStr">
        <is>
          <t>[15.0, 33.7, 54.6, 68.4, 74.3, 76.5, 190.6, 429.4, 438.2]</t>
        </is>
      </c>
      <c r="G32" s="8" t="inlineStr">
        <is>
          <t>50</t>
        </is>
      </c>
      <c r="H32" s="8" t="n">
        <v>0.25</v>
      </c>
      <c r="I32" s="8" t="n"/>
    </row>
    <row r="33">
      <c r="A33" s="8" t="inlineStr">
        <is>
          <t>Co</t>
        </is>
      </c>
      <c r="B33" s="8" t="inlineStr">
        <is>
          <t>terrace</t>
        </is>
      </c>
      <c r="C33" s="8" t="n"/>
      <c r="D33" s="8" t="inlineStr">
        <is>
          <t>NH2-H</t>
        </is>
      </c>
      <c r="E33" s="11" t="n">
        <v>0.0589</v>
      </c>
      <c r="F33" s="7" t="inlineStr">
        <is>
          <t>[13.0, 20.4, 25.5, 47.4, 66.9, 100.4, 109.0, 188.8, 206.2, 426.6, 438.1]</t>
        </is>
      </c>
      <c r="G33" s="8" t="inlineStr">
        <is>
          <t>130</t>
        </is>
      </c>
      <c r="H33" s="8" t="n">
        <v>0.25</v>
      </c>
      <c r="I33" s="8" t="n"/>
    </row>
    <row r="34">
      <c r="A34" s="8" t="inlineStr">
        <is>
          <t>Co</t>
        </is>
      </c>
      <c r="B34" s="8" t="inlineStr">
        <is>
          <t>terrace</t>
        </is>
      </c>
      <c r="C34" s="8" t="n"/>
      <c r="D34" s="8" t="inlineStr">
        <is>
          <t>NH3</t>
        </is>
      </c>
      <c r="E34" s="11" t="n">
        <v>-1.2347</v>
      </c>
      <c r="F34" s="7" t="inlineStr">
        <is>
          <t>[10, 10.4, 10.6, 24.4, 55.3, 58.5, 135.2, 197.7, 199.9, 425.0, 440.9, 441.7]</t>
        </is>
      </c>
      <c r="G34" s="8" t="inlineStr">
        <is>
          <t>38</t>
        </is>
      </c>
      <c r="H34" s="8" t="n">
        <v>0.25</v>
      </c>
      <c r="I34" s="8" t="n"/>
    </row>
    <row r="35">
      <c r="A35" s="8" t="inlineStr">
        <is>
          <t>Cu</t>
        </is>
      </c>
      <c r="B35" s="8" t="inlineStr">
        <is>
          <t>terrace</t>
        </is>
      </c>
      <c r="C35" s="8" t="n"/>
      <c r="D35" s="8" t="inlineStr">
        <is>
          <t>H</t>
        </is>
      </c>
      <c r="E35" s="11" t="n">
        <v>-0.4066</v>
      </c>
      <c r="F35" s="12" t="inlineStr">
        <is>
          <t>[97.0, 97.0, 128.3]</t>
        </is>
      </c>
      <c r="G35" s="8" t="inlineStr">
        <is>
          <t>94</t>
        </is>
      </c>
      <c r="H35" s="8" t="n">
        <v>0.25</v>
      </c>
      <c r="I35" s="8" t="n"/>
    </row>
    <row r="36">
      <c r="A36" s="8" t="inlineStr">
        <is>
          <t>Cu</t>
        </is>
      </c>
      <c r="B36" s="8" t="inlineStr">
        <is>
          <t>terrace</t>
        </is>
      </c>
      <c r="C36" s="8" t="n"/>
      <c r="D36" s="8" t="inlineStr">
        <is>
          <t>N</t>
        </is>
      </c>
      <c r="E36" s="11" t="n">
        <v>1.0619</v>
      </c>
      <c r="F36" s="12" t="inlineStr">
        <is>
          <t>[57.1, 57.2, 60.5]</t>
        </is>
      </c>
      <c r="G36" s="8" t="inlineStr">
        <is>
          <t>49</t>
        </is>
      </c>
      <c r="H36" s="8" t="n">
        <v>0.25</v>
      </c>
      <c r="I36" s="8" t="n"/>
    </row>
    <row r="37">
      <c r="A37" s="8" t="inlineStr">
        <is>
          <t>Cu</t>
        </is>
      </c>
      <c r="B37" s="8" t="inlineStr">
        <is>
          <t>terrace</t>
        </is>
      </c>
      <c r="C37" s="8" t="n"/>
      <c r="D37" s="8" t="inlineStr">
        <is>
          <t>N-H</t>
        </is>
      </c>
      <c r="E37" s="11" t="n">
        <v>1.9969</v>
      </c>
      <c r="F37" s="12" t="inlineStr">
        <is>
          <t>[38.8, 52.4, 58.5, 65.8, 172.9]</t>
        </is>
      </c>
      <c r="G37" s="8" t="inlineStr">
        <is>
          <t>153</t>
        </is>
      </c>
      <c r="H37" s="8" t="n">
        <v>0.25</v>
      </c>
      <c r="I37" s="8" t="n"/>
    </row>
    <row r="38">
      <c r="A38" s="8" t="inlineStr">
        <is>
          <t>Cu</t>
        </is>
      </c>
      <c r="B38" s="8" t="inlineStr">
        <is>
          <t>terrace</t>
        </is>
      </c>
      <c r="C38" s="8" t="n"/>
      <c r="D38" s="8" t="inlineStr">
        <is>
          <t>N-N</t>
        </is>
      </c>
      <c r="E38" s="11" t="n">
        <v>4.1456</v>
      </c>
      <c r="F38" s="12" t="inlineStr">
        <is>
          <t>[42.5, 52.7, 55.1, 56.7, 59.3]</t>
        </is>
      </c>
      <c r="G38" s="8" t="inlineStr">
        <is>
          <t>114</t>
        </is>
      </c>
      <c r="H38" s="8" t="n">
        <v>0.25</v>
      </c>
      <c r="I38" s="8" t="n"/>
    </row>
    <row r="39">
      <c r="A39" s="8" t="inlineStr">
        <is>
          <t>Cu</t>
        </is>
      </c>
      <c r="B39" s="8" t="inlineStr">
        <is>
          <t>terrace</t>
        </is>
      </c>
      <c r="C39" s="8" t="n"/>
      <c r="D39" s="8" t="inlineStr">
        <is>
          <t>N2</t>
        </is>
      </c>
      <c r="E39" s="11" t="n">
        <v>-0.4025</v>
      </c>
      <c r="F39" s="12" t="inlineStr">
        <is>
          <t>[4.1, 2.6, 2.3, 1.5, 1.5, 298.2]</t>
        </is>
      </c>
      <c r="G39" s="8" t="inlineStr">
        <is>
          <t>29</t>
        </is>
      </c>
      <c r="H39" s="8" t="n">
        <v>0.25</v>
      </c>
      <c r="I39" s="8" t="n"/>
    </row>
    <row r="40">
      <c r="A40" s="8" t="inlineStr">
        <is>
          <t>Cu</t>
        </is>
      </c>
      <c r="B40" s="8" t="inlineStr">
        <is>
          <t>terrace</t>
        </is>
      </c>
      <c r="C40" s="8" t="n"/>
      <c r="D40" s="8" t="inlineStr">
        <is>
          <t>NH</t>
        </is>
      </c>
      <c r="E40" s="11" t="n">
        <v>-0.3107</v>
      </c>
      <c r="F40" s="7" t="inlineStr">
        <is>
          <t>[48.3, 48.3, 60.8, 80.4, 80.5, 436.2]</t>
        </is>
      </c>
      <c r="G40" s="8" t="inlineStr">
        <is>
          <t>95</t>
        </is>
      </c>
      <c r="H40" s="8" t="n">
        <v>0.25</v>
      </c>
      <c r="I40" s="8" t="n"/>
    </row>
    <row r="41">
      <c r="A41" s="8" t="inlineStr">
        <is>
          <t>Cu</t>
        </is>
      </c>
      <c r="B41" s="8" t="inlineStr">
        <is>
          <t>terrace</t>
        </is>
      </c>
      <c r="C41" s="8" t="n"/>
      <c r="D41" s="8" t="inlineStr">
        <is>
          <t>NH-H</t>
        </is>
      </c>
      <c r="E41" s="11" t="n">
        <v>0.8452</v>
      </c>
      <c r="F41" s="7" t="inlineStr">
        <is>
          <t>[31.2, 43.1, 47.1, 57.2, 73.3, 99.9, 177.9, 433.9]</t>
        </is>
      </c>
      <c r="G41" s="8" t="inlineStr">
        <is>
          <t>128</t>
        </is>
      </c>
      <c r="H41" s="8" t="n">
        <v>0.25</v>
      </c>
      <c r="I41" s="8" t="n"/>
    </row>
    <row r="42">
      <c r="A42" s="8" t="inlineStr">
        <is>
          <t>Cu</t>
        </is>
      </c>
      <c r="B42" s="8" t="inlineStr">
        <is>
          <t>terrace</t>
        </is>
      </c>
      <c r="C42" s="8" t="n"/>
      <c r="D42" s="8" t="inlineStr">
        <is>
          <t>NH2</t>
        </is>
      </c>
      <c r="E42" s="11" t="n">
        <v>-0.8538</v>
      </c>
      <c r="F42" s="7" t="inlineStr">
        <is>
          <t>[15.3, 32.9, 49.6, 67.9, 68.8, 73.4, 187.6, 432.4, 443.9]</t>
        </is>
      </c>
      <c r="G42" s="8" t="inlineStr">
        <is>
          <t>52</t>
        </is>
      </c>
      <c r="H42" s="8" t="n">
        <v>0.25</v>
      </c>
      <c r="I42" s="8" t="n"/>
    </row>
    <row r="43">
      <c r="A43" s="8" t="inlineStr">
        <is>
          <t>Cu</t>
        </is>
      </c>
      <c r="B43" s="8" t="inlineStr">
        <is>
          <t>terrace</t>
        </is>
      </c>
      <c r="C43" s="8" t="n"/>
      <c r="D43" s="8" t="inlineStr">
        <is>
          <t>NH2-H</t>
        </is>
      </c>
      <c r="E43" s="11" t="n">
        <v>0.4103</v>
      </c>
      <c r="F43" s="7" t="inlineStr">
        <is>
          <t>[12.5, 14.2, 37.4, 39.4, 62.8, 89.0, 98.6, 176.5, 184.7, 427.9, 441.5]</t>
        </is>
      </c>
      <c r="G43" s="8" t="inlineStr">
        <is>
          <t>139</t>
        </is>
      </c>
      <c r="H43" s="8" t="n">
        <v>0.25</v>
      </c>
      <c r="I43" s="8" t="n"/>
    </row>
    <row r="44">
      <c r="A44" s="8" t="inlineStr">
        <is>
          <t>Cu</t>
        </is>
      </c>
      <c r="B44" s="8" t="inlineStr">
        <is>
          <t>terrace</t>
        </is>
      </c>
      <c r="C44" s="8" t="n"/>
      <c r="D44" s="8" t="inlineStr">
        <is>
          <t>NH3</t>
        </is>
      </c>
      <c r="E44" s="11" t="n">
        <v>-1.4057</v>
      </c>
      <c r="F44" s="7" t="inlineStr">
        <is>
          <t>[19.7, 5.1, 6.4, 26.8, 53.8, 53.8, 131.8, 198.1, 198.8, 426.4, 443.5, 443.9]</t>
        </is>
      </c>
      <c r="G44" s="8" t="inlineStr">
        <is>
          <t>30</t>
        </is>
      </c>
      <c r="H44" s="8" t="n">
        <v>0.25</v>
      </c>
      <c r="I44" s="8" t="n"/>
    </row>
    <row r="45">
      <c r="A45" s="8" t="inlineStr">
        <is>
          <t>Fe</t>
        </is>
      </c>
      <c r="B45" s="8" t="inlineStr">
        <is>
          <t>terrace</t>
        </is>
      </c>
      <c r="C45" s="8" t="n"/>
      <c r="D45" s="8" t="inlineStr">
        <is>
          <t>H</t>
        </is>
      </c>
      <c r="E45" s="11" t="n">
        <v>-0.3684</v>
      </c>
      <c r="F45" s="12" t="inlineStr">
        <is>
          <t>[87.4, 107.8, 132.4]</t>
        </is>
      </c>
      <c r="G45" s="8" t="inlineStr">
        <is>
          <t>90</t>
        </is>
      </c>
      <c r="H45" s="8" t="n">
        <v>0.25</v>
      </c>
      <c r="I45" s="8" t="n"/>
    </row>
    <row r="46">
      <c r="A46" s="8" t="inlineStr">
        <is>
          <t>Fe</t>
        </is>
      </c>
      <c r="B46" s="8" t="inlineStr">
        <is>
          <t>terrace</t>
        </is>
      </c>
      <c r="C46" s="8" t="n"/>
      <c r="D46" s="8" t="inlineStr">
        <is>
          <t>N</t>
        </is>
      </c>
      <c r="E46" s="11" t="n">
        <v>-1.0583</v>
      </c>
      <c r="F46" s="12" t="inlineStr">
        <is>
          <t>[23.4, 50.5, 65.4]</t>
        </is>
      </c>
      <c r="G46" s="8" t="inlineStr">
        <is>
          <t>16</t>
        </is>
      </c>
      <c r="H46" s="8" t="n">
        <v>0.25</v>
      </c>
      <c r="I46" s="8" t="n"/>
    </row>
    <row r="47">
      <c r="A47" s="8" t="inlineStr">
        <is>
          <t>Fe</t>
        </is>
      </c>
      <c r="B47" s="8" t="inlineStr">
        <is>
          <t>terrace</t>
        </is>
      </c>
      <c r="C47" s="8" t="n"/>
      <c r="D47" s="8" t="inlineStr">
        <is>
          <t>N2</t>
        </is>
      </c>
      <c r="E47" s="11" t="n">
        <v>-0.9068000000000001</v>
      </c>
      <c r="F47" s="12" t="inlineStr">
        <is>
          <t>[4.6, 6.8, 41.4, 41.7, 43.4, 265.1]</t>
        </is>
      </c>
      <c r="G47" s="8" t="inlineStr">
        <is>
          <t>64</t>
        </is>
      </c>
      <c r="H47" s="8" t="n">
        <v>0.25</v>
      </c>
      <c r="I47" s="8" t="n"/>
    </row>
    <row r="48">
      <c r="A48" s="8" t="inlineStr">
        <is>
          <t>Fe</t>
        </is>
      </c>
      <c r="B48" s="8" t="inlineStr">
        <is>
          <t>terrace</t>
        </is>
      </c>
      <c r="C48" s="8" t="n"/>
      <c r="D48" s="8" t="inlineStr">
        <is>
          <t>NH</t>
        </is>
      </c>
      <c r="E48" s="11" t="n">
        <v>-1.5674</v>
      </c>
      <c r="F48" s="7" t="inlineStr">
        <is>
          <t>[36.8, 55.4, 64.1, 84.7, 88.1, 431.0]</t>
        </is>
      </c>
      <c r="G48" s="8" t="inlineStr">
        <is>
          <t>67</t>
        </is>
      </c>
      <c r="H48" s="8" t="n">
        <v>0.25</v>
      </c>
      <c r="I48" s="8" t="n"/>
    </row>
    <row r="49">
      <c r="A49" s="8" t="inlineStr">
        <is>
          <t>Fe</t>
        </is>
      </c>
      <c r="B49" s="8" t="inlineStr">
        <is>
          <t>terrace</t>
        </is>
      </c>
      <c r="C49" s="8" t="n"/>
      <c r="D49" s="8" t="inlineStr">
        <is>
          <t>NH2</t>
        </is>
      </c>
      <c r="E49" s="11" t="n">
        <v>-1.4229</v>
      </c>
      <c r="F49" s="7" t="inlineStr">
        <is>
          <t>[15.8, 35.7, 56.3, 76.4, 76.8, 80.5, 189.5, 428.4, 438.0]</t>
        </is>
      </c>
      <c r="G49" s="8" t="inlineStr">
        <is>
          <t>20</t>
        </is>
      </c>
      <c r="H49" s="8" t="n">
        <v>0.25</v>
      </c>
      <c r="I49" s="8" t="n"/>
    </row>
    <row r="50">
      <c r="A50" s="8" t="inlineStr">
        <is>
          <t>Fe</t>
        </is>
      </c>
      <c r="B50" s="8" t="inlineStr">
        <is>
          <t>terrace</t>
        </is>
      </c>
      <c r="C50" s="8" t="n"/>
      <c r="D50" s="8" t="inlineStr">
        <is>
          <t>NH3</t>
        </is>
      </c>
      <c r="E50" s="11" t="n">
        <v>-1.5859</v>
      </c>
      <c r="F50" s="7" t="inlineStr">
        <is>
          <t>[19.9, 9.5, 11.6, 32.6, 55.7, 60.8, 142.0, 197.9, 200.3, 425.3, 440.3, 440.7]</t>
        </is>
      </c>
      <c r="G50" s="8" t="inlineStr">
        <is>
          <t>42</t>
        </is>
      </c>
      <c r="H50" s="8" t="n">
        <v>0.25</v>
      </c>
      <c r="I50" s="8" t="n"/>
    </row>
    <row r="51">
      <c r="A51" s="8" t="inlineStr">
        <is>
          <t>Ir</t>
        </is>
      </c>
      <c r="B51" s="8" t="inlineStr">
        <is>
          <t>terrace</t>
        </is>
      </c>
      <c r="C51" s="8" t="n"/>
      <c r="D51" s="8" t="inlineStr">
        <is>
          <t>H</t>
        </is>
      </c>
      <c r="E51" s="11" t="n">
        <v>-0.5965</v>
      </c>
      <c r="F51" s="12" t="inlineStr">
        <is>
          <t>[53.1, 53.1, 261.8]</t>
        </is>
      </c>
      <c r="G51" s="8" t="inlineStr">
        <is>
          <t>75</t>
        </is>
      </c>
      <c r="H51" s="8" t="n">
        <v>0.25</v>
      </c>
      <c r="I51" s="8" t="n"/>
    </row>
    <row r="52">
      <c r="A52" s="8" t="inlineStr">
        <is>
          <t>Ir</t>
        </is>
      </c>
      <c r="B52" s="8" t="inlineStr">
        <is>
          <t>terrace</t>
        </is>
      </c>
      <c r="C52" s="8" t="n"/>
      <c r="D52" s="8" t="inlineStr">
        <is>
          <t>N</t>
        </is>
      </c>
      <c r="E52" s="11" t="n">
        <v>-0.09130000000000001</v>
      </c>
      <c r="F52" s="12" t="inlineStr">
        <is>
          <t>[52.8, 52.8, 66.7]</t>
        </is>
      </c>
      <c r="G52" s="8" t="inlineStr">
        <is>
          <t>51</t>
        </is>
      </c>
      <c r="H52" s="8" t="n">
        <v>0.25</v>
      </c>
      <c r="I52" s="8" t="n"/>
    </row>
    <row r="53">
      <c r="A53" s="8" t="inlineStr">
        <is>
          <t>Ir</t>
        </is>
      </c>
      <c r="B53" s="8" t="inlineStr">
        <is>
          <t>terrace</t>
        </is>
      </c>
      <c r="C53" s="8" t="n"/>
      <c r="D53" s="8" t="inlineStr">
        <is>
          <t>N-H</t>
        </is>
      </c>
      <c r="E53" s="11" t="n">
        <v>0.5514</v>
      </c>
      <c r="F53" s="12" t="inlineStr">
        <is>
          <t>[43.8, 53.0, 63.9, 67.1, 227.0]</t>
        </is>
      </c>
      <c r="G53" s="8" t="inlineStr">
        <is>
          <t>146</t>
        </is>
      </c>
      <c r="H53" s="8" t="n">
        <v>0.25</v>
      </c>
      <c r="I53" s="8" t="n"/>
    </row>
    <row r="54">
      <c r="A54" s="8" t="inlineStr">
        <is>
          <t>Ir</t>
        </is>
      </c>
      <c r="B54" s="8" t="inlineStr">
        <is>
          <t>terrace</t>
        </is>
      </c>
      <c r="C54" s="8" t="n"/>
      <c r="D54" s="8" t="inlineStr">
        <is>
          <t>N-N</t>
        </is>
      </c>
      <c r="E54" s="11" t="n">
        <v>2.4248</v>
      </c>
      <c r="F54" s="12" t="inlineStr">
        <is>
          <t>[26.9, 42.4, 45.3, 70.3, 71.7]</t>
        </is>
      </c>
      <c r="G54" s="8" t="inlineStr">
        <is>
          <t>110</t>
        </is>
      </c>
      <c r="H54" s="8" t="n">
        <v>0.25</v>
      </c>
      <c r="I54" s="8" t="n"/>
    </row>
    <row r="55">
      <c r="A55" s="8" t="inlineStr">
        <is>
          <t>Ir</t>
        </is>
      </c>
      <c r="B55" s="8" t="inlineStr">
        <is>
          <t>terrace</t>
        </is>
      </c>
      <c r="C55" s="8" t="n"/>
      <c r="D55" s="8" t="inlineStr">
        <is>
          <t>N2</t>
        </is>
      </c>
      <c r="E55" s="11" t="n">
        <v>-0.603</v>
      </c>
      <c r="F55" s="12" t="inlineStr">
        <is>
          <t>[8.6, 8.7, 44.8, 46.8, 46.8, 273.8]</t>
        </is>
      </c>
      <c r="G55" s="8" t="inlineStr">
        <is>
          <t>79</t>
        </is>
      </c>
      <c r="H55" s="8" t="n">
        <v>0.25</v>
      </c>
      <c r="I55" s="8" t="n"/>
    </row>
    <row r="56">
      <c r="A56" s="8" t="inlineStr">
        <is>
          <t>Ir</t>
        </is>
      </c>
      <c r="B56" s="8" t="inlineStr">
        <is>
          <t>terrace</t>
        </is>
      </c>
      <c r="C56" s="8" t="n"/>
      <c r="D56" s="8" t="inlineStr">
        <is>
          <t>NH</t>
        </is>
      </c>
      <c r="E56" s="11" t="n">
        <v>-0.6599</v>
      </c>
      <c r="F56" s="7" t="inlineStr">
        <is>
          <t>[51.8, 51.8, 67.4, 93.8, 93.8, 435.9]</t>
        </is>
      </c>
      <c r="G56" s="8" t="inlineStr">
        <is>
          <t>25</t>
        </is>
      </c>
      <c r="H56" s="8" t="n">
        <v>0.25</v>
      </c>
      <c r="I56" s="8" t="n"/>
    </row>
    <row r="57">
      <c r="A57" s="8" t="inlineStr">
        <is>
          <t>Ir</t>
        </is>
      </c>
      <c r="B57" s="8" t="inlineStr">
        <is>
          <t>terrace</t>
        </is>
      </c>
      <c r="C57" s="8" t="n"/>
      <c r="D57" s="8" t="inlineStr">
        <is>
          <t>NH-H</t>
        </is>
      </c>
      <c r="E57" s="11" t="n">
        <v>0.218</v>
      </c>
      <c r="F57" s="7" t="inlineStr">
        <is>
          <t>[42.6, 43.5, 54.3, 64.6, 84.0, 126.1, 230.3, 429.4]</t>
        </is>
      </c>
      <c r="G57" s="8" t="inlineStr">
        <is>
          <t>121</t>
        </is>
      </c>
      <c r="H57" s="8" t="n">
        <v>0.25</v>
      </c>
      <c r="I57" s="8" t="n"/>
    </row>
    <row r="58">
      <c r="A58" s="8" t="inlineStr">
        <is>
          <t>Ir</t>
        </is>
      </c>
      <c r="B58" s="8" t="inlineStr">
        <is>
          <t>terrace</t>
        </is>
      </c>
      <c r="C58" s="8" t="n"/>
      <c r="D58" s="8" t="inlineStr">
        <is>
          <t>NH2</t>
        </is>
      </c>
      <c r="E58" s="11" t="n">
        <v>-1.0386</v>
      </c>
      <c r="F58" s="7" t="inlineStr">
        <is>
          <t>[26.5, 35.8, 58.3, 85.9, 92.0, 95.4, 187.5, 430.0, 443.0]</t>
        </is>
      </c>
      <c r="G58" s="8" t="inlineStr">
        <is>
          <t>105</t>
        </is>
      </c>
      <c r="H58" s="8" t="n">
        <v>0.25</v>
      </c>
      <c r="I58" s="8" t="n"/>
    </row>
    <row r="59">
      <c r="A59" s="8" t="inlineStr">
        <is>
          <t>Ir</t>
        </is>
      </c>
      <c r="B59" s="8" t="inlineStr">
        <is>
          <t>terrace</t>
        </is>
      </c>
      <c r="C59" s="8" t="n"/>
      <c r="D59" s="8" t="inlineStr">
        <is>
          <t>NH2-H</t>
        </is>
      </c>
      <c r="E59" s="11" t="n">
        <v>-0.4882</v>
      </c>
      <c r="F59" s="7" t="inlineStr">
        <is>
          <t>[18.3, 33.1, 34.6, 56.9, 78.8, 90.3, 99.3, 146.7, 183.5, 430.5, 446.1]</t>
        </is>
      </c>
      <c r="G59" s="8" t="inlineStr">
        <is>
          <t>133</t>
        </is>
      </c>
      <c r="H59" s="8" t="n">
        <v>0.25</v>
      </c>
      <c r="I59" s="8" t="n"/>
    </row>
    <row r="60">
      <c r="A60" s="8" t="inlineStr">
        <is>
          <t>Ir</t>
        </is>
      </c>
      <c r="B60" s="8" t="inlineStr">
        <is>
          <t>terrace</t>
        </is>
      </c>
      <c r="C60" s="8" t="n"/>
      <c r="D60" s="8" t="inlineStr">
        <is>
          <t>NH3</t>
        </is>
      </c>
      <c r="E60" s="11" t="n">
        <v>-1.7831</v>
      </c>
      <c r="F60" s="7" t="inlineStr">
        <is>
          <t>[15.2, 14.3, 14.3, 44.0, 81.3, 81.3, 144.2, 196.9, 197.5, 426.1, 441.9, 442.3]</t>
        </is>
      </c>
      <c r="G60" s="8" t="inlineStr">
        <is>
          <t>27</t>
        </is>
      </c>
      <c r="H60" s="8" t="n">
        <v>0.25</v>
      </c>
      <c r="I60" s="8" t="n"/>
    </row>
    <row r="61">
      <c r="A61" s="8" t="inlineStr">
        <is>
          <t>Mo</t>
        </is>
      </c>
      <c r="B61" s="8" t="inlineStr">
        <is>
          <t>terrace</t>
        </is>
      </c>
      <c r="C61" s="8" t="n"/>
      <c r="D61" s="8" t="inlineStr">
        <is>
          <t>H</t>
        </is>
      </c>
      <c r="E61" s="11" t="n">
        <v>-0.5779</v>
      </c>
      <c r="F61" s="12" t="inlineStr">
        <is>
          <t>[96.7, 103.0, 135.0]</t>
        </is>
      </c>
      <c r="G61" s="8" t="inlineStr">
        <is>
          <t>80</t>
        </is>
      </c>
      <c r="H61" s="8" t="n">
        <v>0.25</v>
      </c>
      <c r="I61" s="8" t="n"/>
    </row>
    <row r="62">
      <c r="A62" s="8" t="inlineStr">
        <is>
          <t>Mo</t>
        </is>
      </c>
      <c r="B62" s="8" t="inlineStr">
        <is>
          <t>terrace</t>
        </is>
      </c>
      <c r="C62" s="8" t="n"/>
      <c r="D62" s="8" t="inlineStr">
        <is>
          <t>N</t>
        </is>
      </c>
      <c r="E62" s="11" t="n">
        <v>-1.5343</v>
      </c>
      <c r="F62" s="12" t="inlineStr">
        <is>
          <t>[26.1, 51.7, 67.7]</t>
        </is>
      </c>
      <c r="G62" s="8" t="inlineStr">
        <is>
          <t>19</t>
        </is>
      </c>
      <c r="H62" s="8" t="n">
        <v>0.25</v>
      </c>
      <c r="I62" s="8" t="n"/>
    </row>
    <row r="63">
      <c r="A63" s="8" t="inlineStr">
        <is>
          <t>Mo</t>
        </is>
      </c>
      <c r="B63" s="8" t="inlineStr">
        <is>
          <t>terrace</t>
        </is>
      </c>
      <c r="C63" s="8" t="n"/>
      <c r="D63" s="8" t="inlineStr">
        <is>
          <t>N-H</t>
        </is>
      </c>
      <c r="E63" s="11" t="n">
        <v>-0.3389</v>
      </c>
      <c r="F63" s="12" t="inlineStr">
        <is>
          <t>[33.0, 36.7, 42.3, 63.2, 184.9]</t>
        </is>
      </c>
      <c r="G63" s="8" t="inlineStr">
        <is>
          <t>148</t>
        </is>
      </c>
      <c r="H63" s="8" t="n">
        <v>0.25</v>
      </c>
      <c r="I63" s="8" t="n"/>
    </row>
    <row r="64">
      <c r="A64" s="8" t="inlineStr">
        <is>
          <t>Mo</t>
        </is>
      </c>
      <c r="B64" s="8" t="inlineStr">
        <is>
          <t>terrace</t>
        </is>
      </c>
      <c r="C64" s="8" t="n"/>
      <c r="D64" s="8" t="inlineStr">
        <is>
          <t>N2</t>
        </is>
      </c>
      <c r="E64" s="11" t="n">
        <v>-0.5821</v>
      </c>
      <c r="F64" s="12" t="inlineStr">
        <is>
          <t>[5.0, 7.5, 33.8, 37.9, 40.6, 266.3]</t>
        </is>
      </c>
      <c r="G64" s="8" t="inlineStr">
        <is>
          <t>60</t>
        </is>
      </c>
      <c r="H64" s="8" t="n">
        <v>0.25</v>
      </c>
      <c r="I64" s="8" t="n"/>
    </row>
    <row r="65">
      <c r="A65" s="8" t="inlineStr">
        <is>
          <t>Mo</t>
        </is>
      </c>
      <c r="B65" s="8" t="inlineStr">
        <is>
          <t>terrace</t>
        </is>
      </c>
      <c r="C65" s="8" t="n"/>
      <c r="D65" s="8" t="inlineStr">
        <is>
          <t>N-N</t>
        </is>
      </c>
      <c r="E65" s="11" t="n">
        <v>0.50435</v>
      </c>
      <c r="F65" s="12" t="inlineStr">
        <is>
          <t>[42.5, 52.7, 55.1, 56.7, 59.3]</t>
        </is>
      </c>
      <c r="G65" s="8" t="inlineStr">
        <is>
          <t>notsure</t>
        </is>
      </c>
      <c r="H65" s="8" t="n">
        <v>0.25</v>
      </c>
      <c r="I65" s="8" t="n"/>
    </row>
    <row r="66">
      <c r="A66" s="8" t="inlineStr">
        <is>
          <t>Mo</t>
        </is>
      </c>
      <c r="B66" s="8" t="inlineStr">
        <is>
          <t>terrace</t>
        </is>
      </c>
      <c r="C66" s="8" t="n"/>
      <c r="D66" s="8" t="inlineStr">
        <is>
          <t>NH</t>
        </is>
      </c>
      <c r="E66" s="11" t="n">
        <v>-1.9533</v>
      </c>
      <c r="F66" s="7" t="inlineStr">
        <is>
          <t>[34.4, 43.5, 63.7, 83.3, 84.5, 433.6]</t>
        </is>
      </c>
      <c r="G66" s="8" t="inlineStr">
        <is>
          <t>99</t>
        </is>
      </c>
      <c r="H66" s="8" t="n">
        <v>0.25</v>
      </c>
      <c r="I66" s="8" t="n"/>
    </row>
    <row r="67">
      <c r="A67" s="8" t="inlineStr">
        <is>
          <t>Mo</t>
        </is>
      </c>
      <c r="B67" s="8" t="inlineStr">
        <is>
          <t>terrace</t>
        </is>
      </c>
      <c r="C67" s="8" t="n"/>
      <c r="D67" s="8" t="inlineStr">
        <is>
          <t>NH-H</t>
        </is>
      </c>
      <c r="E67" s="11" t="n">
        <v>-0.6039</v>
      </c>
      <c r="F67" s="7" t="inlineStr">
        <is>
          <t>[11.0, 42.6, 49.9, 66.6, 79.7, 99.9, 164.4, 436.2]</t>
        </is>
      </c>
      <c r="G67" s="8" t="inlineStr">
        <is>
          <t>123</t>
        </is>
      </c>
      <c r="H67" s="8" t="n">
        <v>0.25</v>
      </c>
      <c r="I67" s="8" t="n"/>
    </row>
    <row r="68">
      <c r="A68" s="8" t="inlineStr">
        <is>
          <t>Mo</t>
        </is>
      </c>
      <c r="B68" s="8" t="inlineStr">
        <is>
          <t>terrace</t>
        </is>
      </c>
      <c r="C68" s="8" t="n"/>
      <c r="D68" s="8" t="inlineStr">
        <is>
          <t>NH2</t>
        </is>
      </c>
      <c r="E68" s="11" t="n">
        <v>-1.7129</v>
      </c>
      <c r="F68" s="7" t="inlineStr">
        <is>
          <t>[17.7, 34.7, 55.6, 75.7, 77.3, 82.2, 189.3, 427.6, 437.4]</t>
        </is>
      </c>
      <c r="G68" s="8" t="inlineStr">
        <is>
          <t>24</t>
        </is>
      </c>
      <c r="H68" s="8" t="n">
        <v>0.25</v>
      </c>
      <c r="I68" s="8" t="n"/>
    </row>
    <row r="69">
      <c r="A69" s="8" t="inlineStr">
        <is>
          <t>Mo</t>
        </is>
      </c>
      <c r="B69" s="8" t="inlineStr">
        <is>
          <t>terrace</t>
        </is>
      </c>
      <c r="C69" s="8" t="n"/>
      <c r="D69" s="8" t="inlineStr">
        <is>
          <t>NH2-H</t>
        </is>
      </c>
      <c r="E69" s="11" t="n">
        <v>-0.3919</v>
      </c>
      <c r="F69" s="7" t="inlineStr">
        <is>
          <t>[8.9, 16.2, 41.3, 49.8, 62.6, 69.6, 103.8, 128.6, 186.2, 432.3, 446.9]</t>
        </is>
      </c>
      <c r="G69" s="8" t="inlineStr">
        <is>
          <t>135</t>
        </is>
      </c>
      <c r="H69" s="8" t="n">
        <v>0.25</v>
      </c>
      <c r="I69" s="8" t="n"/>
    </row>
    <row r="70">
      <c r="A70" s="8" t="inlineStr">
        <is>
          <t>Mo</t>
        </is>
      </c>
      <c r="B70" s="8" t="inlineStr">
        <is>
          <t>terrace</t>
        </is>
      </c>
      <c r="C70" s="8" t="n"/>
      <c r="D70" s="8" t="inlineStr">
        <is>
          <t>NH3</t>
        </is>
      </c>
      <c r="E70" s="11" t="n">
        <v>-1.5079</v>
      </c>
      <c r="F70" s="7" t="inlineStr">
        <is>
          <t>[17.0, 8.2, 13.3, 34.3, 57.7, 62.9, 139.4, 197.7, 198.6, 426.0, 441.9, 442.9]</t>
        </is>
      </c>
      <c r="G70" s="8" t="inlineStr">
        <is>
          <t>18</t>
        </is>
      </c>
      <c r="H70" s="8" t="n">
        <v>0.25</v>
      </c>
      <c r="I70" s="8" t="n"/>
    </row>
    <row r="71">
      <c r="A71" s="8" t="inlineStr">
        <is>
          <t>Ni</t>
        </is>
      </c>
      <c r="B71" s="8" t="inlineStr">
        <is>
          <t>terrace</t>
        </is>
      </c>
      <c r="C71" s="8" t="n"/>
      <c r="D71" s="8" t="inlineStr">
        <is>
          <t>H</t>
        </is>
      </c>
      <c r="E71" s="11" t="n">
        <v>-0.378</v>
      </c>
      <c r="F71" s="12" t="inlineStr">
        <is>
          <t>[105.2, 105.2, 135.8]</t>
        </is>
      </c>
      <c r="G71" s="8" t="inlineStr">
        <is>
          <t>93</t>
        </is>
      </c>
      <c r="H71" s="8" t="n">
        <v>0.25</v>
      </c>
      <c r="I71" s="8" t="n"/>
    </row>
    <row r="72">
      <c r="A72" s="8" t="inlineStr">
        <is>
          <t>Ni</t>
        </is>
      </c>
      <c r="B72" s="8" t="inlineStr">
        <is>
          <t>terrace</t>
        </is>
      </c>
      <c r="C72" s="8" t="n"/>
      <c r="D72" s="8" t="inlineStr">
        <is>
          <t>N</t>
        </is>
      </c>
      <c r="E72" s="11" t="n">
        <v>0.09959999999999999</v>
      </c>
      <c r="F72" s="12" t="inlineStr">
        <is>
          <t>[60.5, 60.5, 68.4]</t>
        </is>
      </c>
      <c r="G72" s="8" t="inlineStr">
        <is>
          <t>96</t>
        </is>
      </c>
      <c r="H72" s="8" t="n">
        <v>0.25</v>
      </c>
      <c r="I72" s="8" t="n"/>
    </row>
    <row r="73">
      <c r="A73" s="8" t="inlineStr">
        <is>
          <t>Ni</t>
        </is>
      </c>
      <c r="B73" s="8" t="inlineStr">
        <is>
          <t>terrace</t>
        </is>
      </c>
      <c r="C73" s="8" t="n"/>
      <c r="D73" s="8" t="inlineStr">
        <is>
          <t>N-H</t>
        </is>
      </c>
      <c r="E73" s="11" t="n">
        <v>0.8413</v>
      </c>
      <c r="F73" s="12" t="inlineStr">
        <is>
          <t>[29.0, 49.1, 55.0, 65.5, 142.4]</t>
        </is>
      </c>
      <c r="G73" s="8" t="inlineStr">
        <is>
          <t>154</t>
        </is>
      </c>
      <c r="H73" s="8" t="n">
        <v>0.25</v>
      </c>
      <c r="I73" s="8" t="n"/>
    </row>
    <row r="74">
      <c r="A74" s="8" t="inlineStr">
        <is>
          <t>Ni</t>
        </is>
      </c>
      <c r="B74" s="8" t="inlineStr">
        <is>
          <t>terrace</t>
        </is>
      </c>
      <c r="C74" s="8" t="n"/>
      <c r="D74" s="8" t="inlineStr">
        <is>
          <t>N-N</t>
        </is>
      </c>
      <c r="E74" s="11" t="n">
        <v>2.1398</v>
      </c>
      <c r="F74" s="12" t="inlineStr">
        <is>
          <t>[32.0, 49.3, 56.1, 63.6, 66.4]</t>
        </is>
      </c>
      <c r="G74" s="8" t="inlineStr">
        <is>
          <t>115</t>
        </is>
      </c>
      <c r="H74" s="8" t="n">
        <v>0.25</v>
      </c>
      <c r="I74" s="8" t="n"/>
    </row>
    <row r="75">
      <c r="A75" s="8" t="inlineStr">
        <is>
          <t>Ni</t>
        </is>
      </c>
      <c r="B75" s="8" t="inlineStr">
        <is>
          <t>terrace</t>
        </is>
      </c>
      <c r="C75" s="8" t="n"/>
      <c r="D75" s="8" t="inlineStr">
        <is>
          <t>N2</t>
        </is>
      </c>
      <c r="E75" s="11" t="n">
        <v>-0.335</v>
      </c>
      <c r="F75" s="12" t="inlineStr">
        <is>
          <t>[6.9, 6.9, 35.9, 35.9, 37.2, 275.4]</t>
        </is>
      </c>
      <c r="G75" s="8" t="inlineStr">
        <is>
          <t>55</t>
        </is>
      </c>
      <c r="H75" s="8" t="n">
        <v>0.25</v>
      </c>
      <c r="I75" s="8" t="n"/>
    </row>
    <row r="76">
      <c r="A76" s="8" t="inlineStr">
        <is>
          <t>Ni</t>
        </is>
      </c>
      <c r="B76" s="8" t="inlineStr">
        <is>
          <t>terrace</t>
        </is>
      </c>
      <c r="C76" s="8" t="n"/>
      <c r="D76" s="8" t="inlineStr">
        <is>
          <t>NH</t>
        </is>
      </c>
      <c r="E76" s="11" t="n">
        <v>-0.6703</v>
      </c>
      <c r="F76" s="7" t="inlineStr">
        <is>
          <t>[50.7, 50.7, 66.8, 82.6, 82.6, 432.2]</t>
        </is>
      </c>
      <c r="G76" s="8" t="inlineStr">
        <is>
          <t>68</t>
        </is>
      </c>
      <c r="H76" s="8" t="n">
        <v>0.25</v>
      </c>
      <c r="I76" s="8" t="n"/>
    </row>
    <row r="77">
      <c r="A77" s="8" t="inlineStr">
        <is>
          <t>Ni</t>
        </is>
      </c>
      <c r="B77" s="8" t="inlineStr">
        <is>
          <t>terrace</t>
        </is>
      </c>
      <c r="C77" s="8" t="n"/>
      <c r="D77" s="8" t="inlineStr">
        <is>
          <t>NH-H</t>
        </is>
      </c>
      <c r="E77" s="11" t="n">
        <v>0.0954</v>
      </c>
      <c r="F77" s="7" t="inlineStr">
        <is>
          <t>[38.5, 43.0, 50.5, 63.6, 74.1, 102.5, 148.7, 435.6]</t>
        </is>
      </c>
      <c r="G77" s="8" t="inlineStr">
        <is>
          <t>129</t>
        </is>
      </c>
      <c r="H77" s="8" t="n">
        <v>0.25</v>
      </c>
      <c r="I77" s="8" t="n"/>
    </row>
    <row r="78">
      <c r="A78" s="8" t="inlineStr">
        <is>
          <t>Ni</t>
        </is>
      </c>
      <c r="B78" s="8" t="inlineStr">
        <is>
          <t>terrace</t>
        </is>
      </c>
      <c r="C78" s="8" t="n"/>
      <c r="D78" s="8" t="inlineStr">
        <is>
          <t>NH2</t>
        </is>
      </c>
      <c r="E78" s="11" t="n">
        <v>-0.8777</v>
      </c>
      <c r="F78" s="7" t="inlineStr">
        <is>
          <t>[17.1, 36.4, 55.5, 69.3, 73.4, 77.4, 188.3, 430.7, 441.2]</t>
        </is>
      </c>
      <c r="G78" s="8" t="inlineStr">
        <is>
          <t>100</t>
        </is>
      </c>
      <c r="H78" s="8" t="n">
        <v>0.25</v>
      </c>
      <c r="I78" s="8" t="n"/>
    </row>
    <row r="79">
      <c r="A79" s="8" t="inlineStr">
        <is>
          <t>Ni</t>
        </is>
      </c>
      <c r="B79" s="8" t="inlineStr">
        <is>
          <t>terrace</t>
        </is>
      </c>
      <c r="C79" s="8" t="n"/>
      <c r="D79" s="8" t="inlineStr">
        <is>
          <t>NH2-H</t>
        </is>
      </c>
      <c r="E79" s="11" t="n">
        <v>0.1166</v>
      </c>
      <c r="F79" s="7" t="inlineStr">
        <is>
          <t>[16.0, 19.8, 29.4, 46.3, 69.6, 100.9, 111.6, 183.3, 213.2, 425.3, 438.4]</t>
        </is>
      </c>
      <c r="G79" s="8" t="inlineStr">
        <is>
          <t>140</t>
        </is>
      </c>
      <c r="H79" s="8" t="n">
        <v>0.25</v>
      </c>
      <c r="I79" s="8" t="n"/>
    </row>
    <row r="80">
      <c r="A80" s="8" t="inlineStr">
        <is>
          <t>Ni</t>
        </is>
      </c>
      <c r="B80" s="8" t="inlineStr">
        <is>
          <t>terrace</t>
        </is>
      </c>
      <c r="C80" s="8" t="n"/>
      <c r="D80" s="8" t="inlineStr">
        <is>
          <t>NH3</t>
        </is>
      </c>
      <c r="E80" s="11" t="n">
        <v>-1.295</v>
      </c>
      <c r="F80" s="7" t="inlineStr">
        <is>
          <t>[10, 10.8, 10.8, 28.0, 61.5, 61.5, 136.3, 197.7, 198.2, 424.7, 441.8, 442.2]</t>
        </is>
      </c>
      <c r="G80" s="8" t="inlineStr">
        <is>
          <t>31</t>
        </is>
      </c>
      <c r="H80" s="8" t="n">
        <v>0.25</v>
      </c>
      <c r="I80" s="8" t="n"/>
    </row>
    <row r="81">
      <c r="A81" s="8" t="n"/>
      <c r="B81" s="8" t="n"/>
      <c r="C81" s="8" t="inlineStr">
        <is>
          <t>gas</t>
        </is>
      </c>
      <c r="D81" s="8" t="inlineStr">
        <is>
          <t>H2</t>
        </is>
      </c>
      <c r="E81" s="11" t="n">
        <v>0</v>
      </c>
      <c r="F81" s="12" t="inlineStr">
        <is>
          <t>[550]</t>
        </is>
      </c>
      <c r="G81" s="8" t="inlineStr">
        <is>
          <t>1</t>
        </is>
      </c>
      <c r="H81" s="8" t="n">
        <v>0</v>
      </c>
      <c r="I81" s="8" t="n"/>
    </row>
    <row r="82">
      <c r="A82" s="8" t="n"/>
      <c r="B82" s="8" t="n"/>
      <c r="C82" s="8" t="inlineStr">
        <is>
          <t>gas</t>
        </is>
      </c>
      <c r="D82" s="8" t="inlineStr">
        <is>
          <t>NH3</t>
        </is>
      </c>
      <c r="E82" s="11" t="n">
        <v>-0.7411</v>
      </c>
      <c r="F82" s="7" t="inlineStr">
        <is>
          <t>[435.8, 435.56, 420.43, 200.36, 200.23, 125.47]</t>
        </is>
      </c>
      <c r="G82" s="8" t="inlineStr">
        <is>
          <t>2</t>
        </is>
      </c>
      <c r="H82" s="8" t="n">
        <v>0</v>
      </c>
      <c r="I82" s="8" t="n"/>
    </row>
    <row r="83">
      <c r="A83" s="8" t="n"/>
      <c r="B83" s="8" t="n"/>
      <c r="C83" s="8" t="inlineStr">
        <is>
          <t>gas</t>
        </is>
      </c>
      <c r="D83" s="8" t="inlineStr">
        <is>
          <t>N2</t>
        </is>
      </c>
      <c r="E83" s="11" t="n">
        <v>0</v>
      </c>
      <c r="F83" s="12" t="inlineStr">
        <is>
          <t>[340]</t>
        </is>
      </c>
      <c r="G83" s="8" t="inlineStr">
        <is>
          <t>3</t>
        </is>
      </c>
      <c r="H83" s="8" t="n">
        <v>0</v>
      </c>
      <c r="I83" s="8" t="n"/>
    </row>
    <row r="84">
      <c r="A84" s="8" t="inlineStr">
        <is>
          <t>Os</t>
        </is>
      </c>
      <c r="B84" s="8" t="inlineStr">
        <is>
          <t>terrace</t>
        </is>
      </c>
      <c r="C84" s="8" t="n"/>
      <c r="D84" s="8" t="inlineStr">
        <is>
          <t>H</t>
        </is>
      </c>
      <c r="E84" s="11" t="n">
        <v>-0.3248</v>
      </c>
      <c r="F84" s="12" t="inlineStr">
        <is>
          <t>[89.1, 89.3, 135.0]</t>
        </is>
      </c>
      <c r="G84" s="8" t="inlineStr">
        <is>
          <t>63</t>
        </is>
      </c>
      <c r="H84" s="8" t="n">
        <v>0.25</v>
      </c>
      <c r="I84" s="8" t="n"/>
    </row>
    <row r="85">
      <c r="A85" s="8" t="inlineStr">
        <is>
          <t>Os</t>
        </is>
      </c>
      <c r="B85" s="8" t="inlineStr">
        <is>
          <t>terrace</t>
        </is>
      </c>
      <c r="C85" s="8" t="n"/>
      <c r="D85" s="8" t="inlineStr">
        <is>
          <t>N</t>
        </is>
      </c>
      <c r="E85" s="11" t="n">
        <v>-0.7403999999999999</v>
      </c>
      <c r="F85" s="12" t="inlineStr">
        <is>
          <t>[57.3, 59.6, 71.3]</t>
        </is>
      </c>
      <c r="G85" s="8" t="inlineStr">
        <is>
          <t>45</t>
        </is>
      </c>
      <c r="H85" s="8" t="n">
        <v>0.25</v>
      </c>
      <c r="I85" s="8" t="n"/>
    </row>
    <row r="86">
      <c r="A86" s="8" t="inlineStr">
        <is>
          <t>Os</t>
        </is>
      </c>
      <c r="B86" s="8" t="inlineStr">
        <is>
          <t>terrace</t>
        </is>
      </c>
      <c r="C86" s="8" t="n"/>
      <c r="D86" s="8" t="inlineStr">
        <is>
          <t>N-H</t>
        </is>
      </c>
      <c r="E86" s="11" t="n">
        <v>0.1038</v>
      </c>
      <c r="F86" s="12" t="inlineStr">
        <is>
          <t>[44.2, 55.5, 67.2, 68.8, 212.0]</t>
        </is>
      </c>
      <c r="G86" s="8" t="inlineStr">
        <is>
          <t>143</t>
        </is>
      </c>
      <c r="H86" s="8" t="n">
        <v>0.25</v>
      </c>
      <c r="I86" s="8" t="n"/>
    </row>
    <row r="87">
      <c r="A87" s="8" t="inlineStr">
        <is>
          <t>Os</t>
        </is>
      </c>
      <c r="B87" s="8" t="inlineStr">
        <is>
          <t>terrace</t>
        </is>
      </c>
      <c r="C87" s="8" t="n"/>
      <c r="D87" s="8" t="inlineStr">
        <is>
          <t>N-N</t>
        </is>
      </c>
      <c r="E87" s="11" t="n">
        <v>1.8558</v>
      </c>
      <c r="F87" s="12" t="inlineStr">
        <is>
          <t>[24.5, 40.0, 48.6, 69.0, 73.0]</t>
        </is>
      </c>
      <c r="G87" s="8" t="inlineStr">
        <is>
          <t>108</t>
        </is>
      </c>
      <c r="H87" s="8" t="n">
        <v>0.25</v>
      </c>
      <c r="I87" s="8" t="n"/>
    </row>
    <row r="88">
      <c r="A88" s="8" t="inlineStr">
        <is>
          <t>Os</t>
        </is>
      </c>
      <c r="B88" s="8" t="inlineStr">
        <is>
          <t>terrace</t>
        </is>
      </c>
      <c r="C88" s="8" t="n"/>
      <c r="D88" s="8" t="inlineStr">
        <is>
          <t>N2</t>
        </is>
      </c>
      <c r="E88" s="11" t="n">
        <v>-0.4454</v>
      </c>
      <c r="F88" s="12" t="inlineStr">
        <is>
          <t>[9.1, 9.5, 40.4, 46.0, 46.1, 271.4]</t>
        </is>
      </c>
      <c r="G88" s="8" t="inlineStr">
        <is>
          <t>59</t>
        </is>
      </c>
      <c r="H88" s="8" t="n">
        <v>0.25</v>
      </c>
      <c r="I88" s="8" t="n"/>
    </row>
    <row r="89">
      <c r="A89" s="8" t="inlineStr">
        <is>
          <t>Os</t>
        </is>
      </c>
      <c r="B89" s="8" t="inlineStr">
        <is>
          <t>terrace</t>
        </is>
      </c>
      <c r="C89" s="8" t="n"/>
      <c r="D89" s="8" t="inlineStr">
        <is>
          <t>NH</t>
        </is>
      </c>
      <c r="E89" s="11" t="n">
        <v>-1.1201</v>
      </c>
      <c r="F89" s="7" t="inlineStr">
        <is>
          <t>[53.3, 54.1, 68.3, 92.2, 92.8, 437.8]</t>
        </is>
      </c>
      <c r="G89" s="8" t="inlineStr">
        <is>
          <t>73</t>
        </is>
      </c>
      <c r="H89" s="8" t="n">
        <v>0.25</v>
      </c>
      <c r="I89" s="8" t="n"/>
    </row>
    <row r="90">
      <c r="A90" s="8" t="inlineStr">
        <is>
          <t>Os</t>
        </is>
      </c>
      <c r="B90" s="8" t="inlineStr">
        <is>
          <t>terrace</t>
        </is>
      </c>
      <c r="C90" s="8" t="n"/>
      <c r="D90" s="8" t="inlineStr">
        <is>
          <t>NH-H</t>
        </is>
      </c>
      <c r="E90" s="11" t="n">
        <v>-0.06950000000000001</v>
      </c>
      <c r="F90" s="7" t="inlineStr">
        <is>
          <t>[45.4, 46.1, 60.8, 67.7, 86.6, 134.2, 224.4, 432.5]</t>
        </is>
      </c>
      <c r="G90" s="8" t="inlineStr">
        <is>
          <t>118</t>
        </is>
      </c>
      <c r="H90" s="8" t="n">
        <v>0.25</v>
      </c>
      <c r="I90" s="8" t="n"/>
    </row>
    <row r="91">
      <c r="A91" s="8" t="inlineStr">
        <is>
          <t>Os</t>
        </is>
      </c>
      <c r="B91" s="8" t="inlineStr">
        <is>
          <t>terrace</t>
        </is>
      </c>
      <c r="C91" s="8" t="n"/>
      <c r="D91" s="8" t="inlineStr">
        <is>
          <t>NH2</t>
        </is>
      </c>
      <c r="E91" s="11" t="n">
        <v>-1.0846</v>
      </c>
      <c r="F91" s="7" t="inlineStr">
        <is>
          <t>[25.8, 34.3, 57.6, 85.9, 88.0, 92.3, 191.0, 429.4, 441.3]</t>
        </is>
      </c>
      <c r="G91" s="8" t="inlineStr">
        <is>
          <t>86</t>
        </is>
      </c>
      <c r="H91" s="8" t="n">
        <v>0.25</v>
      </c>
      <c r="I91" s="8" t="n"/>
    </row>
    <row r="92">
      <c r="A92" s="8" t="inlineStr">
        <is>
          <t>Os</t>
        </is>
      </c>
      <c r="B92" s="8" t="inlineStr">
        <is>
          <t>terrace</t>
        </is>
      </c>
      <c r="C92" s="8" t="n"/>
      <c r="D92" s="8" t="inlineStr">
        <is>
          <t>NH2-H</t>
        </is>
      </c>
      <c r="E92" s="11" t="n">
        <v>-0.0653</v>
      </c>
      <c r="F92" s="7" t="inlineStr">
        <is>
          <t>[17.8, 13.2, 16.1, 52.5, 57.9, 64.9, 87.0, 108.1, 185.8, 434.3, 449.7]</t>
        </is>
      </c>
      <c r="G92" s="8" t="inlineStr">
        <is>
          <t>131</t>
        </is>
      </c>
      <c r="H92" s="8" t="n">
        <v>0.25</v>
      </c>
      <c r="I92" s="8" t="n"/>
    </row>
    <row r="93">
      <c r="A93" s="8" t="inlineStr">
        <is>
          <t>Os</t>
        </is>
      </c>
      <c r="B93" s="8" t="inlineStr">
        <is>
          <t>terrace</t>
        </is>
      </c>
      <c r="C93" s="8" t="n"/>
      <c r="D93" s="8" t="inlineStr">
        <is>
          <t>NH3</t>
        </is>
      </c>
      <c r="E93" s="11" t="n">
        <v>-1.6069</v>
      </c>
      <c r="F93" s="7" t="inlineStr">
        <is>
          <t>[12.7, 16.0, 16.2, 40.8, 76.1, 77.9, 145.2, 197.5, 198.0, 424.5, 441.0, 441.7]</t>
        </is>
      </c>
      <c r="G93" s="8" t="inlineStr">
        <is>
          <t>26</t>
        </is>
      </c>
      <c r="H93" s="8" t="n">
        <v>0.25</v>
      </c>
      <c r="I93" s="8" t="n"/>
    </row>
    <row r="94">
      <c r="A94" s="8" t="inlineStr">
        <is>
          <t>Pd</t>
        </is>
      </c>
      <c r="B94" s="8" t="inlineStr">
        <is>
          <t>terrace</t>
        </is>
      </c>
      <c r="C94" s="8" t="n"/>
      <c r="D94" s="8" t="inlineStr">
        <is>
          <t>H</t>
        </is>
      </c>
      <c r="E94" s="11" t="n">
        <v>-0.3238</v>
      </c>
      <c r="F94" s="12" t="inlineStr">
        <is>
          <t>[95.3, 95.4, 114.1]</t>
        </is>
      </c>
      <c r="G94" s="8" t="inlineStr">
        <is>
          <t>66</t>
        </is>
      </c>
      <c r="H94" s="8" t="n">
        <v>0.25</v>
      </c>
      <c r="I94" s="8" t="n"/>
    </row>
    <row r="95">
      <c r="A95" s="8" t="inlineStr">
        <is>
          <t>Pd</t>
        </is>
      </c>
      <c r="B95" s="8" t="inlineStr">
        <is>
          <t>terrace</t>
        </is>
      </c>
      <c r="C95" s="8" t="n"/>
      <c r="D95" s="8" t="inlineStr">
        <is>
          <t>N</t>
        </is>
      </c>
      <c r="E95" s="11" t="n">
        <v>0.8054</v>
      </c>
      <c r="F95" s="12" t="inlineStr">
        <is>
          <t>[58.3, 58.4, 58.4]</t>
        </is>
      </c>
      <c r="G95" s="8" t="inlineStr">
        <is>
          <t>53</t>
        </is>
      </c>
      <c r="H95" s="8" t="n">
        <v>0.25</v>
      </c>
      <c r="I95" s="8" t="n"/>
    </row>
    <row r="96">
      <c r="A96" s="8" t="inlineStr">
        <is>
          <t>Pd</t>
        </is>
      </c>
      <c r="B96" s="8" t="inlineStr">
        <is>
          <t>terrace</t>
        </is>
      </c>
      <c r="C96" s="8" t="n"/>
      <c r="D96" s="8" t="inlineStr">
        <is>
          <t>N-H</t>
        </is>
      </c>
      <c r="E96" s="11" t="n">
        <v>1.6565</v>
      </c>
      <c r="F96" s="12" t="inlineStr">
        <is>
          <t>[38.3, 43.9, 57.1, 60.0, 115.2]</t>
        </is>
      </c>
      <c r="G96" s="8" t="inlineStr">
        <is>
          <t>152</t>
        </is>
      </c>
      <c r="H96" s="8" t="n">
        <v>0.25</v>
      </c>
      <c r="I96" s="8" t="n"/>
    </row>
    <row r="97">
      <c r="A97" s="8" t="inlineStr">
        <is>
          <t>Pd</t>
        </is>
      </c>
      <c r="B97" s="8" t="inlineStr">
        <is>
          <t>terrace</t>
        </is>
      </c>
      <c r="C97" s="8" t="n"/>
      <c r="D97" s="8" t="inlineStr">
        <is>
          <t>N-N</t>
        </is>
      </c>
      <c r="E97" s="11" t="n">
        <v>3.6773</v>
      </c>
      <c r="F97" s="12" t="inlineStr">
        <is>
          <t>[24.8, 44.8, 52.4, 61.1, 61.5]</t>
        </is>
      </c>
      <c r="G97" s="8" t="inlineStr">
        <is>
          <t>113</t>
        </is>
      </c>
      <c r="H97" s="8" t="n">
        <v>0.25</v>
      </c>
      <c r="I97" s="8" t="n"/>
    </row>
    <row r="98">
      <c r="A98" s="8" t="inlineStr">
        <is>
          <t>Pd</t>
        </is>
      </c>
      <c r="B98" s="8" t="inlineStr">
        <is>
          <t>terrace</t>
        </is>
      </c>
      <c r="C98" s="8" t="n"/>
      <c r="D98" s="8" t="inlineStr">
        <is>
          <t>N2</t>
        </is>
      </c>
      <c r="E98" s="11" t="n">
        <v>-0.1908</v>
      </c>
      <c r="F98" s="12" t="inlineStr">
        <is>
          <t>[5.2, 5.2, 19.6, 19.7, 22.6, 283.0]</t>
        </is>
      </c>
      <c r="G98" s="8" t="inlineStr">
        <is>
          <t>48</t>
        </is>
      </c>
      <c r="H98" s="8" t="n">
        <v>0.25</v>
      </c>
      <c r="I98" s="8" t="n"/>
    </row>
    <row r="99">
      <c r="A99" s="8" t="inlineStr">
        <is>
          <t>Pd</t>
        </is>
      </c>
      <c r="B99" s="8" t="inlineStr">
        <is>
          <t>terrace</t>
        </is>
      </c>
      <c r="C99" s="8" t="n"/>
      <c r="D99" s="8" t="inlineStr">
        <is>
          <t>NH</t>
        </is>
      </c>
      <c r="E99" s="11" t="n">
        <v>0.0672</v>
      </c>
      <c r="F99" s="7" t="inlineStr">
        <is>
          <t>[50.2, 50.3, 58.1, 88.9, 89.1, 429.4]</t>
        </is>
      </c>
      <c r="G99" s="8" t="inlineStr">
        <is>
          <t>91</t>
        </is>
      </c>
      <c r="H99" s="8" t="n">
        <v>0.25</v>
      </c>
      <c r="I99" s="8" t="n"/>
    </row>
    <row r="100">
      <c r="A100" s="8" t="inlineStr">
        <is>
          <t>Pd</t>
        </is>
      </c>
      <c r="B100" s="8" t="inlineStr">
        <is>
          <t>terrace</t>
        </is>
      </c>
      <c r="C100" s="8" t="n"/>
      <c r="D100" s="8" t="inlineStr">
        <is>
          <t>NH-H</t>
        </is>
      </c>
      <c r="E100" s="11" t="n">
        <v>0.839</v>
      </c>
      <c r="F100" s="7" t="inlineStr">
        <is>
          <t>[35.0, 40.6, 55.8, 56.8, 83.7, 88.0, 132.6, 432.7]</t>
        </is>
      </c>
      <c r="G100" s="8" t="inlineStr">
        <is>
          <t>127</t>
        </is>
      </c>
      <c r="H100" s="8" t="n">
        <v>0.25</v>
      </c>
      <c r="I100" s="8" t="n"/>
    </row>
    <row r="101">
      <c r="A101" s="8" t="inlineStr">
        <is>
          <t>Pd</t>
        </is>
      </c>
      <c r="B101" s="8" t="inlineStr">
        <is>
          <t>terrace</t>
        </is>
      </c>
      <c r="C101" s="8" t="n"/>
      <c r="D101" s="8" t="inlineStr">
        <is>
          <t>NH2</t>
        </is>
      </c>
      <c r="E101" s="11" t="n">
        <v>-0.4193</v>
      </c>
      <c r="F101" s="7" t="inlineStr">
        <is>
          <t>[18.1, 34.6, 49.8, 69.4, 77.7, 83.4, 184.0, 430.4, 442.8]</t>
        </is>
      </c>
      <c r="G101" s="8" t="inlineStr">
        <is>
          <t>43</t>
        </is>
      </c>
      <c r="H101" s="8" t="n">
        <v>0.25</v>
      </c>
      <c r="I101" s="8" t="n"/>
    </row>
    <row r="102">
      <c r="A102" s="8" t="inlineStr">
        <is>
          <t>Pd</t>
        </is>
      </c>
      <c r="B102" s="8" t="inlineStr">
        <is>
          <t>terrace</t>
        </is>
      </c>
      <c r="C102" s="8" t="n"/>
      <c r="D102" s="8" t="inlineStr">
        <is>
          <t>NH2-H</t>
        </is>
      </c>
      <c r="E102" s="11" t="n">
        <v>0.4503</v>
      </c>
      <c r="F102" s="7" t="inlineStr">
        <is>
          <t>[15.1, 16.6, 30.2, 43.6, 61.9, 95.9, 104.5, 183.2, 219.0, 430.2, 444.4]</t>
        </is>
      </c>
      <c r="G102" s="8" t="inlineStr">
        <is>
          <t>138</t>
        </is>
      </c>
      <c r="H102" s="8" t="n">
        <v>0.25</v>
      </c>
      <c r="I102" s="8" t="n"/>
    </row>
    <row r="103">
      <c r="A103" s="8" t="inlineStr">
        <is>
          <t>Pd</t>
        </is>
      </c>
      <c r="B103" s="8" t="inlineStr">
        <is>
          <t>terrace</t>
        </is>
      </c>
      <c r="C103" s="8" t="n"/>
      <c r="D103" s="8" t="inlineStr">
        <is>
          <t>NH3</t>
        </is>
      </c>
      <c r="E103" s="11" t="n">
        <v>-1.3485</v>
      </c>
      <c r="F103" s="7" t="inlineStr">
        <is>
          <t>[17.7, 7.7, 7.9, 30.1, 59.3, 59.3, 130.7, 198.2, 199.0, 431.7, 447.9, 448.4]</t>
        </is>
      </c>
      <c r="G103" s="8" t="inlineStr">
        <is>
          <t>34</t>
        </is>
      </c>
      <c r="H103" s="8" t="n">
        <v>0.25</v>
      </c>
      <c r="I103" s="8" t="n"/>
    </row>
    <row r="104">
      <c r="A104" s="8" t="inlineStr">
        <is>
          <t>Pt</t>
        </is>
      </c>
      <c r="B104" s="8" t="inlineStr">
        <is>
          <t>terrace</t>
        </is>
      </c>
      <c r="C104" s="8" t="n"/>
      <c r="D104" s="8" t="inlineStr">
        <is>
          <t>H</t>
        </is>
      </c>
      <c r="E104" s="11" t="n">
        <v>-0.5392</v>
      </c>
      <c r="F104" s="12" t="inlineStr">
        <is>
          <t>[45.8, 45.8, 273.3]</t>
        </is>
      </c>
      <c r="G104" s="8" t="inlineStr">
        <is>
          <t>88</t>
        </is>
      </c>
      <c r="H104" s="8" t="n">
        <v>0.25</v>
      </c>
      <c r="I104" s="8" t="n"/>
    </row>
    <row r="105">
      <c r="A105" s="8" t="inlineStr">
        <is>
          <t>Pt</t>
        </is>
      </c>
      <c r="B105" s="8" t="inlineStr">
        <is>
          <t>terrace</t>
        </is>
      </c>
      <c r="C105" s="8" t="n"/>
      <c r="D105" s="8" t="inlineStr">
        <is>
          <t>N</t>
        </is>
      </c>
      <c r="E105" s="11" t="n">
        <v>0.334</v>
      </c>
      <c r="F105" s="12" t="inlineStr">
        <is>
          <t>[58.1, 59.0, 59.0]</t>
        </is>
      </c>
      <c r="G105" s="8" t="inlineStr">
        <is>
          <t>92</t>
        </is>
      </c>
      <c r="H105" s="8" t="n">
        <v>0.25</v>
      </c>
      <c r="I105" s="8" t="n"/>
    </row>
    <row r="106">
      <c r="A106" s="8" t="inlineStr">
        <is>
          <t>Pt</t>
        </is>
      </c>
      <c r="B106" s="8" t="inlineStr">
        <is>
          <t>terrace</t>
        </is>
      </c>
      <c r="C106" s="8" t="n"/>
      <c r="D106" s="8" t="inlineStr">
        <is>
          <t>N-H</t>
        </is>
      </c>
      <c r="E106" s="11" t="n">
        <v>1.0015</v>
      </c>
      <c r="F106" s="12" t="inlineStr">
        <is>
          <t>[45.3, 55.3, 61.3, 65.7, 236.1]</t>
        </is>
      </c>
      <c r="G106" s="8" t="inlineStr">
        <is>
          <t>151</t>
        </is>
      </c>
      <c r="H106" s="8" t="n">
        <v>0.25</v>
      </c>
      <c r="I106" s="8" t="n"/>
    </row>
    <row r="107">
      <c r="A107" s="8" t="inlineStr">
        <is>
          <t>Pt</t>
        </is>
      </c>
      <c r="B107" s="8" t="inlineStr">
        <is>
          <t>terrace</t>
        </is>
      </c>
      <c r="C107" s="8" t="n"/>
      <c r="D107" s="8" t="inlineStr">
        <is>
          <t>N-N</t>
        </is>
      </c>
      <c r="E107" s="11" t="n">
        <v>3.3974</v>
      </c>
      <c r="F107" s="12" t="inlineStr">
        <is>
          <t>[23.0, 45.1, 51.3, 68.0, 69.5]</t>
        </is>
      </c>
      <c r="G107" s="8" t="inlineStr">
        <is>
          <t>112</t>
        </is>
      </c>
      <c r="H107" s="8" t="n">
        <v>0.25</v>
      </c>
      <c r="I107" s="8" t="n"/>
    </row>
    <row r="108">
      <c r="A108" s="8" t="inlineStr">
        <is>
          <t>Pt</t>
        </is>
      </c>
      <c r="B108" s="8" t="inlineStr">
        <is>
          <t>terrace</t>
        </is>
      </c>
      <c r="C108" s="8" t="n"/>
      <c r="D108" s="8" t="inlineStr">
        <is>
          <t>N2</t>
        </is>
      </c>
      <c r="E108" s="11" t="n">
        <v>-0.3724</v>
      </c>
      <c r="F108" s="12" t="inlineStr">
        <is>
          <t>[10.2, 2.3, 2.2, 6.3, 6.9, 297.6]</t>
        </is>
      </c>
      <c r="G108" s="8" t="inlineStr">
        <is>
          <t>37</t>
        </is>
      </c>
      <c r="H108" s="8" t="n">
        <v>0.25</v>
      </c>
      <c r="I108" s="8" t="n"/>
    </row>
    <row r="109">
      <c r="A109" s="8" t="inlineStr">
        <is>
          <t>Pt</t>
        </is>
      </c>
      <c r="B109" s="8" t="inlineStr">
        <is>
          <t>terrace</t>
        </is>
      </c>
      <c r="C109" s="8" t="n"/>
      <c r="D109" s="8" t="inlineStr">
        <is>
          <t>NH</t>
        </is>
      </c>
      <c r="E109" s="11" t="n">
        <v>-0.4389</v>
      </c>
      <c r="F109" s="7" t="inlineStr">
        <is>
          <t>[57.7, 57.7, 63.9, 102.3, 102.3, 432.3]</t>
        </is>
      </c>
      <c r="G109" s="8" t="inlineStr">
        <is>
          <t>22</t>
        </is>
      </c>
      <c r="H109" s="8" t="n">
        <v>0.25</v>
      </c>
      <c r="I109" s="8" t="n"/>
    </row>
    <row r="110">
      <c r="A110" s="8" t="inlineStr">
        <is>
          <t>Pt</t>
        </is>
      </c>
      <c r="B110" s="8" t="inlineStr">
        <is>
          <t>terrace</t>
        </is>
      </c>
      <c r="C110" s="8" t="n"/>
      <c r="D110" s="8" t="inlineStr">
        <is>
          <t>NH-H</t>
        </is>
      </c>
      <c r="E110" s="11" t="n">
        <v>0.7399</v>
      </c>
      <c r="F110" s="7" t="inlineStr">
        <is>
          <t>[34.1, 48.2, 61.1, 81.6, 82.5, 99.4, 172.0, 420.6]</t>
        </is>
      </c>
      <c r="G110" s="8" t="inlineStr">
        <is>
          <t>126</t>
        </is>
      </c>
      <c r="H110" s="8" t="n">
        <v>0.25</v>
      </c>
      <c r="I110" s="8" t="n"/>
    </row>
    <row r="111">
      <c r="A111" s="8" t="inlineStr">
        <is>
          <t>Pt</t>
        </is>
      </c>
      <c r="B111" s="8" t="inlineStr">
        <is>
          <t>terrace</t>
        </is>
      </c>
      <c r="C111" s="8" t="n"/>
      <c r="D111" s="8" t="inlineStr">
        <is>
          <t>NH2</t>
        </is>
      </c>
      <c r="E111" s="11" t="n">
        <v>-0.7258</v>
      </c>
      <c r="F111" s="7" t="inlineStr">
        <is>
          <t>[25.7, 39.8, 56.0, 82.7, 94.3, 96.7, 185.2, 431.5, 444.8]</t>
        </is>
      </c>
      <c r="G111" s="8" t="inlineStr">
        <is>
          <t>76</t>
        </is>
      </c>
      <c r="H111" s="8" t="n">
        <v>0.25</v>
      </c>
      <c r="I111" s="8" t="n"/>
    </row>
    <row r="112">
      <c r="A112" s="8" t="inlineStr">
        <is>
          <t>Pt</t>
        </is>
      </c>
      <c r="B112" s="8" t="inlineStr">
        <is>
          <t>terrace</t>
        </is>
      </c>
      <c r="C112" s="8" t="n"/>
      <c r="D112" s="8" t="inlineStr">
        <is>
          <t>NH2-H</t>
        </is>
      </c>
      <c r="E112" s="11" t="n">
        <v>-0.361</v>
      </c>
      <c r="F112" s="7" t="inlineStr">
        <is>
          <t>[15.1, 16.6, 30.2, 43.6, 61.9, 95.9, 104.5, 183.2, 219.0, 430.2, 444.4]</t>
        </is>
      </c>
      <c r="G112" s="8" t="inlineStr">
        <is>
          <t>138</t>
        </is>
      </c>
      <c r="H112" s="8" t="n">
        <v>0.25</v>
      </c>
      <c r="I112" s="8" t="inlineStr">
        <is>
          <t>notsure</t>
        </is>
      </c>
    </row>
    <row r="113">
      <c r="A113" s="8" t="inlineStr">
        <is>
          <t>Pt</t>
        </is>
      </c>
      <c r="B113" s="8" t="inlineStr">
        <is>
          <t>terrace</t>
        </is>
      </c>
      <c r="C113" s="8" t="n"/>
      <c r="D113" s="8" t="inlineStr">
        <is>
          <t>NH3</t>
        </is>
      </c>
      <c r="E113" s="11" t="n">
        <v>-1.6519</v>
      </c>
      <c r="F113" s="7" t="inlineStr">
        <is>
          <t>[17.0, 12.9, 13.3, 37.4, 77.1, 77.2, 139.0, 197.1, 198.2, 429.5, 446.1, 446.5]</t>
        </is>
      </c>
      <c r="G113" s="8" t="inlineStr">
        <is>
          <t>41</t>
        </is>
      </c>
      <c r="H113" s="8" t="n">
        <v>0.25</v>
      </c>
      <c r="I113" s="8" t="n"/>
    </row>
    <row r="114">
      <c r="A114" s="8" t="inlineStr">
        <is>
          <t>Re</t>
        </is>
      </c>
      <c r="B114" s="8" t="inlineStr">
        <is>
          <t>terrace</t>
        </is>
      </c>
      <c r="C114" s="8" t="n"/>
      <c r="D114" s="8" t="inlineStr">
        <is>
          <t>H</t>
        </is>
      </c>
      <c r="E114" s="11" t="n">
        <v>-0.5601</v>
      </c>
      <c r="F114" s="12" t="inlineStr">
        <is>
          <t>[120.1, 127.4, 135.6]</t>
        </is>
      </c>
      <c r="G114" s="8" t="inlineStr">
        <is>
          <t>85</t>
        </is>
      </c>
      <c r="H114" s="8" t="n">
        <v>0.25</v>
      </c>
      <c r="I114" s="8" t="n"/>
    </row>
    <row r="115">
      <c r="A115" s="8" t="inlineStr">
        <is>
          <t>Re</t>
        </is>
      </c>
      <c r="B115" s="8" t="inlineStr">
        <is>
          <t>terrace</t>
        </is>
      </c>
      <c r="C115" s="8" t="n"/>
      <c r="D115" s="8" t="inlineStr">
        <is>
          <t>N</t>
        </is>
      </c>
      <c r="E115" s="11" t="n">
        <v>-1.4205</v>
      </c>
      <c r="F115" s="12" t="inlineStr">
        <is>
          <t>[54.7, 55.2, 74.8]</t>
        </is>
      </c>
      <c r="G115" s="8" t="inlineStr">
        <is>
          <t>87</t>
        </is>
      </c>
      <c r="H115" s="8" t="n">
        <v>0.25</v>
      </c>
      <c r="I115" s="8" t="n"/>
    </row>
    <row r="116">
      <c r="A116" s="8" t="inlineStr">
        <is>
          <t>Re</t>
        </is>
      </c>
      <c r="B116" s="8" t="inlineStr">
        <is>
          <t>terrace</t>
        </is>
      </c>
      <c r="C116" s="8" t="n"/>
      <c r="D116" s="8" t="inlineStr">
        <is>
          <t>N-H</t>
        </is>
      </c>
      <c r="E116" s="11" t="n">
        <v>-0.542</v>
      </c>
      <c r="F116" s="12" t="inlineStr">
        <is>
          <t>[40.5, 48.4, 63.5, 71.8, 202.3]</t>
        </is>
      </c>
      <c r="G116" s="8" t="inlineStr">
        <is>
          <t>145</t>
        </is>
      </c>
      <c r="H116" s="8" t="n">
        <v>0.25</v>
      </c>
      <c r="I116" s="8" t="n"/>
    </row>
    <row r="117">
      <c r="A117" s="8" t="inlineStr">
        <is>
          <t>Re</t>
        </is>
      </c>
      <c r="B117" s="8" t="inlineStr">
        <is>
          <t>terrace</t>
        </is>
      </c>
      <c r="C117" s="8" t="n"/>
      <c r="D117" s="8" t="inlineStr">
        <is>
          <t>N2</t>
        </is>
      </c>
      <c r="E117" s="11" t="n">
        <v>-0.5273</v>
      </c>
      <c r="F117" s="12" t="inlineStr">
        <is>
          <t>[6.8, 8.2, 38.0, 43.5, 44.0, 267.8]</t>
        </is>
      </c>
      <c r="G117" s="8" t="inlineStr">
        <is>
          <t>77</t>
        </is>
      </c>
      <c r="H117" s="8" t="n">
        <v>0.25</v>
      </c>
      <c r="I117" s="8" t="n"/>
    </row>
    <row r="118">
      <c r="A118" s="8" t="inlineStr">
        <is>
          <t>Re</t>
        </is>
      </c>
      <c r="B118" s="8" t="inlineStr">
        <is>
          <t>terrace</t>
        </is>
      </c>
      <c r="C118" s="8" t="n"/>
      <c r="D118" s="8" t="inlineStr">
        <is>
          <t>N-N</t>
        </is>
      </c>
      <c r="E118" s="11" t="n">
        <v>0.65513</v>
      </c>
      <c r="F118" s="12" t="inlineStr">
        <is>
          <t>[25.8, 38.7, 47.7, 64.9, 69.5]</t>
        </is>
      </c>
      <c r="G118" s="8" t="inlineStr">
        <is>
          <t>109</t>
        </is>
      </c>
      <c r="H118" s="8" t="n">
        <v>0.25</v>
      </c>
      <c r="I118" s="8" t="n"/>
    </row>
    <row r="119">
      <c r="A119" s="8" t="inlineStr">
        <is>
          <t>Re</t>
        </is>
      </c>
      <c r="B119" s="8" t="inlineStr">
        <is>
          <t>terrace</t>
        </is>
      </c>
      <c r="C119" s="8" t="n"/>
      <c r="D119" s="8" t="inlineStr">
        <is>
          <t>NH</t>
        </is>
      </c>
      <c r="E119" s="11" t="n">
        <v>-1.7802</v>
      </c>
      <c r="F119" s="7" t="inlineStr">
        <is>
          <t>[50.6, 50.9, 70.7, 87.8, 88.2, 436.0]</t>
        </is>
      </c>
      <c r="G119" s="8" t="inlineStr">
        <is>
          <t>36</t>
        </is>
      </c>
      <c r="H119" s="8" t="n">
        <v>0.25</v>
      </c>
      <c r="I119" s="8" t="n"/>
    </row>
    <row r="120">
      <c r="A120" s="8" t="inlineStr">
        <is>
          <t>Re</t>
        </is>
      </c>
      <c r="B120" s="8" t="inlineStr">
        <is>
          <t>terrace</t>
        </is>
      </c>
      <c r="C120" s="8" t="n"/>
      <c r="D120" s="8" t="inlineStr">
        <is>
          <t>NH-H</t>
        </is>
      </c>
      <c r="E120" s="11" t="n">
        <v>-0.5979</v>
      </c>
      <c r="F120" s="7" t="inlineStr">
        <is>
          <t>[35.7, 39.4, 66.8, 79.0, 82.9, 117.6, 176.8, 438.9]</t>
        </is>
      </c>
      <c r="G120" s="8" t="inlineStr">
        <is>
          <t>120</t>
        </is>
      </c>
      <c r="H120" s="8" t="n">
        <v>0.25</v>
      </c>
      <c r="I120" s="8" t="n"/>
    </row>
    <row r="121">
      <c r="A121" s="8" t="inlineStr">
        <is>
          <t>Re</t>
        </is>
      </c>
      <c r="B121" s="8" t="inlineStr">
        <is>
          <t>terrace</t>
        </is>
      </c>
      <c r="C121" s="8" t="n"/>
      <c r="D121" s="8" t="inlineStr">
        <is>
          <t>NH2</t>
        </is>
      </c>
      <c r="E121" s="11" t="n">
        <v>-1.2991</v>
      </c>
      <c r="F121" s="7" t="inlineStr">
        <is>
          <t>[19.7, 36.0, 57.2, 82.7, 83.4, 86.8, 191.4, 429.3, 439.3]</t>
        </is>
      </c>
      <c r="G121" s="8" t="inlineStr">
        <is>
          <t>71</t>
        </is>
      </c>
      <c r="H121" s="8" t="n">
        <v>0.25</v>
      </c>
      <c r="I121" s="8" t="n"/>
    </row>
    <row r="122">
      <c r="A122" s="8" t="inlineStr">
        <is>
          <t>Re</t>
        </is>
      </c>
      <c r="B122" s="8" t="inlineStr">
        <is>
          <t>terrace</t>
        </is>
      </c>
      <c r="C122" s="8" t="n"/>
      <c r="D122" s="8" t="inlineStr">
        <is>
          <t>NH2-H</t>
        </is>
      </c>
      <c r="E122" s="11" t="n">
        <v>-0.2565</v>
      </c>
      <c r="F122" s="7" t="inlineStr">
        <is>
          <t>[14.9, 17.1, 31.6, 45.0, 58.3, 74.3, 88.2, 147.1, 185.9, 436.5, 455.0]</t>
        </is>
      </c>
      <c r="G122" s="8" t="inlineStr">
        <is>
          <t>132</t>
        </is>
      </c>
      <c r="H122" s="8" t="n">
        <v>0.25</v>
      </c>
      <c r="I122" s="8" t="n"/>
    </row>
    <row r="123">
      <c r="A123" s="8" t="inlineStr">
        <is>
          <t>Re</t>
        </is>
      </c>
      <c r="B123" s="8" t="inlineStr">
        <is>
          <t>terrace</t>
        </is>
      </c>
      <c r="C123" s="8" t="n"/>
      <c r="D123" s="8" t="inlineStr">
        <is>
          <t>NH3</t>
        </is>
      </c>
      <c r="E123" s="11" t="n">
        <v>-1.5023</v>
      </c>
      <c r="F123" s="7" t="inlineStr">
        <is>
          <t>[16.6, 12.9, 13.6, 36.0, 67.7, 69.5, 142.7, 198.0, 198.2, 425.0, 441.0, 441.7]</t>
        </is>
      </c>
      <c r="G123" s="8" t="inlineStr">
        <is>
          <t>61</t>
        </is>
      </c>
      <c r="H123" s="8" t="n">
        <v>0.25</v>
      </c>
      <c r="I123" s="8" t="n"/>
    </row>
    <row r="124">
      <c r="A124" s="8" t="inlineStr">
        <is>
          <t>Rh</t>
        </is>
      </c>
      <c r="B124" s="8" t="inlineStr">
        <is>
          <t>terrace</t>
        </is>
      </c>
      <c r="C124" s="8" t="n"/>
      <c r="D124" s="8" t="inlineStr">
        <is>
          <t>H</t>
        </is>
      </c>
      <c r="E124" s="11" t="n">
        <v>-0.3476</v>
      </c>
      <c r="F124" s="12" t="inlineStr">
        <is>
          <t>[91.0, 91.0, 131.4]</t>
        </is>
      </c>
      <c r="G124" s="8" t="inlineStr">
        <is>
          <t>78</t>
        </is>
      </c>
      <c r="H124" s="8" t="n">
        <v>0.25</v>
      </c>
      <c r="I124" s="8" t="n"/>
    </row>
    <row r="125">
      <c r="A125" s="8" t="inlineStr">
        <is>
          <t>Rh</t>
        </is>
      </c>
      <c r="B125" s="8" t="inlineStr">
        <is>
          <t>terrace</t>
        </is>
      </c>
      <c r="C125" s="8" t="n"/>
      <c r="D125" s="8" t="inlineStr">
        <is>
          <t>N</t>
        </is>
      </c>
      <c r="E125" s="11" t="n">
        <v>-0.0431</v>
      </c>
      <c r="F125" s="12" t="inlineStr">
        <is>
          <t>[52.5, 52.5, 63.8]</t>
        </is>
      </c>
      <c r="G125" s="8" t="inlineStr">
        <is>
          <t>83</t>
        </is>
      </c>
      <c r="H125" s="8" t="n">
        <v>0.25</v>
      </c>
      <c r="I125" s="8" t="n"/>
    </row>
    <row r="126">
      <c r="A126" s="8" t="inlineStr">
        <is>
          <t>Rh</t>
        </is>
      </c>
      <c r="B126" s="8" t="inlineStr">
        <is>
          <t>terrace</t>
        </is>
      </c>
      <c r="C126" s="8" t="n"/>
      <c r="D126" s="8" t="inlineStr">
        <is>
          <t>N-H</t>
        </is>
      </c>
      <c r="E126" s="11" t="n">
        <v>0.6444</v>
      </c>
      <c r="F126" s="12" t="inlineStr">
        <is>
          <t>[45.6, 46.9, 55.4, 63.4, 220.6]</t>
        </is>
      </c>
      <c r="G126" s="8" t="inlineStr">
        <is>
          <t>147</t>
        </is>
      </c>
      <c r="H126" s="8" t="n">
        <v>0.25</v>
      </c>
      <c r="I126" s="8" t="n"/>
    </row>
    <row r="127">
      <c r="A127" s="8" t="inlineStr">
        <is>
          <t>Rh</t>
        </is>
      </c>
      <c r="B127" s="8" t="inlineStr">
        <is>
          <t>terrace</t>
        </is>
      </c>
      <c r="C127" s="8" t="n"/>
      <c r="D127" s="8" t="inlineStr">
        <is>
          <t>N-N</t>
        </is>
      </c>
      <c r="E127" s="11" t="n">
        <v>2.3389</v>
      </c>
      <c r="F127" s="12" t="inlineStr">
        <is>
          <t>[25.6, 42.2, 49.2, 66.1, 69.7]</t>
        </is>
      </c>
      <c r="G127" s="8" t="inlineStr">
        <is>
          <t>111</t>
        </is>
      </c>
      <c r="H127" s="8" t="n">
        <v>0.25</v>
      </c>
      <c r="I127" s="8" t="n"/>
    </row>
    <row r="128">
      <c r="A128" s="8" t="inlineStr">
        <is>
          <t>Rh</t>
        </is>
      </c>
      <c r="B128" s="8" t="inlineStr">
        <is>
          <t>terrace</t>
        </is>
      </c>
      <c r="C128" s="8" t="n"/>
      <c r="D128" s="8" t="inlineStr">
        <is>
          <t>N2</t>
        </is>
      </c>
      <c r="E128" s="11" t="n">
        <v>-0.4558</v>
      </c>
      <c r="F128" s="12" t="inlineStr">
        <is>
          <t>[7.6, 7.7, 37.5, 39.8, 39.8, 274.5]</t>
        </is>
      </c>
      <c r="G128" s="8" t="inlineStr">
        <is>
          <t>84</t>
        </is>
      </c>
      <c r="H128" s="8" t="n">
        <v>0.25</v>
      </c>
      <c r="I128" s="8" t="n"/>
    </row>
    <row r="129">
      <c r="A129" s="8" t="inlineStr">
        <is>
          <t>Rh</t>
        </is>
      </c>
      <c r="B129" s="8" t="inlineStr">
        <is>
          <t>terrace</t>
        </is>
      </c>
      <c r="C129" s="8" t="n"/>
      <c r="D129" s="8" t="inlineStr">
        <is>
          <t>NH</t>
        </is>
      </c>
      <c r="E129" s="11" t="n">
        <v>-0.5774</v>
      </c>
      <c r="F129" s="7" t="inlineStr">
        <is>
          <t>[48.9, 48.9, 64.6, 88.6, 88.6, 430.3]</t>
        </is>
      </c>
      <c r="G129" s="8" t="inlineStr">
        <is>
          <t>69</t>
        </is>
      </c>
      <c r="H129" s="8" t="n">
        <v>0.25</v>
      </c>
      <c r="I129" s="8" t="n"/>
    </row>
    <row r="130">
      <c r="A130" s="8" t="inlineStr">
        <is>
          <t>Rh</t>
        </is>
      </c>
      <c r="B130" s="8" t="inlineStr">
        <is>
          <t>terrace</t>
        </is>
      </c>
      <c r="C130" s="8" t="n"/>
      <c r="D130" s="8" t="inlineStr">
        <is>
          <t>NH-H</t>
        </is>
      </c>
      <c r="E130" s="11" t="n">
        <v>0.3537</v>
      </c>
      <c r="F130" s="7" t="inlineStr">
        <is>
          <t>[8.7, 35.6, 43.3, 61.9, 81.3, 106.4, 165.9, 433.2]</t>
        </is>
      </c>
      <c r="G130" s="8" t="inlineStr">
        <is>
          <t>122</t>
        </is>
      </c>
      <c r="H130" s="8" t="n">
        <v>0.25</v>
      </c>
      <c r="I130" s="8" t="n"/>
    </row>
    <row r="131">
      <c r="A131" s="8" t="inlineStr">
        <is>
          <t>Rh</t>
        </is>
      </c>
      <c r="B131" s="8" t="inlineStr">
        <is>
          <t>terrace</t>
        </is>
      </c>
      <c r="C131" s="8" t="n"/>
      <c r="D131" s="8" t="inlineStr">
        <is>
          <t>NH2</t>
        </is>
      </c>
      <c r="E131" s="11" t="n">
        <v>-0.8801</v>
      </c>
      <c r="F131" s="7" t="inlineStr">
        <is>
          <t>[20.5, 36.0, 54.5, 75.5, 80.0, 86.9, 186.3, 430.1, 441.9]</t>
        </is>
      </c>
      <c r="G131" s="8" t="inlineStr">
        <is>
          <t>81</t>
        </is>
      </c>
      <c r="H131" s="8" t="n">
        <v>0.25</v>
      </c>
      <c r="I131" s="8" t="n"/>
    </row>
    <row r="132">
      <c r="A132" s="8" t="inlineStr">
        <is>
          <t>Rh</t>
        </is>
      </c>
      <c r="B132" s="8" t="inlineStr">
        <is>
          <t>terrace</t>
        </is>
      </c>
      <c r="C132" s="8" t="n"/>
      <c r="D132" s="8" t="inlineStr">
        <is>
          <t>NH2-H</t>
        </is>
      </c>
      <c r="E132" s="11" t="n">
        <v>0.033</v>
      </c>
      <c r="F132" s="7" t="inlineStr">
        <is>
          <t>[19.8, 23.8, 35.4, 46.9, 71.0, 107.0, 116.2, 184.7, 215.9, 427.1, 440.2]</t>
        </is>
      </c>
      <c r="G132" s="8" t="inlineStr">
        <is>
          <t>134</t>
        </is>
      </c>
      <c r="H132" s="8" t="n">
        <v>0.25</v>
      </c>
      <c r="I132" s="8" t="n"/>
    </row>
    <row r="133">
      <c r="A133" s="8" t="inlineStr">
        <is>
          <t>Rh</t>
        </is>
      </c>
      <c r="B133" s="8" t="inlineStr">
        <is>
          <t>terrace</t>
        </is>
      </c>
      <c r="C133" s="8" t="n"/>
      <c r="D133" s="8" t="inlineStr">
        <is>
          <t>NH3</t>
        </is>
      </c>
      <c r="E133" s="11" t="n">
        <v>-1.4916</v>
      </c>
      <c r="F133" s="7" t="inlineStr">
        <is>
          <t>[19.3, 10.4, 10.7, 36.7, 67.9, 68.0, 136.0, 197.1, 198.2, 428.7, 445.0, 445.5]</t>
        </is>
      </c>
      <c r="G133" s="8" t="inlineStr">
        <is>
          <t>23</t>
        </is>
      </c>
      <c r="H133" s="8" t="n">
        <v>0.25</v>
      </c>
      <c r="I133" s="8" t="n"/>
    </row>
    <row r="134">
      <c r="A134" s="8" t="inlineStr">
        <is>
          <t>Ru</t>
        </is>
      </c>
      <c r="B134" s="8" t="inlineStr">
        <is>
          <t>terrace</t>
        </is>
      </c>
      <c r="C134" s="8" t="n"/>
      <c r="D134" s="8" t="inlineStr">
        <is>
          <t>H</t>
        </is>
      </c>
      <c r="E134" s="11" t="n">
        <v>-0.4572</v>
      </c>
      <c r="F134" s="12" t="inlineStr">
        <is>
          <t>[95.3, 99.4, 133.7]</t>
        </is>
      </c>
      <c r="G134" s="8" t="inlineStr">
        <is>
          <t>21</t>
        </is>
      </c>
      <c r="H134" s="8" t="n">
        <v>0.25</v>
      </c>
      <c r="I134" s="8" t="n"/>
    </row>
    <row r="135">
      <c r="A135" s="8" t="inlineStr">
        <is>
          <t>Ru</t>
        </is>
      </c>
      <c r="B135" s="8" t="inlineStr">
        <is>
          <t>terrace</t>
        </is>
      </c>
      <c r="C135" s="8" t="n"/>
      <c r="D135" s="8" t="inlineStr">
        <is>
          <t>N</t>
        </is>
      </c>
      <c r="E135" s="11" t="n">
        <v>-0.7938</v>
      </c>
      <c r="F135" s="12" t="inlineStr">
        <is>
          <t>[54.0, 55.1, 67.2]</t>
        </is>
      </c>
      <c r="G135" s="8" t="inlineStr">
        <is>
          <t>70</t>
        </is>
      </c>
      <c r="H135" s="8" t="n">
        <v>0.25</v>
      </c>
      <c r="I135" s="8" t="n"/>
    </row>
    <row r="136">
      <c r="A136" s="8" t="inlineStr">
        <is>
          <t>Ru</t>
        </is>
      </c>
      <c r="B136" s="8" t="inlineStr">
        <is>
          <t>terrace</t>
        </is>
      </c>
      <c r="C136" s="8" t="n"/>
      <c r="D136" s="8" t="inlineStr">
        <is>
          <t>N-H</t>
        </is>
      </c>
      <c r="E136" s="11" t="n">
        <v>0.0209</v>
      </c>
      <c r="F136" s="12" t="inlineStr">
        <is>
          <t>[47.3, 48.8, 56.9, 64.8, 207.7]</t>
        </is>
      </c>
      <c r="G136" s="8" t="inlineStr">
        <is>
          <t>144</t>
        </is>
      </c>
      <c r="H136" s="8" t="n">
        <v>0.25</v>
      </c>
      <c r="I136" s="8" t="n"/>
    </row>
    <row r="137">
      <c r="A137" s="8" t="inlineStr">
        <is>
          <t>Ru</t>
        </is>
      </c>
      <c r="B137" s="8" t="inlineStr">
        <is>
          <t>terrace</t>
        </is>
      </c>
      <c r="C137" s="8" t="n"/>
      <c r="D137" s="8" t="inlineStr">
        <is>
          <t>N-N</t>
        </is>
      </c>
      <c r="E137" s="11" t="n">
        <v>1.5732</v>
      </c>
      <c r="F137" s="12" t="inlineStr">
        <is>
          <t>[25.8, 38.7, 47.7, 64.9, 69.5]</t>
        </is>
      </c>
      <c r="G137" s="8" t="inlineStr">
        <is>
          <t>109</t>
        </is>
      </c>
      <c r="H137" s="8" t="n">
        <v>0.25</v>
      </c>
      <c r="I137" s="8" t="n"/>
    </row>
    <row r="138">
      <c r="A138" s="8" t="inlineStr">
        <is>
          <t>Ru</t>
        </is>
      </c>
      <c r="B138" s="8" t="inlineStr">
        <is>
          <t>terrace</t>
        </is>
      </c>
      <c r="C138" s="8" t="n"/>
      <c r="D138" s="8" t="inlineStr">
        <is>
          <t>N2</t>
        </is>
      </c>
      <c r="E138" s="11" t="n">
        <v>-0.5076000000000001</v>
      </c>
      <c r="F138" s="12" t="inlineStr">
        <is>
          <t>[6.6, 7.8, 36.3, 41.9, 42.0, 270.5]</t>
        </is>
      </c>
      <c r="G138" s="8" t="inlineStr">
        <is>
          <t>35</t>
        </is>
      </c>
      <c r="H138" s="8" t="n">
        <v>0.25</v>
      </c>
      <c r="I138" s="8" t="n"/>
    </row>
    <row r="139">
      <c r="A139" s="8" t="inlineStr">
        <is>
          <t>Ru</t>
        </is>
      </c>
      <c r="B139" s="8" t="inlineStr">
        <is>
          <t>terrace</t>
        </is>
      </c>
      <c r="C139" s="8" t="n"/>
      <c r="D139" s="8" t="inlineStr">
        <is>
          <t>NH</t>
        </is>
      </c>
      <c r="E139" s="11" t="n">
        <v>-1.1809</v>
      </c>
      <c r="F139" s="7" t="inlineStr">
        <is>
          <t>[50.0, 50.3, 64.5, 85.9, 86.7, 433.3]</t>
        </is>
      </c>
      <c r="G139" s="8" t="inlineStr">
        <is>
          <t>72</t>
        </is>
      </c>
      <c r="H139" s="8" t="n">
        <v>0.25</v>
      </c>
      <c r="I139" s="8" t="n"/>
    </row>
    <row r="140">
      <c r="A140" s="8" t="inlineStr">
        <is>
          <t>Ru</t>
        </is>
      </c>
      <c r="B140" s="8" t="inlineStr">
        <is>
          <t>terrace</t>
        </is>
      </c>
      <c r="C140" s="8" t="n"/>
      <c r="D140" s="8" t="inlineStr">
        <is>
          <t>NH-H</t>
        </is>
      </c>
      <c r="E140" s="11" t="n">
        <v>-0.2832</v>
      </c>
      <c r="F140" s="7" t="inlineStr">
        <is>
          <t>[39.1, 45.7, 51.0, 65.0, 77.7, 129.2, 222.5, 433.3]</t>
        </is>
      </c>
      <c r="G140" s="8" t="inlineStr">
        <is>
          <t>119</t>
        </is>
      </c>
      <c r="H140" s="8" t="n">
        <v>0.25</v>
      </c>
      <c r="I140" s="8" t="n"/>
    </row>
    <row r="141">
      <c r="A141" s="8" t="inlineStr">
        <is>
          <t>Ru</t>
        </is>
      </c>
      <c r="B141" s="8" t="inlineStr">
        <is>
          <t>terrace</t>
        </is>
      </c>
      <c r="C141" s="8" t="n"/>
      <c r="D141" s="8" t="inlineStr">
        <is>
          <t>NH2</t>
        </is>
      </c>
      <c r="E141" s="11" t="n">
        <v>-1.1373</v>
      </c>
      <c r="F141" s="7" t="inlineStr">
        <is>
          <t>[19.7, 33.8, 55.1, 75.5, 76.6, 82.8, 188.9, 429.4, 440.6]</t>
        </is>
      </c>
      <c r="G141" s="8" t="inlineStr">
        <is>
          <t>46</t>
        </is>
      </c>
      <c r="H141" s="8" t="n">
        <v>0.25</v>
      </c>
      <c r="I141" s="8" t="n"/>
    </row>
    <row r="142">
      <c r="A142" s="8" t="inlineStr">
        <is>
          <t>Ru</t>
        </is>
      </c>
      <c r="B142" s="8" t="inlineStr">
        <is>
          <t>terrace</t>
        </is>
      </c>
      <c r="C142" s="8" t="n"/>
      <c r="D142" s="8" t="inlineStr">
        <is>
          <t>NH2-H</t>
        </is>
      </c>
      <c r="E142" s="11" t="n">
        <v>-0.13</v>
      </c>
      <c r="F142" s="7" t="inlineStr">
        <is>
          <t>[14.9, 17.1, 31.6, 45.0, 58.3, 74.3, 88.2, 147.1, 185.9, 436.5, 455.0]</t>
        </is>
      </c>
      <c r="G142" s="8" t="inlineStr">
        <is>
          <t>132</t>
        </is>
      </c>
      <c r="H142" s="8" t="n">
        <v>0.25</v>
      </c>
      <c r="I142" s="8" t="n"/>
    </row>
    <row r="143">
      <c r="A143" s="8" t="inlineStr">
        <is>
          <t>Ru</t>
        </is>
      </c>
      <c r="B143" s="8" t="inlineStr">
        <is>
          <t>terrace</t>
        </is>
      </c>
      <c r="C143" s="8" t="n"/>
      <c r="D143" s="8" t="inlineStr">
        <is>
          <t>NH3</t>
        </is>
      </c>
      <c r="E143" s="11" t="n">
        <v>-1.4961</v>
      </c>
      <c r="F143" s="7" t="inlineStr">
        <is>
          <t>[13.3, 12.0, 13.8, 34.4, 66.0, 67.9, 138.1, 197.6, 198.0, 425.4, 441.9, 442.5]</t>
        </is>
      </c>
      <c r="G143" s="8" t="inlineStr">
        <is>
          <t>54</t>
        </is>
      </c>
      <c r="H143" s="8" t="n">
        <v>0.25</v>
      </c>
      <c r="I143" s="8" t="n"/>
    </row>
    <row r="144">
      <c r="A144" s="8" t="inlineStr">
        <is>
          <t>W</t>
        </is>
      </c>
      <c r="B144" s="8" t="inlineStr">
        <is>
          <t>terrace</t>
        </is>
      </c>
      <c r="C144" s="8" t="n"/>
      <c r="D144" s="8" t="inlineStr">
        <is>
          <t>H</t>
        </is>
      </c>
      <c r="E144" s="11" t="n">
        <v>-0.7148</v>
      </c>
      <c r="F144" s="12" t="inlineStr">
        <is>
          <t>[94.7, 104.1, 148.2]</t>
        </is>
      </c>
      <c r="G144" s="8" t="inlineStr">
        <is>
          <t>39</t>
        </is>
      </c>
      <c r="H144" s="8" t="n">
        <v>0.25</v>
      </c>
      <c r="I144" s="8" t="n"/>
    </row>
    <row r="145">
      <c r="A145" s="8" t="inlineStr">
        <is>
          <t>W</t>
        </is>
      </c>
      <c r="B145" s="8" t="inlineStr">
        <is>
          <t>terrace</t>
        </is>
      </c>
      <c r="C145" s="8" t="n"/>
      <c r="D145" s="8" t="inlineStr">
        <is>
          <t>N</t>
        </is>
      </c>
      <c r="E145" s="11" t="n">
        <v>-1.765</v>
      </c>
      <c r="F145" s="12" t="inlineStr">
        <is>
          <t>[27.4, 55.0, 70.4]</t>
        </is>
      </c>
      <c r="G145" s="8" t="inlineStr">
        <is>
          <t>82</t>
        </is>
      </c>
      <c r="H145" s="8" t="n">
        <v>0.25</v>
      </c>
      <c r="I145" s="8" t="n"/>
    </row>
    <row r="146">
      <c r="A146" s="8" t="inlineStr">
        <is>
          <t>W</t>
        </is>
      </c>
      <c r="B146" s="8" t="inlineStr">
        <is>
          <t>terrace</t>
        </is>
      </c>
      <c r="C146" s="8" t="n"/>
      <c r="D146" s="8" t="inlineStr">
        <is>
          <t>N-H</t>
        </is>
      </c>
      <c r="E146" s="11" t="n">
        <v>-0.8754</v>
      </c>
      <c r="F146" s="12" t="inlineStr">
        <is>
          <t>[34.2, 44.8, 66.1, 69.9, 176.9]</t>
        </is>
      </c>
      <c r="G146" s="8" t="inlineStr">
        <is>
          <t>141</t>
        </is>
      </c>
      <c r="H146" s="8" t="n">
        <v>0.25</v>
      </c>
      <c r="I146" s="8" t="n"/>
    </row>
    <row r="147">
      <c r="A147" s="8" t="inlineStr">
        <is>
          <t>W</t>
        </is>
      </c>
      <c r="B147" s="8" t="inlineStr">
        <is>
          <t>terrace</t>
        </is>
      </c>
      <c r="C147" s="8" t="n"/>
      <c r="D147" s="8" t="inlineStr">
        <is>
          <t>N-N</t>
        </is>
      </c>
      <c r="E147" s="11" t="n">
        <v>0.2671</v>
      </c>
      <c r="F147" s="12" t="inlineStr">
        <is>
          <t>[15.9, 31.9, 62.0, 67.4, 95.9]</t>
        </is>
      </c>
      <c r="G147" s="8" t="inlineStr">
        <is>
          <t>106</t>
        </is>
      </c>
      <c r="H147" s="8" t="n">
        <v>0.25</v>
      </c>
      <c r="I147" s="8" t="n"/>
    </row>
    <row r="148">
      <c r="A148" s="8" t="inlineStr">
        <is>
          <t>W</t>
        </is>
      </c>
      <c r="B148" s="8" t="inlineStr">
        <is>
          <t>terrace</t>
        </is>
      </c>
      <c r="C148" s="8" t="n"/>
      <c r="D148" s="8" t="inlineStr">
        <is>
          <t>N2</t>
        </is>
      </c>
      <c r="E148" s="11" t="n">
        <v>-0.7225</v>
      </c>
      <c r="F148" s="12" t="inlineStr">
        <is>
          <t>[6.6, 8.4, 36.8, 41.7, 43.4, 266.1]</t>
        </is>
      </c>
      <c r="G148" s="8" t="inlineStr">
        <is>
          <t>62</t>
        </is>
      </c>
      <c r="H148" s="8" t="n">
        <v>0.25</v>
      </c>
      <c r="I148" s="8" t="n"/>
    </row>
    <row r="149">
      <c r="A149" s="8" t="inlineStr">
        <is>
          <t>W</t>
        </is>
      </c>
      <c r="B149" s="8" t="inlineStr">
        <is>
          <t>terrace</t>
        </is>
      </c>
      <c r="C149" s="8" t="n"/>
      <c r="D149" s="8" t="inlineStr">
        <is>
          <t>NH</t>
        </is>
      </c>
      <c r="E149" s="11" t="n">
        <v>-2.1501</v>
      </c>
      <c r="F149" s="7" t="inlineStr">
        <is>
          <t>[35.6, 45.1, 67.8, 85.4, 90.6, 435.7]</t>
        </is>
      </c>
      <c r="G149" s="8" t="inlineStr">
        <is>
          <t>74</t>
        </is>
      </c>
      <c r="H149" s="8" t="n">
        <v>0.25</v>
      </c>
      <c r="I149" s="8" t="n"/>
    </row>
    <row r="150">
      <c r="A150" s="8" t="inlineStr">
        <is>
          <t>W</t>
        </is>
      </c>
      <c r="B150" s="8" t="inlineStr">
        <is>
          <t>terrace</t>
        </is>
      </c>
      <c r="C150" s="8" t="n"/>
      <c r="D150" s="8" t="inlineStr">
        <is>
          <t>NH-H</t>
        </is>
      </c>
      <c r="E150" s="11" t="n">
        <v>-1.0913</v>
      </c>
      <c r="F150" s="7" t="inlineStr">
        <is>
          <t>[29.7, 38.8, 63.5, 68.7, 83.0, 104.9, 173.4, 434.0]</t>
        </is>
      </c>
      <c r="G150" s="8" t="inlineStr">
        <is>
          <t>116</t>
        </is>
      </c>
      <c r="H150" s="8" t="n">
        <v>0.25</v>
      </c>
      <c r="I150" s="8" t="n"/>
    </row>
    <row r="151">
      <c r="A151" s="8" t="inlineStr">
        <is>
          <t>W</t>
        </is>
      </c>
      <c r="B151" s="8" t="inlineStr">
        <is>
          <t>terrace</t>
        </is>
      </c>
      <c r="C151" s="8" t="n"/>
      <c r="D151" s="8" t="inlineStr">
        <is>
          <t>NH2</t>
        </is>
      </c>
      <c r="E151" s="11" t="n">
        <v>-1.8761</v>
      </c>
      <c r="F151" s="7" t="inlineStr">
        <is>
          <t>[21.4, 35.7, 57.7, 82.0, 86.5, 88.9, 190.0, 428.5, 439.0]</t>
        </is>
      </c>
      <c r="G151" s="8" t="inlineStr">
        <is>
          <t>98</t>
        </is>
      </c>
      <c r="H151" s="8" t="n">
        <v>0.25</v>
      </c>
      <c r="I151" s="8" t="n"/>
    </row>
    <row r="152">
      <c r="A152" s="8" t="inlineStr">
        <is>
          <t>W</t>
        </is>
      </c>
      <c r="B152" s="8" t="inlineStr">
        <is>
          <t>terrace</t>
        </is>
      </c>
      <c r="C152" s="8" t="n"/>
      <c r="D152" s="8" t="inlineStr">
        <is>
          <t>NH2-H</t>
        </is>
      </c>
      <c r="E152" s="11" t="n">
        <v>-0.5735</v>
      </c>
      <c r="F152" s="7" t="inlineStr">
        <is>
          <t>[19.8, 23.8, 35.4, 46.9, 71.0, 107.0, 116.2, 184.7, 215.9, 427.1, 440.2]</t>
        </is>
      </c>
      <c r="G152" s="8" t="inlineStr">
        <is>
          <t>134</t>
        </is>
      </c>
      <c r="H152" s="8" t="n">
        <v>0.25</v>
      </c>
      <c r="I152" s="8" t="n"/>
    </row>
    <row r="153">
      <c r="A153" s="8" t="inlineStr">
        <is>
          <t>W</t>
        </is>
      </c>
      <c r="B153" s="8" t="inlineStr">
        <is>
          <t>terrace</t>
        </is>
      </c>
      <c r="C153" s="8" t="n"/>
      <c r="D153" s="8" t="inlineStr">
        <is>
          <t>NH3</t>
        </is>
      </c>
      <c r="E153" s="11" t="n">
        <v>-1.6575</v>
      </c>
      <c r="F153" s="7" t="inlineStr">
        <is>
          <t>[14.0, 10.1, 14.4, 37.4, 65.1, 70.5, 143.0, 197.9, 198.2, 425.9, 441.4, 442.0]</t>
        </is>
      </c>
      <c r="G153" s="8" t="inlineStr">
        <is>
          <t>97</t>
        </is>
      </c>
      <c r="H153" s="8" t="n">
        <v>0.25</v>
      </c>
      <c r="I153" s="8" t="n"/>
    </row>
    <row r="154">
      <c r="A154" s="8" t="inlineStr">
        <is>
          <t>Ag</t>
        </is>
      </c>
      <c r="B154" s="8" t="inlineStr">
        <is>
          <t>step_site</t>
        </is>
      </c>
      <c r="C154" s="8" t="n"/>
      <c r="D154" s="8" t="inlineStr">
        <is>
          <t>H</t>
        </is>
      </c>
      <c r="E154" s="11" t="n">
        <v>0.381</v>
      </c>
      <c r="F154" s="12" t="inlineStr">
        <is>
          <t>[27.7, 120.9, 123.7]</t>
        </is>
      </c>
      <c r="G154" s="8" t="inlineStr">
        <is>
          <t>18</t>
        </is>
      </c>
      <c r="H154" s="8" t="n">
        <v>0.111</v>
      </c>
      <c r="I154" s="8" t="n"/>
    </row>
    <row r="155">
      <c r="A155" s="8" t="inlineStr">
        <is>
          <t>Ag</t>
        </is>
      </c>
      <c r="B155" s="8" t="inlineStr">
        <is>
          <t>step_site</t>
        </is>
      </c>
      <c r="C155" s="8" t="n"/>
      <c r="D155" s="8" t="inlineStr">
        <is>
          <t>N</t>
        </is>
      </c>
      <c r="E155" s="11" t="n">
        <v>2.911</v>
      </c>
      <c r="F155" s="12" t="inlineStr">
        <is>
          <t>[20.6, 44.7, 47.9]</t>
        </is>
      </c>
      <c r="G155" s="8" t="inlineStr">
        <is>
          <t>16</t>
        </is>
      </c>
      <c r="H155" s="8" t="n">
        <v>0.111</v>
      </c>
      <c r="I155" s="8" t="n"/>
    </row>
    <row r="156">
      <c r="A156" s="8" t="inlineStr">
        <is>
          <t>Ag</t>
        </is>
      </c>
      <c r="B156" s="8" t="inlineStr">
        <is>
          <t>step_site</t>
        </is>
      </c>
      <c r="C156" s="8" t="n"/>
      <c r="D156" s="8" t="inlineStr">
        <is>
          <t>N-H</t>
        </is>
      </c>
      <c r="E156" s="11" t="n">
        <v>4.0242</v>
      </c>
      <c r="F156" s="12" t="inlineStr">
        <is>
          <t>[21.0, 31.1, 36.4, 105.1, 114.4]</t>
        </is>
      </c>
      <c r="G156" s="8" t="inlineStr">
        <is>
          <t>21</t>
        </is>
      </c>
      <c r="H156" s="8" t="n">
        <v>0.111</v>
      </c>
      <c r="I156" s="8" t="n"/>
    </row>
    <row r="157">
      <c r="A157" s="8" t="inlineStr">
        <is>
          <t>Ag</t>
        </is>
      </c>
      <c r="B157" s="8" t="inlineStr">
        <is>
          <t>step_site</t>
        </is>
      </c>
      <c r="C157" s="8" t="n"/>
      <c r="D157" s="8" t="inlineStr">
        <is>
          <t>N-N</t>
        </is>
      </c>
      <c r="E157" s="11" t="n">
        <v>7.5906</v>
      </c>
      <c r="F157" s="12" t="inlineStr">
        <is>
          <t>[4.2, 34.0, 36.6, 44.2, 44.5]</t>
        </is>
      </c>
      <c r="G157" s="8" t="inlineStr">
        <is>
          <t>22</t>
        </is>
      </c>
      <c r="H157" s="8" t="n">
        <v>0.111</v>
      </c>
      <c r="I157" s="8" t="n"/>
    </row>
    <row r="158">
      <c r="A158" s="8" t="inlineStr">
        <is>
          <t>Ag</t>
        </is>
      </c>
      <c r="B158" s="8" t="inlineStr">
        <is>
          <t>step_site</t>
        </is>
      </c>
      <c r="C158" s="8" t="n"/>
      <c r="D158" s="8" t="inlineStr">
        <is>
          <t>N2</t>
        </is>
      </c>
      <c r="E158" s="11" t="n">
        <v>-0.1139</v>
      </c>
      <c r="F158" s="12" t="inlineStr">
        <is>
          <t>[9.0, 2.0, 2.4, 4.1, 5.8, 297.8]</t>
        </is>
      </c>
      <c r="G158" s="8" t="inlineStr">
        <is>
          <t>19</t>
        </is>
      </c>
      <c r="H158" s="8" t="n">
        <v>0.111</v>
      </c>
      <c r="I158" s="8" t="n"/>
    </row>
    <row r="159">
      <c r="A159" s="8" t="inlineStr">
        <is>
          <t>Ag</t>
        </is>
      </c>
      <c r="B159" s="8" t="inlineStr">
        <is>
          <t>step_site</t>
        </is>
      </c>
      <c r="C159" s="8" t="n"/>
      <c r="D159" s="8" t="inlineStr">
        <is>
          <t>NH</t>
        </is>
      </c>
      <c r="E159" s="11" t="n">
        <v>1.2516</v>
      </c>
      <c r="F159" s="7" t="inlineStr">
        <is>
          <t>[31.8, 36.1, 36.1, 85.6, 85.8, 424.3]</t>
        </is>
      </c>
      <c r="G159" s="8" t="inlineStr">
        <is>
          <t>15</t>
        </is>
      </c>
      <c r="H159" s="8" t="n">
        <v>0.111</v>
      </c>
      <c r="I159" s="8" t="n"/>
    </row>
    <row r="160">
      <c r="A160" s="8" t="inlineStr">
        <is>
          <t>Ag</t>
        </is>
      </c>
      <c r="B160" s="8" t="inlineStr">
        <is>
          <t>step_site</t>
        </is>
      </c>
      <c r="C160" s="8" t="n"/>
      <c r="D160" s="8" t="inlineStr">
        <is>
          <t>NH-H</t>
        </is>
      </c>
      <c r="E160" s="11" t="n">
        <v>2.4547</v>
      </c>
      <c r="F160" s="7" t="inlineStr">
        <is>
          <t>[18.6, 28.0, 35.1, 75.8, 91.2, 110.2, 113.4, 420.2]</t>
        </is>
      </c>
      <c r="G160" s="8" t="inlineStr">
        <is>
          <t>23</t>
        </is>
      </c>
      <c r="H160" s="8" t="n">
        <v>0.111</v>
      </c>
      <c r="I160" s="8" t="n"/>
    </row>
    <row r="161">
      <c r="A161" s="8" t="inlineStr">
        <is>
          <t>Ag</t>
        </is>
      </c>
      <c r="B161" s="8" t="inlineStr">
        <is>
          <t>step_site</t>
        </is>
      </c>
      <c r="C161" s="8" t="n"/>
      <c r="D161" s="8" t="inlineStr">
        <is>
          <t>NH2</t>
        </is>
      </c>
      <c r="E161" s="11" t="n">
        <v>-0.3377</v>
      </c>
      <c r="F161" s="7" t="inlineStr">
        <is>
          <t>[7.4, 35.9, 42.6, 57.3, 76.0, 78.4, 186.4, 433.2, 445.2]</t>
        </is>
      </c>
      <c r="G161" s="8" t="inlineStr">
        <is>
          <t>17</t>
        </is>
      </c>
      <c r="H161" s="8" t="n">
        <v>0.111</v>
      </c>
      <c r="I161" s="8" t="n"/>
    </row>
    <row r="162">
      <c r="A162" s="8" t="inlineStr">
        <is>
          <t>Ag</t>
        </is>
      </c>
      <c r="B162" s="8" t="inlineStr">
        <is>
          <t>step_site</t>
        </is>
      </c>
      <c r="C162" s="8" t="n"/>
      <c r="D162" s="8" t="inlineStr">
        <is>
          <t>NH2-H</t>
        </is>
      </c>
      <c r="E162" s="11" t="n">
        <v>1.2286</v>
      </c>
      <c r="F162" s="7" t="inlineStr">
        <is>
          <t>[5.7, 21.3, 34.7, 35.5, 53.8, 87.8, 89.7, 177.2, 185.5, 428.8, 443.2]</t>
        </is>
      </c>
      <c r="G162" s="8" t="inlineStr">
        <is>
          <t>24</t>
        </is>
      </c>
      <c r="H162" s="8" t="n">
        <v>0.111</v>
      </c>
      <c r="I162" s="8" t="n"/>
    </row>
    <row r="163">
      <c r="A163" s="8" t="inlineStr">
        <is>
          <t>Ag</t>
        </is>
      </c>
      <c r="B163" s="8" t="inlineStr">
        <is>
          <t>step_site</t>
        </is>
      </c>
      <c r="C163" s="8" t="n"/>
      <c r="D163" s="8" t="inlineStr">
        <is>
          <t>NH3</t>
        </is>
      </c>
      <c r="E163" s="11" t="n">
        <v>-1.1523</v>
      </c>
      <c r="F163" s="7" t="inlineStr">
        <is>
          <t>[8.2, 5.2, 8.8, 20.0, 46.8, 50.2, 135.2, 200.9, 201.6, 429.5, 445.1, 447.1]</t>
        </is>
      </c>
      <c r="G163" s="8" t="inlineStr">
        <is>
          <t>20</t>
        </is>
      </c>
      <c r="H163" s="8" t="n">
        <v>0.111</v>
      </c>
      <c r="I163" s="8" t="n"/>
    </row>
    <row r="164">
      <c r="A164" s="8" t="inlineStr">
        <is>
          <t>Au</t>
        </is>
      </c>
      <c r="B164" s="8" t="inlineStr">
        <is>
          <t>step_site</t>
        </is>
      </c>
      <c r="C164" s="8" t="n"/>
      <c r="D164" s="8" t="inlineStr">
        <is>
          <t>H</t>
        </is>
      </c>
      <c r="E164" s="11" t="n">
        <v>0.2992</v>
      </c>
      <c r="F164" s="12" t="inlineStr">
        <is>
          <t>[36.5, 122.0, 130.5]</t>
        </is>
      </c>
      <c r="G164" s="8" t="inlineStr">
        <is>
          <t>26</t>
        </is>
      </c>
      <c r="H164" s="8" t="n">
        <v>0.111</v>
      </c>
      <c r="I164" s="8" t="n"/>
    </row>
    <row r="165">
      <c r="A165" s="8" t="inlineStr">
        <is>
          <t>Au</t>
        </is>
      </c>
      <c r="B165" s="8" t="inlineStr">
        <is>
          <t>step_site</t>
        </is>
      </c>
      <c r="C165" s="8" t="n"/>
      <c r="D165" s="8" t="inlineStr">
        <is>
          <t>N</t>
        </is>
      </c>
      <c r="E165" s="11" t="n">
        <v>3.0029</v>
      </c>
      <c r="F165" s="12" t="inlineStr">
        <is>
          <t>[42.3, 45.5, 56.6]</t>
        </is>
      </c>
      <c r="G165" s="8" t="inlineStr">
        <is>
          <t>27</t>
        </is>
      </c>
      <c r="H165" s="8" t="n">
        <v>0.111</v>
      </c>
      <c r="I165" s="8" t="n"/>
    </row>
    <row r="166">
      <c r="A166" s="8" t="inlineStr">
        <is>
          <t>Au</t>
        </is>
      </c>
      <c r="B166" s="8" t="inlineStr">
        <is>
          <t>step_site</t>
        </is>
      </c>
      <c r="C166" s="8" t="n"/>
      <c r="D166" s="8" t="inlineStr">
        <is>
          <t>N-H</t>
        </is>
      </c>
      <c r="E166" s="11" t="n">
        <v>3.8511</v>
      </c>
      <c r="F166" s="12" t="inlineStr">
        <is>
          <t>[35.6, 38.6, 44.1, 52.1, 225.1]</t>
        </is>
      </c>
      <c r="G166" s="8" t="inlineStr">
        <is>
          <t>31</t>
        </is>
      </c>
      <c r="H166" s="8" t="n">
        <v>0.111</v>
      </c>
      <c r="I166" s="8" t="n"/>
    </row>
    <row r="167">
      <c r="A167" s="8" t="inlineStr">
        <is>
          <t>Au</t>
        </is>
      </c>
      <c r="B167" s="8" t="inlineStr">
        <is>
          <t>step_site</t>
        </is>
      </c>
      <c r="C167" s="8" t="n"/>
      <c r="D167" s="8" t="inlineStr">
        <is>
          <t>N-N</t>
        </is>
      </c>
      <c r="E167" s="11" t="n">
        <v>8.978400000000001</v>
      </c>
      <c r="F167" s="12" t="inlineStr">
        <is>
          <t>[10.6, 1.3, 12.1, 21.1, 23.8]</t>
        </is>
      </c>
      <c r="G167" s="8" t="inlineStr">
        <is>
          <t>32</t>
        </is>
      </c>
      <c r="H167" s="8" t="n">
        <v>0.111</v>
      </c>
      <c r="I167" s="8" t="n"/>
    </row>
    <row r="168">
      <c r="A168" s="8" t="inlineStr">
        <is>
          <t>Au</t>
        </is>
      </c>
      <c r="B168" s="8" t="inlineStr">
        <is>
          <t>step_site</t>
        </is>
      </c>
      <c r="C168" s="8" t="n"/>
      <c r="D168" s="8" t="inlineStr">
        <is>
          <t>N2</t>
        </is>
      </c>
      <c r="E168" s="11" t="n">
        <v>-0.1306</v>
      </c>
      <c r="F168" s="12" t="inlineStr">
        <is>
          <t>[10.3, 2.2, 0.4, 4.4, 6.3, 297.6]</t>
        </is>
      </c>
      <c r="G168" s="8" t="inlineStr">
        <is>
          <t>25</t>
        </is>
      </c>
      <c r="H168" s="8" t="n">
        <v>0.111</v>
      </c>
      <c r="I168" s="8" t="n"/>
    </row>
    <row r="169">
      <c r="A169" s="8" t="inlineStr">
        <is>
          <t>Au</t>
        </is>
      </c>
      <c r="B169" s="8" t="inlineStr">
        <is>
          <t>step_site</t>
        </is>
      </c>
      <c r="C169" s="8" t="n"/>
      <c r="D169" s="8" t="inlineStr">
        <is>
          <t>NH</t>
        </is>
      </c>
      <c r="E169" s="11" t="n">
        <v>1.3889</v>
      </c>
      <c r="F169" s="7" t="inlineStr">
        <is>
          <t>[42.1, 45.8, 52.3, 95.2, 105.7, 429.4]</t>
        </is>
      </c>
      <c r="G169" s="8" t="inlineStr">
        <is>
          <t>28</t>
        </is>
      </c>
      <c r="H169" s="8" t="n">
        <v>0.111</v>
      </c>
      <c r="I169" s="8" t="n"/>
    </row>
    <row r="170">
      <c r="A170" s="8" t="inlineStr">
        <is>
          <t>Au</t>
        </is>
      </c>
      <c r="B170" s="8" t="inlineStr">
        <is>
          <t>step_site</t>
        </is>
      </c>
      <c r="C170" s="8" t="n"/>
      <c r="D170" s="8" t="inlineStr">
        <is>
          <t>NH-H</t>
        </is>
      </c>
      <c r="E170" s="11" t="n">
        <v>2.514</v>
      </c>
      <c r="F170" s="7" t="inlineStr">
        <is>
          <t>[73.2, 14.9, 46.1, 52.2, 60.4, 90.8, 210.2, 491.1]</t>
        </is>
      </c>
      <c r="G170" s="8" t="inlineStr">
        <is>
          <t>33</t>
        </is>
      </c>
      <c r="H170" s="8" t="n">
        <v>0.111</v>
      </c>
      <c r="I170" s="8" t="n"/>
    </row>
    <row r="171">
      <c r="A171" s="8" t="inlineStr">
        <is>
          <t>Au</t>
        </is>
      </c>
      <c r="B171" s="8" t="inlineStr">
        <is>
          <t>step_site</t>
        </is>
      </c>
      <c r="C171" s="8" t="n"/>
      <c r="D171" s="8" t="inlineStr">
        <is>
          <t>NH2</t>
        </is>
      </c>
      <c r="E171" s="11" t="n">
        <v>-0.2835</v>
      </c>
      <c r="F171" s="7" t="inlineStr">
        <is>
          <t>[9.1, 41.6, 44.0, 65.5, 95.9, 96.7, 186.4, 433.4, 445.5]</t>
        </is>
      </c>
      <c r="G171" s="8" t="inlineStr">
        <is>
          <t>29</t>
        </is>
      </c>
      <c r="H171" s="8" t="n">
        <v>0.111</v>
      </c>
      <c r="I171" s="8" t="n"/>
    </row>
    <row r="172">
      <c r="A172" s="8" t="inlineStr">
        <is>
          <t>Au</t>
        </is>
      </c>
      <c r="B172" s="8" t="inlineStr">
        <is>
          <t>step_site</t>
        </is>
      </c>
      <c r="C172" s="8" t="n"/>
      <c r="D172" s="8" t="inlineStr">
        <is>
          <t>NH2-H</t>
        </is>
      </c>
      <c r="E172" s="11" t="n">
        <v>0.9417</v>
      </c>
      <c r="F172" s="7" t="inlineStr">
        <is>
          <t>[10.2, 20.6, 30.8, 42.3, 58.7, 96.8, 99.0, 183.7, 231.2, 429.0, 443.6]</t>
        </is>
      </c>
      <c r="G172" s="8" t="inlineStr">
        <is>
          <t>34</t>
        </is>
      </c>
      <c r="H172" s="8" t="n">
        <v>0.111</v>
      </c>
      <c r="I172" s="8" t="n"/>
    </row>
    <row r="173">
      <c r="A173" s="8" t="inlineStr">
        <is>
          <t>Au</t>
        </is>
      </c>
      <c r="B173" s="8" t="inlineStr">
        <is>
          <t>step_site</t>
        </is>
      </c>
      <c r="C173" s="8" t="n"/>
      <c r="D173" s="8" t="inlineStr">
        <is>
          <t>NH3</t>
        </is>
      </c>
      <c r="E173" s="11" t="n">
        <v>-1.2005</v>
      </c>
      <c r="F173" s="7" t="inlineStr">
        <is>
          <t>[12.6, 3.4, 7.2, 23.4, 53.5, 55.6, 133.5, 200.8, 201.3, 432.9, 448.8, 449.8]</t>
        </is>
      </c>
      <c r="G173" s="8" t="inlineStr">
        <is>
          <t>30</t>
        </is>
      </c>
      <c r="H173" s="8" t="n">
        <v>0.111</v>
      </c>
      <c r="I173" s="8" t="n"/>
    </row>
    <row r="174">
      <c r="A174" s="8" t="inlineStr">
        <is>
          <t>Co</t>
        </is>
      </c>
      <c r="B174" s="8" t="inlineStr">
        <is>
          <t>step_site</t>
        </is>
      </c>
      <c r="C174" s="8" t="n"/>
      <c r="D174" s="8" t="inlineStr">
        <is>
          <t>H</t>
        </is>
      </c>
      <c r="E174" s="11" t="n">
        <v>-0.2591</v>
      </c>
      <c r="F174" s="12" t="inlineStr">
        <is>
          <t>[73.0, 106.6, 143.9]</t>
        </is>
      </c>
      <c r="G174" s="8" t="inlineStr">
        <is>
          <t>45</t>
        </is>
      </c>
      <c r="H174" s="8" t="n">
        <v>0.111</v>
      </c>
      <c r="I174" s="8" t="n"/>
    </row>
    <row r="175">
      <c r="A175" s="8" t="inlineStr">
        <is>
          <t>Co</t>
        </is>
      </c>
      <c r="B175" s="8" t="inlineStr">
        <is>
          <t>step_site</t>
        </is>
      </c>
      <c r="C175" s="8" t="n"/>
      <c r="D175" s="8" t="inlineStr">
        <is>
          <t>N</t>
        </is>
      </c>
      <c r="E175" s="11" t="n">
        <v>-0.2701</v>
      </c>
      <c r="F175" s="12" t="inlineStr">
        <is>
          <t>[51.2, 58.8, 65.5]</t>
        </is>
      </c>
      <c r="G175" s="8" t="inlineStr">
        <is>
          <t>46</t>
        </is>
      </c>
      <c r="H175" s="8" t="n">
        <v>0.111</v>
      </c>
      <c r="I175" s="8" t="n"/>
    </row>
    <row r="176">
      <c r="A176" s="8" t="inlineStr">
        <is>
          <t>Co</t>
        </is>
      </c>
      <c r="B176" s="8" t="inlineStr">
        <is>
          <t>step_site</t>
        </is>
      </c>
      <c r="C176" s="8" t="n"/>
      <c r="D176" s="8" t="inlineStr">
        <is>
          <t>N-H</t>
        </is>
      </c>
      <c r="E176" s="11" t="n">
        <v>0.3919</v>
      </c>
      <c r="F176" s="12" t="inlineStr">
        <is>
          <t>[35.0, 48.8, 56.4, 64.8, 210.1]</t>
        </is>
      </c>
      <c r="G176" s="8" t="inlineStr">
        <is>
          <t>51</t>
        </is>
      </c>
      <c r="H176" s="8" t="n">
        <v>0.111</v>
      </c>
      <c r="I176" s="8" t="n"/>
    </row>
    <row r="177">
      <c r="A177" s="8" t="inlineStr">
        <is>
          <t>Co</t>
        </is>
      </c>
      <c r="B177" s="8" t="inlineStr">
        <is>
          <t>step_site</t>
        </is>
      </c>
      <c r="C177" s="8" t="n"/>
      <c r="D177" s="8" t="inlineStr">
        <is>
          <t>N-N</t>
        </is>
      </c>
      <c r="E177" s="11" t="n">
        <v>1.9503</v>
      </c>
      <c r="F177" s="12" t="inlineStr">
        <is>
          <t>[29.4, 47.7, 51.9, 60.7, 65.8]</t>
        </is>
      </c>
      <c r="G177" s="8" t="inlineStr">
        <is>
          <t>52</t>
        </is>
      </c>
      <c r="H177" s="8" t="n">
        <v>0.111</v>
      </c>
      <c r="I177" s="8" t="n"/>
    </row>
    <row r="178">
      <c r="A178" s="8" t="inlineStr">
        <is>
          <t>Co</t>
        </is>
      </c>
      <c r="B178" s="8" t="inlineStr">
        <is>
          <t>step_site</t>
        </is>
      </c>
      <c r="C178" s="8" t="n"/>
      <c r="D178" s="8" t="inlineStr">
        <is>
          <t>N2</t>
        </is>
      </c>
      <c r="E178" s="11" t="n">
        <v>-0.6564</v>
      </c>
      <c r="F178" s="12" t="inlineStr">
        <is>
          <t>[4.7, 6.3, 35.3, 39.3, 39.4, 266.6]</t>
        </is>
      </c>
      <c r="G178" s="8" t="inlineStr">
        <is>
          <t>47</t>
        </is>
      </c>
      <c r="H178" s="8" t="n">
        <v>0.111</v>
      </c>
      <c r="I178" s="8" t="n"/>
    </row>
    <row r="179">
      <c r="A179" s="8" t="inlineStr">
        <is>
          <t>Co</t>
        </is>
      </c>
      <c r="B179" s="8" t="inlineStr">
        <is>
          <t>step_site</t>
        </is>
      </c>
      <c r="C179" s="8" t="n"/>
      <c r="D179" s="8" t="inlineStr">
        <is>
          <t>NH</t>
        </is>
      </c>
      <c r="E179" s="11" t="n">
        <v>-0.9479</v>
      </c>
      <c r="F179" s="7" t="inlineStr">
        <is>
          <t>[42.1, 47.8, 64.0, 78.2, 86.8, 431.9]</t>
        </is>
      </c>
      <c r="G179" s="8" t="inlineStr">
        <is>
          <t>48</t>
        </is>
      </c>
      <c r="H179" s="8" t="n">
        <v>0.111</v>
      </c>
      <c r="I179" s="8" t="n"/>
    </row>
    <row r="180">
      <c r="A180" s="8" t="inlineStr">
        <is>
          <t>Co</t>
        </is>
      </c>
      <c r="B180" s="8" t="inlineStr">
        <is>
          <t>step_site</t>
        </is>
      </c>
      <c r="C180" s="8" t="n"/>
      <c r="D180" s="8" t="inlineStr">
        <is>
          <t>NH-H</t>
        </is>
      </c>
      <c r="E180" s="11" t="n">
        <v>0.0269</v>
      </c>
      <c r="F180" s="7" t="inlineStr">
        <is>
          <t>[24.8, 33.7, 43.9, 61.7, 84.3, 106.1, 139.6, 427.5]</t>
        </is>
      </c>
      <c r="G180" s="8" t="inlineStr">
        <is>
          <t>53</t>
        </is>
      </c>
      <c r="H180" s="8" t="n">
        <v>0.111</v>
      </c>
      <c r="I180" s="8" t="n"/>
    </row>
    <row r="181">
      <c r="A181" s="8" t="inlineStr">
        <is>
          <t>Co</t>
        </is>
      </c>
      <c r="B181" s="8" t="inlineStr">
        <is>
          <t>step_site</t>
        </is>
      </c>
      <c r="C181" s="8" t="n"/>
      <c r="D181" s="8" t="inlineStr">
        <is>
          <t>NH2</t>
        </is>
      </c>
      <c r="E181" s="11" t="n">
        <v>-1.4836</v>
      </c>
      <c r="F181" s="7" t="inlineStr">
        <is>
          <t>[13.1, 38.0, 59.3, 72.7, 77.4, 80.6, 186.7, 432.6, 443.3]</t>
        </is>
      </c>
      <c r="G181" s="8" t="inlineStr">
        <is>
          <t>49</t>
        </is>
      </c>
      <c r="H181" s="8" t="n">
        <v>0.111</v>
      </c>
      <c r="I181" s="8" t="n"/>
    </row>
    <row r="182">
      <c r="A182" s="8" t="inlineStr">
        <is>
          <t>Co</t>
        </is>
      </c>
      <c r="B182" s="8" t="inlineStr">
        <is>
          <t>step_site</t>
        </is>
      </c>
      <c r="C182" s="8" t="n"/>
      <c r="D182" s="8" t="inlineStr">
        <is>
          <t>NH2-H</t>
        </is>
      </c>
      <c r="E182" s="11" t="n">
        <v>-0.7213000000000001</v>
      </c>
      <c r="F182" s="7" t="inlineStr">
        <is>
          <t>[14.5, 26.8, 43.7, 50.9, 69.7, 110.2, 124.9, 187.2, 214.1, 415.2, 455.7]</t>
        </is>
      </c>
      <c r="G182" s="8" t="inlineStr">
        <is>
          <t>54</t>
        </is>
      </c>
      <c r="H182" s="8" t="n">
        <v>0.111</v>
      </c>
      <c r="I182" s="8" t="n"/>
    </row>
    <row r="183">
      <c r="A183" s="8" t="inlineStr">
        <is>
          <t>Co</t>
        </is>
      </c>
      <c r="B183" s="8" t="inlineStr">
        <is>
          <t>step_site</t>
        </is>
      </c>
      <c r="C183" s="8" t="n"/>
      <c r="D183" s="8" t="inlineStr">
        <is>
          <t>NH3</t>
        </is>
      </c>
      <c r="E183" s="11" t="n">
        <v>-1.6416</v>
      </c>
      <c r="F183" s="7" t="inlineStr">
        <is>
          <t>[8.5, 8.5, 13.1, 35.1, 65.7, 67.8, 146.0, 198.9, 200.6, 426.7, 440.2, 443.1]</t>
        </is>
      </c>
      <c r="G183" s="8" t="inlineStr">
        <is>
          <t>50</t>
        </is>
      </c>
      <c r="H183" s="8" t="n">
        <v>0.111</v>
      </c>
      <c r="I183" s="8" t="n"/>
    </row>
    <row r="184">
      <c r="A184" s="8" t="inlineStr">
        <is>
          <t>Cu</t>
        </is>
      </c>
      <c r="B184" s="8" t="inlineStr">
        <is>
          <t>step_site</t>
        </is>
      </c>
      <c r="C184" s="8" t="n"/>
      <c r="D184" s="8" t="inlineStr">
        <is>
          <t>H</t>
        </is>
      </c>
      <c r="E184" s="11" t="n">
        <v>-0.0452</v>
      </c>
      <c r="F184" s="12" t="inlineStr">
        <is>
          <t>[66.8, 106.4, 133.5]</t>
        </is>
      </c>
      <c r="G184" s="8" t="inlineStr">
        <is>
          <t>36</t>
        </is>
      </c>
      <c r="H184" s="8" t="n">
        <v>0.111</v>
      </c>
      <c r="I184" s="8" t="n"/>
    </row>
    <row r="185">
      <c r="A185" s="8" t="inlineStr">
        <is>
          <t>Cu</t>
        </is>
      </c>
      <c r="B185" s="8" t="inlineStr">
        <is>
          <t>step_site</t>
        </is>
      </c>
      <c r="C185" s="8" t="n"/>
      <c r="D185" s="8" t="inlineStr">
        <is>
          <t>N</t>
        </is>
      </c>
      <c r="E185" s="11" t="n">
        <v>1.2491</v>
      </c>
      <c r="F185" s="12" t="inlineStr">
        <is>
          <t>[27.4, 58.1, 62.7]</t>
        </is>
      </c>
      <c r="G185" s="8" t="inlineStr">
        <is>
          <t>37</t>
        </is>
      </c>
      <c r="H185" s="8" t="n">
        <v>0.111</v>
      </c>
      <c r="I185" s="8" t="n"/>
    </row>
    <row r="186">
      <c r="A186" s="8" t="inlineStr">
        <is>
          <t>Cu</t>
        </is>
      </c>
      <c r="B186" s="8" t="inlineStr">
        <is>
          <t>step_site</t>
        </is>
      </c>
      <c r="C186" s="8" t="n"/>
      <c r="D186" s="8" t="inlineStr">
        <is>
          <t>N-H</t>
        </is>
      </c>
      <c r="E186" s="11" t="n">
        <v>2.2882</v>
      </c>
      <c r="F186" s="12" t="inlineStr">
        <is>
          <t>[30.8, 39.8, 49.5, 114.2, 127.4]</t>
        </is>
      </c>
      <c r="G186" s="8" t="inlineStr">
        <is>
          <t>43</t>
        </is>
      </c>
      <c r="H186" s="8" t="n">
        <v>0.111</v>
      </c>
      <c r="I186" s="8" t="n"/>
    </row>
    <row r="187">
      <c r="A187" s="8" t="inlineStr">
        <is>
          <t>Cu</t>
        </is>
      </c>
      <c r="B187" s="8" t="inlineStr">
        <is>
          <t>step_site</t>
        </is>
      </c>
      <c r="C187" s="8" t="n"/>
      <c r="D187" s="8" t="inlineStr">
        <is>
          <t>N-N</t>
        </is>
      </c>
      <c r="E187" s="11" t="n">
        <v>4.4172</v>
      </c>
      <c r="F187" s="12" t="inlineStr">
        <is>
          <t>[26.9, 32.6, 47.7, 52.7, 66.2]</t>
        </is>
      </c>
      <c r="G187" s="8" t="inlineStr">
        <is>
          <t>41</t>
        </is>
      </c>
      <c r="H187" s="8" t="n">
        <v>0.111</v>
      </c>
      <c r="I187" s="8" t="n"/>
    </row>
    <row r="188">
      <c r="A188" s="8" t="inlineStr">
        <is>
          <t>Cu</t>
        </is>
      </c>
      <c r="B188" s="8" t="inlineStr">
        <is>
          <t>step_site</t>
        </is>
      </c>
      <c r="C188" s="8" t="n"/>
      <c r="D188" s="8" t="inlineStr">
        <is>
          <t>N2</t>
        </is>
      </c>
      <c r="E188" s="11" t="n">
        <v>-0.1261</v>
      </c>
      <c r="F188" s="12" t="inlineStr">
        <is>
          <t>[5.1, 2.1, 4.6, 4.8, 9.2, 297.9]</t>
        </is>
      </c>
      <c r="G188" s="8" t="inlineStr">
        <is>
          <t>35</t>
        </is>
      </c>
      <c r="H188" s="8" t="n">
        <v>0.111</v>
      </c>
      <c r="I188" s="8" t="n"/>
    </row>
    <row r="189">
      <c r="A189" s="8" t="inlineStr">
        <is>
          <t>Cu</t>
        </is>
      </c>
      <c r="B189" s="8" t="inlineStr">
        <is>
          <t>step_site</t>
        </is>
      </c>
      <c r="C189" s="8" t="n"/>
      <c r="D189" s="8" t="inlineStr">
        <is>
          <t>NH</t>
        </is>
      </c>
      <c r="E189" s="11" t="n">
        <v>0.0893</v>
      </c>
      <c r="F189" s="7" t="inlineStr">
        <is>
          <t>[44.6, 49.6, 58.5, 78.2, 85.4, 432.4]</t>
        </is>
      </c>
      <c r="G189" s="8" t="inlineStr">
        <is>
          <t>38</t>
        </is>
      </c>
      <c r="H189" s="8" t="n">
        <v>0.111</v>
      </c>
      <c r="I189" s="8" t="n"/>
    </row>
    <row r="190">
      <c r="A190" s="8" t="inlineStr">
        <is>
          <t>Cu</t>
        </is>
      </c>
      <c r="B190" s="8" t="inlineStr">
        <is>
          <t>step_site</t>
        </is>
      </c>
      <c r="C190" s="8" t="n"/>
      <c r="D190" s="8" t="inlineStr">
        <is>
          <t>NH-H</t>
        </is>
      </c>
      <c r="E190" s="11" t="n">
        <v>1.3546</v>
      </c>
      <c r="F190" s="7" t="inlineStr">
        <is>
          <t>[34.8, 40.0, 53.7, 74.0, 93.6, 96.9, 125.3, 430.5]</t>
        </is>
      </c>
      <c r="G190" s="8" t="inlineStr">
        <is>
          <t>44</t>
        </is>
      </c>
      <c r="H190" s="8" t="n">
        <v>0.111</v>
      </c>
      <c r="I190" s="8" t="n"/>
    </row>
    <row r="191">
      <c r="A191" s="8" t="inlineStr">
        <is>
          <t>Cu</t>
        </is>
      </c>
      <c r="B191" s="8" t="inlineStr">
        <is>
          <t>step_site</t>
        </is>
      </c>
      <c r="C191" s="8" t="n"/>
      <c r="D191" s="8" t="inlineStr">
        <is>
          <t>NH2</t>
        </is>
      </c>
      <c r="E191" s="11" t="n">
        <v>-1.0541</v>
      </c>
      <c r="F191" s="7" t="inlineStr">
        <is>
          <t>[13.4, 40.9, 51.6, 67.7, 81.6, 83.4, 184.2, 432.9, 444.0]</t>
        </is>
      </c>
      <c r="G191" s="8" t="inlineStr">
        <is>
          <t>39</t>
        </is>
      </c>
      <c r="H191" s="8" t="n">
        <v>0.111</v>
      </c>
      <c r="I191" s="8" t="n"/>
    </row>
    <row r="192">
      <c r="A192" s="8" t="inlineStr">
        <is>
          <t>Cu</t>
        </is>
      </c>
      <c r="B192" s="8" t="inlineStr">
        <is>
          <t>step_site</t>
        </is>
      </c>
      <c r="C192" s="8" t="n"/>
      <c r="D192" s="8" t="inlineStr">
        <is>
          <t>NH2-H</t>
        </is>
      </c>
      <c r="E192" s="11" t="n">
        <v>0.2595</v>
      </c>
      <c r="F192" s="7" t="inlineStr">
        <is>
          <t>[13.8, 26.3, 43.2, 43.8, 64.1, 102.3, 107.4, 181.7, 199.6, 430.8, 445.0]</t>
        </is>
      </c>
      <c r="G192" s="8" t="inlineStr">
        <is>
          <t>42</t>
        </is>
      </c>
      <c r="H192" s="8" t="n">
        <v>0.111</v>
      </c>
      <c r="I192" s="8" t="n"/>
    </row>
    <row r="193">
      <c r="A193" s="8" t="inlineStr">
        <is>
          <t>Cu</t>
        </is>
      </c>
      <c r="B193" s="8" t="inlineStr">
        <is>
          <t>step_site</t>
        </is>
      </c>
      <c r="C193" s="8" t="n"/>
      <c r="D193" s="8" t="inlineStr">
        <is>
          <t>NH3</t>
        </is>
      </c>
      <c r="E193" s="11" t="n">
        <v>-1.3796</v>
      </c>
      <c r="F193" s="7" t="inlineStr">
        <is>
          <t>[14.6, 6.6, 8.3, 33.0, 60.0, 64.2, 141.0, 199.5, 200.6, 428.7, 442.9, 445.2]</t>
        </is>
      </c>
      <c r="G193" s="8" t="inlineStr">
        <is>
          <t>40</t>
        </is>
      </c>
      <c r="H193" s="8" t="n">
        <v>0.111</v>
      </c>
      <c r="I193" s="8" t="n"/>
    </row>
    <row r="194">
      <c r="A194" s="8" t="inlineStr">
        <is>
          <t>Ir</t>
        </is>
      </c>
      <c r="B194" s="8" t="inlineStr">
        <is>
          <t>step_site</t>
        </is>
      </c>
      <c r="C194" s="8" t="n"/>
      <c r="D194" s="8" t="inlineStr">
        <is>
          <t>H</t>
        </is>
      </c>
      <c r="E194" s="11" t="n">
        <v>-0.5867</v>
      </c>
      <c r="F194" s="12" t="inlineStr">
        <is>
          <t>[47.1, 114.7, 163.2]</t>
        </is>
      </c>
      <c r="G194" s="8" t="inlineStr">
        <is>
          <t>55</t>
        </is>
      </c>
      <c r="H194" s="8" t="n">
        <v>0.111</v>
      </c>
      <c r="I194" s="8" t="n"/>
    </row>
    <row r="195">
      <c r="A195" s="8" t="inlineStr">
        <is>
          <t>Ir</t>
        </is>
      </c>
      <c r="B195" s="8" t="inlineStr">
        <is>
          <t>step_site</t>
        </is>
      </c>
      <c r="C195" s="8" t="n"/>
      <c r="D195" s="8" t="inlineStr">
        <is>
          <t>N</t>
        </is>
      </c>
      <c r="E195" s="11" t="n">
        <v>-0.4407</v>
      </c>
      <c r="F195" s="12" t="inlineStr">
        <is>
          <t>[22.5, 67.4, 75.9]</t>
        </is>
      </c>
      <c r="G195" s="8" t="inlineStr">
        <is>
          <t>56</t>
        </is>
      </c>
      <c r="H195" s="8" t="n">
        <v>0.111</v>
      </c>
      <c r="I195" s="8" t="n"/>
    </row>
    <row r="196">
      <c r="A196" s="8" t="inlineStr">
        <is>
          <t>Ir</t>
        </is>
      </c>
      <c r="B196" s="8" t="inlineStr">
        <is>
          <t>step_site</t>
        </is>
      </c>
      <c r="C196" s="8" t="n"/>
      <c r="D196" s="8" t="inlineStr">
        <is>
          <t>N-H</t>
        </is>
      </c>
      <c r="E196" s="11" t="n">
        <v>0.7265</v>
      </c>
      <c r="F196" s="12" t="inlineStr">
        <is>
          <t>[32.8, 51.0, 53.7, 65.2, 119.9]</t>
        </is>
      </c>
      <c r="G196" s="8" t="inlineStr">
        <is>
          <t>61</t>
        </is>
      </c>
      <c r="H196" s="8" t="n">
        <v>0.111</v>
      </c>
      <c r="I196" s="8" t="n"/>
    </row>
    <row r="197">
      <c r="A197" s="8" t="inlineStr">
        <is>
          <t>Ir</t>
        </is>
      </c>
      <c r="B197" s="8" t="inlineStr">
        <is>
          <t>step_site</t>
        </is>
      </c>
      <c r="C197" s="8" t="n"/>
      <c r="D197" s="8" t="inlineStr">
        <is>
          <t>N-N</t>
        </is>
      </c>
      <c r="E197" s="11" t="n">
        <v>1.099</v>
      </c>
      <c r="F197" s="12" t="inlineStr">
        <is>
          <t>[48.1, 52.7, 60.4, 60.8, 65.0]</t>
        </is>
      </c>
      <c r="G197" s="8" t="inlineStr">
        <is>
          <t>62</t>
        </is>
      </c>
      <c r="H197" s="8" t="n">
        <v>0.111</v>
      </c>
      <c r="I197" s="8" t="n"/>
    </row>
    <row r="198">
      <c r="A198" s="8" t="inlineStr">
        <is>
          <t>Ir</t>
        </is>
      </c>
      <c r="B198" s="8" t="inlineStr">
        <is>
          <t>step_site</t>
        </is>
      </c>
      <c r="C198" s="8" t="n"/>
      <c r="D198" s="8" t="inlineStr">
        <is>
          <t>N2</t>
        </is>
      </c>
      <c r="E198" s="11" t="n">
        <v>-0.7954</v>
      </c>
      <c r="F198" s="12" t="inlineStr">
        <is>
          <t>[5.9, 8.2, 42.4, 42.7, 45.3, 268.9]</t>
        </is>
      </c>
      <c r="G198" s="8" t="inlineStr">
        <is>
          <t>57</t>
        </is>
      </c>
      <c r="H198" s="8" t="n">
        <v>0.111</v>
      </c>
      <c r="I198" s="8" t="n"/>
    </row>
    <row r="199">
      <c r="A199" s="8" t="inlineStr">
        <is>
          <t>Ir</t>
        </is>
      </c>
      <c r="B199" s="8" t="inlineStr">
        <is>
          <t>step_site</t>
        </is>
      </c>
      <c r="C199" s="8" t="n"/>
      <c r="D199" s="8" t="inlineStr">
        <is>
          <t>NH</t>
        </is>
      </c>
      <c r="E199" s="11" t="n">
        <v>-0.9685</v>
      </c>
      <c r="F199" s="7" t="inlineStr">
        <is>
          <t>[13.4, 42.9, 60.2, 74.9, 102.0, 432.7]</t>
        </is>
      </c>
      <c r="G199" s="8" t="inlineStr">
        <is>
          <t>58</t>
        </is>
      </c>
      <c r="H199" s="8" t="n">
        <v>0.111</v>
      </c>
      <c r="I199" s="8" t="n"/>
    </row>
    <row r="200">
      <c r="A200" s="8" t="inlineStr">
        <is>
          <t>Ir</t>
        </is>
      </c>
      <c r="B200" s="8" t="inlineStr">
        <is>
          <t>step_site</t>
        </is>
      </c>
      <c r="C200" s="8" t="n"/>
      <c r="D200" s="8" t="inlineStr">
        <is>
          <t>NH-H</t>
        </is>
      </c>
      <c r="E200" s="11" t="n">
        <v>-0.2354</v>
      </c>
      <c r="F200" s="7" t="inlineStr">
        <is>
          <t>[19.7, 39.4, 50.0, 62.4, 72.6, 127.1, 219.5, 432.8]</t>
        </is>
      </c>
      <c r="G200" s="8" t="inlineStr">
        <is>
          <t>63</t>
        </is>
      </c>
      <c r="H200" s="8" t="n">
        <v>0.111</v>
      </c>
      <c r="I200" s="8" t="n"/>
    </row>
    <row r="201">
      <c r="A201" s="8" t="inlineStr">
        <is>
          <t>Ir</t>
        </is>
      </c>
      <c r="B201" s="8" t="inlineStr">
        <is>
          <t>step_site</t>
        </is>
      </c>
      <c r="C201" s="8" t="n"/>
      <c r="D201" s="8" t="inlineStr">
        <is>
          <t>NH2</t>
        </is>
      </c>
      <c r="E201" s="11" t="n">
        <v>-1.7381</v>
      </c>
      <c r="F201" s="7" t="inlineStr">
        <is>
          <t>[13.6, 42.1, 59.8, 82.0, 94.9, 98.3, 188.0, 432.7, 444.2]</t>
        </is>
      </c>
      <c r="G201" s="8" t="inlineStr">
        <is>
          <t>59</t>
        </is>
      </c>
      <c r="H201" s="8" t="n">
        <v>0.111</v>
      </c>
      <c r="I201" s="8" t="n"/>
    </row>
    <row r="202">
      <c r="A202" s="8" t="inlineStr">
        <is>
          <t>Ir</t>
        </is>
      </c>
      <c r="B202" s="8" t="inlineStr">
        <is>
          <t>step_site</t>
        </is>
      </c>
      <c r="C202" s="8" t="n"/>
      <c r="D202" s="8" t="inlineStr">
        <is>
          <t>NH2-H</t>
        </is>
      </c>
      <c r="E202" s="11" t="n">
        <v>-0.7487</v>
      </c>
      <c r="F202" s="7" t="inlineStr">
        <is>
          <t>[11.4, 19.5, 43.6, 60.0, 76.6, 87.4, 95.5, 163.2, 184.2, 429.9, 445.0]</t>
        </is>
      </c>
      <c r="G202" s="8" t="inlineStr">
        <is>
          <t>64</t>
        </is>
      </c>
      <c r="H202" s="8" t="n">
        <v>0.111</v>
      </c>
      <c r="I202" s="8" t="n"/>
    </row>
    <row r="203">
      <c r="A203" s="8" t="inlineStr">
        <is>
          <t>Ir</t>
        </is>
      </c>
      <c r="B203" s="8" t="inlineStr">
        <is>
          <t>step_site</t>
        </is>
      </c>
      <c r="C203" s="8" t="n"/>
      <c r="D203" s="8" t="inlineStr">
        <is>
          <t>NH3</t>
        </is>
      </c>
      <c r="E203" s="11" t="n">
        <v>-1.937</v>
      </c>
      <c r="F203" s="7" t="inlineStr">
        <is>
          <t>[13.8, 5.8, 12.1, 44.2, 78.6, 81.0, 148.9, 198.8, 199.9, 429.4, 442.3, 444.7]</t>
        </is>
      </c>
      <c r="G203" s="8" t="inlineStr">
        <is>
          <t>60</t>
        </is>
      </c>
      <c r="H203" s="8" t="n">
        <v>0.111</v>
      </c>
      <c r="I203" s="8" t="n"/>
    </row>
    <row r="204">
      <c r="A204" s="8" t="inlineStr">
        <is>
          <t>Mo</t>
        </is>
      </c>
      <c r="B204" s="8" t="inlineStr">
        <is>
          <t>step_site</t>
        </is>
      </c>
      <c r="C204" s="8" t="n"/>
      <c r="D204" s="8" t="inlineStr">
        <is>
          <t>H</t>
        </is>
      </c>
      <c r="E204" s="11" t="n">
        <v>-0.7187</v>
      </c>
      <c r="F204" s="12" t="inlineStr">
        <is>
          <t>[89.1, 97.1, 144.9]</t>
        </is>
      </c>
      <c r="G204" s="8" t="inlineStr">
        <is>
          <t>65</t>
        </is>
      </c>
      <c r="H204" s="8" t="n">
        <v>0.111</v>
      </c>
      <c r="I204" s="8" t="n"/>
    </row>
    <row r="205">
      <c r="A205" s="8" t="inlineStr">
        <is>
          <t>Mo</t>
        </is>
      </c>
      <c r="B205" s="8" t="inlineStr">
        <is>
          <t>step_site</t>
        </is>
      </c>
      <c r="C205" s="8" t="n"/>
      <c r="D205" s="8" t="inlineStr">
        <is>
          <t>N</t>
        </is>
      </c>
      <c r="E205" s="11" t="n">
        <v>-1.8417</v>
      </c>
      <c r="F205" s="12" t="inlineStr">
        <is>
          <t>[41.9, 43.0, 55.6]</t>
        </is>
      </c>
      <c r="G205" s="8" t="inlineStr">
        <is>
          <t>66</t>
        </is>
      </c>
      <c r="H205" s="8" t="n">
        <v>0.111</v>
      </c>
      <c r="I205" s="8" t="n"/>
    </row>
    <row r="206">
      <c r="A206" s="8" t="inlineStr">
        <is>
          <t>Mo</t>
        </is>
      </c>
      <c r="B206" s="8" t="inlineStr">
        <is>
          <t>step_site</t>
        </is>
      </c>
      <c r="C206" s="8" t="n"/>
      <c r="D206" s="8" t="inlineStr">
        <is>
          <t>N-H</t>
        </is>
      </c>
      <c r="E206" s="11" t="n">
        <v>-0.6237</v>
      </c>
      <c r="F206" s="12" t="inlineStr">
        <is>
          <t>[31.4, 45.1, 55.5, 62.1, 176.5]</t>
        </is>
      </c>
      <c r="G206" s="8" t="inlineStr">
        <is>
          <t>71</t>
        </is>
      </c>
      <c r="H206" s="8" t="n">
        <v>0.111</v>
      </c>
      <c r="I206" s="8" t="n"/>
    </row>
    <row r="207">
      <c r="A207" s="8" t="inlineStr">
        <is>
          <t>Mo</t>
        </is>
      </c>
      <c r="B207" s="8" t="inlineStr">
        <is>
          <t>step_site</t>
        </is>
      </c>
      <c r="C207" s="8" t="n"/>
      <c r="D207" s="8" t="inlineStr">
        <is>
          <t>N-N</t>
        </is>
      </c>
      <c r="E207" s="11" t="n">
        <v>-0.9147</v>
      </c>
      <c r="F207" s="12" t="inlineStr">
        <is>
          <t>[33.0, 45.8, 47.0, 55.0, 62.4]</t>
        </is>
      </c>
      <c r="G207" s="8" t="inlineStr">
        <is>
          <t>72</t>
        </is>
      </c>
      <c r="H207" s="8" t="n">
        <v>0.111</v>
      </c>
      <c r="I207" s="8" t="n"/>
    </row>
    <row r="208">
      <c r="A208" s="8" t="inlineStr">
        <is>
          <t>Mo</t>
        </is>
      </c>
      <c r="B208" s="8" t="inlineStr">
        <is>
          <t>step_site</t>
        </is>
      </c>
      <c r="C208" s="8" t="n"/>
      <c r="D208" s="8" t="inlineStr">
        <is>
          <t>N2</t>
        </is>
      </c>
      <c r="E208" s="11" t="n">
        <v>-1.5107</v>
      </c>
      <c r="F208" s="7" t="inlineStr">
        <is>
          <t>[30.9, 41.8, 45.3, 48.5, 56.8, 127.8]</t>
        </is>
      </c>
      <c r="G208" s="8" t="inlineStr">
        <is>
          <t>67</t>
        </is>
      </c>
      <c r="H208" s="8" t="n">
        <v>0.111</v>
      </c>
      <c r="I208" s="8" t="n"/>
    </row>
    <row r="209">
      <c r="A209" s="8" t="inlineStr">
        <is>
          <t>Mo</t>
        </is>
      </c>
      <c r="B209" s="8" t="inlineStr">
        <is>
          <t>step_site</t>
        </is>
      </c>
      <c r="C209" s="8" t="n"/>
      <c r="D209" s="8" t="inlineStr">
        <is>
          <t>NH</t>
        </is>
      </c>
      <c r="E209" s="11" t="n">
        <v>-2.088</v>
      </c>
      <c r="F209" s="7" t="inlineStr">
        <is>
          <t>[32.0, 50.0, 62.9, 76.6, 87.6, 429.6]</t>
        </is>
      </c>
      <c r="G209" s="8" t="inlineStr">
        <is>
          <t>68</t>
        </is>
      </c>
      <c r="H209" s="8" t="n">
        <v>0.111</v>
      </c>
      <c r="I209" s="8" t="n"/>
    </row>
    <row r="210">
      <c r="A210" s="8" t="inlineStr">
        <is>
          <t>Mo</t>
        </is>
      </c>
      <c r="B210" s="8" t="inlineStr">
        <is>
          <t>step_site</t>
        </is>
      </c>
      <c r="C210" s="8" t="n"/>
      <c r="D210" s="8" t="inlineStr">
        <is>
          <t>NH-H</t>
        </is>
      </c>
      <c r="E210" s="11" t="n">
        <v>-0.714</v>
      </c>
      <c r="F210" s="7" t="inlineStr">
        <is>
          <t>[24.2, 36.0, 57.5, 76.7, 76.7, 87.7, 135.4, 433.9]</t>
        </is>
      </c>
      <c r="G210" s="8" t="inlineStr">
        <is>
          <t>73</t>
        </is>
      </c>
      <c r="H210" s="8" t="n">
        <v>0.111</v>
      </c>
      <c r="I210" s="8" t="n"/>
    </row>
    <row r="211">
      <c r="A211" s="8" t="inlineStr">
        <is>
          <t>Mo</t>
        </is>
      </c>
      <c r="B211" s="8" t="inlineStr">
        <is>
          <t>step_site</t>
        </is>
      </c>
      <c r="C211" s="8" t="n"/>
      <c r="D211" s="8" t="inlineStr">
        <is>
          <t>NH2</t>
        </is>
      </c>
      <c r="E211" s="11" t="n">
        <v>-2.1565</v>
      </c>
      <c r="F211" s="7" t="inlineStr">
        <is>
          <t>[16.6, 33.9, 51.7, 66.2, 83.4, 86.4, 185.0, 427.7, 438.9]</t>
        </is>
      </c>
      <c r="G211" s="8" t="inlineStr">
        <is>
          <t>69</t>
        </is>
      </c>
      <c r="H211" s="8" t="n">
        <v>0.111</v>
      </c>
      <c r="I211" s="8" t="n"/>
    </row>
    <row r="212">
      <c r="A212" s="8" t="inlineStr">
        <is>
          <t>Mo</t>
        </is>
      </c>
      <c r="B212" s="8" t="inlineStr">
        <is>
          <t>step_site</t>
        </is>
      </c>
      <c r="C212" s="8" t="n"/>
      <c r="D212" s="8" t="inlineStr">
        <is>
          <t>NH2-H</t>
        </is>
      </c>
      <c r="E212" s="11" t="n">
        <v>-0.7779</v>
      </c>
      <c r="F212" s="7" t="inlineStr">
        <is>
          <t>[11.6, 17.7, 29.8, 52.9, 62.3, 76.8, 100.6, 150.1, 186.6, 433.8, 447.7]</t>
        </is>
      </c>
      <c r="G212" s="8" t="inlineStr">
        <is>
          <t>74</t>
        </is>
      </c>
      <c r="H212" s="8" t="n">
        <v>0.111</v>
      </c>
      <c r="I212" s="8" t="n"/>
    </row>
    <row r="213">
      <c r="A213" s="8" t="inlineStr">
        <is>
          <t>Mo</t>
        </is>
      </c>
      <c r="B213" s="8" t="inlineStr">
        <is>
          <t>step_site</t>
        </is>
      </c>
      <c r="C213" s="8" t="n"/>
      <c r="D213" s="8" t="inlineStr">
        <is>
          <t>NH3</t>
        </is>
      </c>
      <c r="E213" s="11" t="n">
        <v>-1.9302</v>
      </c>
      <c r="F213" s="7" t="inlineStr">
        <is>
          <t>[10.6, 8.9, 11.2, 37.2, 65.0, 65.5, 146.4, 198.3, 199.7, 425.5, 438.2, 441.9]</t>
        </is>
      </c>
      <c r="G213" s="8" t="inlineStr">
        <is>
          <t>70</t>
        </is>
      </c>
      <c r="H213" s="8" t="n">
        <v>0.111</v>
      </c>
      <c r="I213" s="8" t="n"/>
    </row>
    <row r="214">
      <c r="A214" s="8" t="inlineStr">
        <is>
          <t>Ni</t>
        </is>
      </c>
      <c r="B214" s="8" t="inlineStr">
        <is>
          <t>step_site</t>
        </is>
      </c>
      <c r="C214" s="8" t="n"/>
      <c r="D214" s="8" t="inlineStr">
        <is>
          <t>H</t>
        </is>
      </c>
      <c r="E214" s="11" t="n">
        <v>-0.3841</v>
      </c>
      <c r="F214" s="12" t="inlineStr">
        <is>
          <t>[79.6, 108.3, 141.1]</t>
        </is>
      </c>
      <c r="G214" s="8" t="inlineStr">
        <is>
          <t>75</t>
        </is>
      </c>
      <c r="H214" s="8" t="n">
        <v>0.111</v>
      </c>
      <c r="I214" s="8" t="n"/>
    </row>
    <row r="215">
      <c r="A215" s="8" t="inlineStr">
        <is>
          <t>Ni</t>
        </is>
      </c>
      <c r="B215" s="8" t="inlineStr">
        <is>
          <t>step_site</t>
        </is>
      </c>
      <c r="C215" s="8" t="n"/>
      <c r="D215" s="8" t="inlineStr">
        <is>
          <t>N</t>
        </is>
      </c>
      <c r="E215" s="11" t="n">
        <v>-0.09279999999999999</v>
      </c>
      <c r="F215" s="12" t="inlineStr">
        <is>
          <t>[30.1, 68.5, 68.7]</t>
        </is>
      </c>
      <c r="G215" s="8" t="inlineStr">
        <is>
          <t>76</t>
        </is>
      </c>
      <c r="H215" s="8" t="n">
        <v>0.111</v>
      </c>
      <c r="I215" s="8" t="n"/>
    </row>
    <row r="216">
      <c r="A216" s="8" t="inlineStr">
        <is>
          <t>Ni</t>
        </is>
      </c>
      <c r="B216" s="8" t="inlineStr">
        <is>
          <t>step_site</t>
        </is>
      </c>
      <c r="C216" s="8" t="n"/>
      <c r="D216" s="8" t="inlineStr">
        <is>
          <t>N-H</t>
        </is>
      </c>
      <c r="E216" s="11" t="n">
        <v>0.8989</v>
      </c>
      <c r="F216" s="12" t="inlineStr">
        <is>
          <t>[32.3, 49.4, 53.5, 77.8, 150.1]</t>
        </is>
      </c>
      <c r="G216" s="8" t="inlineStr">
        <is>
          <t>81</t>
        </is>
      </c>
      <c r="H216" s="8" t="n">
        <v>0.111</v>
      </c>
      <c r="I216" s="8" t="n"/>
    </row>
    <row r="217">
      <c r="A217" s="8" t="inlineStr">
        <is>
          <t>Ni</t>
        </is>
      </c>
      <c r="B217" s="8" t="inlineStr">
        <is>
          <t>step_site</t>
        </is>
      </c>
      <c r="C217" s="8" t="n"/>
      <c r="D217" s="8" t="inlineStr">
        <is>
          <t>N-N</t>
        </is>
      </c>
      <c r="E217" s="11" t="n">
        <v>1.4944</v>
      </c>
      <c r="F217" s="12" t="inlineStr">
        <is>
          <t>[54.1, 56.4, 60.7, 68.6, 71.4]</t>
        </is>
      </c>
      <c r="G217" s="8" t="inlineStr">
        <is>
          <t>82</t>
        </is>
      </c>
      <c r="H217" s="8" t="n">
        <v>0.111</v>
      </c>
      <c r="I217" s="8" t="n"/>
    </row>
    <row r="218">
      <c r="A218" s="8" t="inlineStr">
        <is>
          <t>Ni</t>
        </is>
      </c>
      <c r="B218" s="8" t="inlineStr">
        <is>
          <t>step_site</t>
        </is>
      </c>
      <c r="C218" s="8" t="n"/>
      <c r="D218" s="8" t="inlineStr">
        <is>
          <t>N2</t>
        </is>
      </c>
      <c r="E218" s="11" t="n">
        <v>-0.6225000000000001</v>
      </c>
      <c r="F218" s="12" t="inlineStr">
        <is>
          <t>[5.8, 6.6, 33.6, 35.7, 38.1, 272.7]</t>
        </is>
      </c>
      <c r="G218" s="8" t="inlineStr">
        <is>
          <t>77</t>
        </is>
      </c>
      <c r="H218" s="8" t="n">
        <v>0.111</v>
      </c>
      <c r="I218" s="8" t="n"/>
    </row>
    <row r="219">
      <c r="A219" s="8" t="inlineStr">
        <is>
          <t>Ni</t>
        </is>
      </c>
      <c r="B219" s="8" t="inlineStr">
        <is>
          <t>step_site</t>
        </is>
      </c>
      <c r="C219" s="8" t="n"/>
      <c r="D219" s="8" t="inlineStr">
        <is>
          <t>NH</t>
        </is>
      </c>
      <c r="E219" s="11" t="n">
        <v>-0.6889</v>
      </c>
      <c r="F219" s="7" t="inlineStr">
        <is>
          <t>[45.2, 52.5, 64.8, 73.6, 84.0, 433.7]</t>
        </is>
      </c>
      <c r="G219" s="8" t="inlineStr">
        <is>
          <t>78</t>
        </is>
      </c>
      <c r="H219" s="8" t="n">
        <v>0.111</v>
      </c>
      <c r="I219" s="8" t="n"/>
    </row>
    <row r="220">
      <c r="A220" s="8" t="inlineStr">
        <is>
          <t>Ni</t>
        </is>
      </c>
      <c r="B220" s="8" t="inlineStr">
        <is>
          <t>step_site</t>
        </is>
      </c>
      <c r="C220" s="8" t="n"/>
      <c r="D220" s="8" t="inlineStr">
        <is>
          <t>NH-H</t>
        </is>
      </c>
      <c r="E220" s="11" t="n">
        <v>0.1945</v>
      </c>
      <c r="F220" s="7" t="inlineStr">
        <is>
          <t>[39.0, 46.0, 62.4, 63.4, 74.2, 108.7, 152.3, 436.5]</t>
        </is>
      </c>
      <c r="G220" s="8" t="inlineStr">
        <is>
          <t>83</t>
        </is>
      </c>
      <c r="H220" s="8" t="n">
        <v>0.111</v>
      </c>
      <c r="I220" s="8" t="n"/>
    </row>
    <row r="221">
      <c r="A221" s="8" t="inlineStr">
        <is>
          <t>Ni</t>
        </is>
      </c>
      <c r="B221" s="8" t="inlineStr">
        <is>
          <t>step_site</t>
        </is>
      </c>
      <c r="C221" s="8" t="n"/>
      <c r="D221" s="8" t="inlineStr">
        <is>
          <t>NH2</t>
        </is>
      </c>
      <c r="E221" s="11" t="n">
        <v>-1.5053</v>
      </c>
      <c r="F221" s="7" t="inlineStr">
        <is>
          <t>[13.4, 42.5, 56.8, 74.0, 80.5, 83.0, 185.4, 432.4, 443.5]</t>
        </is>
      </c>
      <c r="G221" s="8" t="inlineStr">
        <is>
          <t>79</t>
        </is>
      </c>
      <c r="H221" s="8" t="n">
        <v>0.111</v>
      </c>
      <c r="I221" s="8" t="n"/>
    </row>
    <row r="222">
      <c r="A222" s="8" t="inlineStr">
        <is>
          <t>Ni</t>
        </is>
      </c>
      <c r="B222" s="8" t="inlineStr">
        <is>
          <t>step_site</t>
        </is>
      </c>
      <c r="C222" s="8" t="n"/>
      <c r="D222" s="8" t="inlineStr">
        <is>
          <t>NH2-H</t>
        </is>
      </c>
      <c r="E222" s="11" t="n">
        <v>-0.6018</v>
      </c>
      <c r="F222" s="7" t="inlineStr">
        <is>
          <t>[14.9, 31.1, 43.8, 56.6, 76.3, 113.7, 130.3, 190.0, 219.3, 404.6, 448.2]</t>
        </is>
      </c>
      <c r="G222" s="8" t="inlineStr">
        <is>
          <t>84</t>
        </is>
      </c>
      <c r="H222" s="8" t="n">
        <v>0.111</v>
      </c>
      <c r="I222" s="8" t="n"/>
    </row>
    <row r="223">
      <c r="A223" s="8" t="inlineStr">
        <is>
          <t>Ni</t>
        </is>
      </c>
      <c r="B223" s="8" t="inlineStr">
        <is>
          <t>step_site</t>
        </is>
      </c>
      <c r="C223" s="8" t="n"/>
      <c r="D223" s="8" t="inlineStr">
        <is>
          <t>NH3</t>
        </is>
      </c>
      <c r="E223" s="11" t="n">
        <v>-1.6489</v>
      </c>
      <c r="F223" s="7" t="inlineStr">
        <is>
          <t>[7.5, 2.9, 11.0, 37.1, 66.7, 70.2, 143.9, 199.3, 200.4, 427.3, 440.9, 443.5]</t>
        </is>
      </c>
      <c r="G223" s="8" t="inlineStr">
        <is>
          <t>80</t>
        </is>
      </c>
      <c r="H223" s="8" t="n">
        <v>0.111</v>
      </c>
      <c r="I223" s="8" t="n"/>
    </row>
    <row r="224">
      <c r="A224" s="8" t="n"/>
      <c r="B224" s="8" t="n"/>
      <c r="C224" s="8" t="inlineStr">
        <is>
          <t>gas</t>
        </is>
      </c>
      <c r="D224" s="8" t="inlineStr">
        <is>
          <t>H2</t>
        </is>
      </c>
      <c r="E224" s="11" t="n">
        <v>0</v>
      </c>
      <c r="F224" s="12" t="inlineStr">
        <is>
          <t>[550]</t>
        </is>
      </c>
      <c r="G224" s="8" t="inlineStr">
        <is>
          <t>1</t>
        </is>
      </c>
      <c r="H224" s="8" t="n">
        <v>0</v>
      </c>
      <c r="I224" s="8" t="n"/>
    </row>
    <row r="225">
      <c r="A225" s="8" t="n"/>
      <c r="B225" s="8" t="n"/>
      <c r="C225" s="8" t="inlineStr">
        <is>
          <t>gas</t>
        </is>
      </c>
      <c r="D225" s="8" t="inlineStr">
        <is>
          <t>NH3</t>
        </is>
      </c>
      <c r="E225" s="11" t="n">
        <v>-0.7411</v>
      </c>
      <c r="F225" s="7" t="inlineStr">
        <is>
          <t>[435.8, 435.56, 420.43, 200.36, 200.23, 125.47]</t>
        </is>
      </c>
      <c r="G225" s="8" t="inlineStr">
        <is>
          <t>2</t>
        </is>
      </c>
      <c r="H225" s="8" t="n">
        <v>0</v>
      </c>
      <c r="I225" s="8" t="n"/>
    </row>
    <row r="226">
      <c r="A226" s="8" t="n"/>
      <c r="B226" s="8" t="n"/>
      <c r="C226" s="8" t="inlineStr">
        <is>
          <t>gas</t>
        </is>
      </c>
      <c r="D226" s="8" t="inlineStr">
        <is>
          <t>N2</t>
        </is>
      </c>
      <c r="E226" s="11" t="n">
        <v>0</v>
      </c>
      <c r="F226" s="12" t="inlineStr">
        <is>
          <t>[340]</t>
        </is>
      </c>
      <c r="G226" s="8" t="inlineStr">
        <is>
          <t>3</t>
        </is>
      </c>
      <c r="H226" s="8" t="n">
        <v>0</v>
      </c>
      <c r="I226" s="8" t="n"/>
    </row>
    <row r="227">
      <c r="A227" s="8" t="inlineStr">
        <is>
          <t>Os</t>
        </is>
      </c>
      <c r="B227" s="8" t="inlineStr">
        <is>
          <t>step_site</t>
        </is>
      </c>
      <c r="C227" s="8" t="n"/>
      <c r="D227" s="8" t="inlineStr">
        <is>
          <t>H</t>
        </is>
      </c>
      <c r="E227" s="11" t="n">
        <v>-0.7121</v>
      </c>
      <c r="F227" s="12" t="inlineStr">
        <is>
          <t>[55.5, 125.0, 164.7]</t>
        </is>
      </c>
      <c r="G227" s="8" t="inlineStr">
        <is>
          <t>85</t>
        </is>
      </c>
      <c r="H227" s="8" t="n">
        <v>0.111</v>
      </c>
      <c r="I227" s="8" t="n"/>
    </row>
    <row r="228">
      <c r="A228" s="8" t="inlineStr">
        <is>
          <t>Os</t>
        </is>
      </c>
      <c r="B228" s="8" t="inlineStr">
        <is>
          <t>step_site</t>
        </is>
      </c>
      <c r="C228" s="8" t="n"/>
      <c r="D228" s="8" t="inlineStr">
        <is>
          <t>N</t>
        </is>
      </c>
      <c r="E228" s="11" t="n">
        <v>-1.1095</v>
      </c>
      <c r="F228" s="12" t="inlineStr">
        <is>
          <t>[56.1, 59.5, 68.5]</t>
        </is>
      </c>
      <c r="G228" s="8" t="inlineStr">
        <is>
          <t>86</t>
        </is>
      </c>
      <c r="H228" s="8" t="n">
        <v>0.111</v>
      </c>
      <c r="I228" s="8" t="n"/>
    </row>
    <row r="229">
      <c r="A229" s="8" t="inlineStr">
        <is>
          <t>Os</t>
        </is>
      </c>
      <c r="B229" s="8" t="inlineStr">
        <is>
          <t>step_site</t>
        </is>
      </c>
      <c r="C229" s="8" t="n"/>
      <c r="D229" s="8" t="inlineStr">
        <is>
          <t>N-H</t>
        </is>
      </c>
      <c r="E229" s="11" t="n">
        <v>-0.0587</v>
      </c>
      <c r="F229" s="12" t="inlineStr">
        <is>
          <t>[18.1, 24.9, 37.4, 77.0, 230.0]</t>
        </is>
      </c>
      <c r="G229" s="8" t="inlineStr">
        <is>
          <t>91</t>
        </is>
      </c>
      <c r="H229" s="8" t="n">
        <v>0.111</v>
      </c>
      <c r="I229" s="8" t="n"/>
    </row>
    <row r="230">
      <c r="A230" s="8" t="inlineStr">
        <is>
          <t>Os</t>
        </is>
      </c>
      <c r="B230" s="8" t="inlineStr">
        <is>
          <t>step_site</t>
        </is>
      </c>
      <c r="C230" s="8" t="n"/>
      <c r="D230" s="8" t="inlineStr">
        <is>
          <t>N-N</t>
        </is>
      </c>
      <c r="E230" s="11" t="n">
        <v>0.1851</v>
      </c>
      <c r="F230" s="12" t="inlineStr">
        <is>
          <t>[48.1, 50.3, 55.7, 62.4, 67.1]</t>
        </is>
      </c>
      <c r="G230" s="8" t="inlineStr">
        <is>
          <t>92</t>
        </is>
      </c>
      <c r="H230" s="8" t="n">
        <v>0.111</v>
      </c>
      <c r="I230" s="8" t="n"/>
    </row>
    <row r="231">
      <c r="A231" s="8" t="inlineStr">
        <is>
          <t>Os</t>
        </is>
      </c>
      <c r="B231" s="8" t="inlineStr">
        <is>
          <t>step_site</t>
        </is>
      </c>
      <c r="C231" s="8" t="n"/>
      <c r="D231" s="8" t="inlineStr">
        <is>
          <t>N2</t>
        </is>
      </c>
      <c r="E231" s="11" t="n">
        <v>-0.8328</v>
      </c>
      <c r="F231" s="12" t="inlineStr">
        <is>
          <t>[4.1, 8.0, 35.8, 41.7, 42.5, 263.4]</t>
        </is>
      </c>
      <c r="G231" s="8" t="inlineStr">
        <is>
          <t>87</t>
        </is>
      </c>
      <c r="H231" s="8" t="n">
        <v>0.111</v>
      </c>
      <c r="I231" s="8" t="n"/>
    </row>
    <row r="232">
      <c r="A232" s="8" t="inlineStr">
        <is>
          <t>Os</t>
        </is>
      </c>
      <c r="B232" s="8" t="inlineStr">
        <is>
          <t>step_site</t>
        </is>
      </c>
      <c r="C232" s="8" t="n"/>
      <c r="D232" s="8" t="inlineStr">
        <is>
          <t>NH</t>
        </is>
      </c>
      <c r="E232" s="11" t="n">
        <v>-1.488</v>
      </c>
      <c r="F232" s="7" t="inlineStr">
        <is>
          <t>[14.9, 38.3, 49.0, 81.2, 94.4, 438.9]</t>
        </is>
      </c>
      <c r="G232" s="8" t="inlineStr">
        <is>
          <t>88</t>
        </is>
      </c>
      <c r="H232" s="8" t="n">
        <v>0.111</v>
      </c>
      <c r="I232" s="8" t="n"/>
    </row>
    <row r="233">
      <c r="A233" s="8" t="inlineStr">
        <is>
          <t>Os</t>
        </is>
      </c>
      <c r="B233" s="8" t="inlineStr">
        <is>
          <t>step_site</t>
        </is>
      </c>
      <c r="C233" s="8" t="n"/>
      <c r="D233" s="8" t="inlineStr">
        <is>
          <t>NH-H</t>
        </is>
      </c>
      <c r="E233" s="11" t="n">
        <v>-0.7034</v>
      </c>
      <c r="F233" s="7" t="inlineStr">
        <is>
          <t>[17.1, 33.0, 49.4, 62.8, 78.3, 135.1, 215.7, 438.0]</t>
        </is>
      </c>
      <c r="G233" s="8" t="inlineStr">
        <is>
          <t>93</t>
        </is>
      </c>
      <c r="H233" s="8" t="n">
        <v>0.111</v>
      </c>
      <c r="I233" s="8" t="n"/>
    </row>
    <row r="234">
      <c r="A234" s="8" t="inlineStr">
        <is>
          <t>Os</t>
        </is>
      </c>
      <c r="B234" s="8" t="inlineStr">
        <is>
          <t>step_site</t>
        </is>
      </c>
      <c r="C234" s="8" t="n"/>
      <c r="D234" s="8" t="inlineStr">
        <is>
          <t>NH2</t>
        </is>
      </c>
      <c r="E234" s="11" t="n">
        <v>-2.0477</v>
      </c>
      <c r="F234" s="7" t="inlineStr">
        <is>
          <t>[12.2, 35.8, 60.3, 77.8, 90.4, 93.0, 186.9, 432.8, 444.7]</t>
        </is>
      </c>
      <c r="G234" s="8" t="inlineStr">
        <is>
          <t>89</t>
        </is>
      </c>
      <c r="H234" s="8" t="n">
        <v>0.111</v>
      </c>
      <c r="I234" s="8" t="n"/>
    </row>
    <row r="235">
      <c r="A235" s="8" t="inlineStr">
        <is>
          <t>Os</t>
        </is>
      </c>
      <c r="B235" s="8" t="inlineStr">
        <is>
          <t>step_site</t>
        </is>
      </c>
      <c r="C235" s="8" t="n"/>
      <c r="D235" s="8" t="inlineStr">
        <is>
          <t>NH2-H</t>
        </is>
      </c>
      <c r="E235" s="11" t="n">
        <v>-0.8323</v>
      </c>
      <c r="F235" s="7" t="inlineStr">
        <is>
          <t>[12.1, 25.5, 31.5, 50.3, 63.5, 79.9, 98.1, 115.9, 184.2, 438.0, 453.6]</t>
        </is>
      </c>
      <c r="G235" s="8" t="inlineStr">
        <is>
          <t>94</t>
        </is>
      </c>
      <c r="H235" s="8" t="n">
        <v>0.111</v>
      </c>
      <c r="I235" s="8" t="n"/>
    </row>
    <row r="236">
      <c r="A236" s="8" t="inlineStr">
        <is>
          <t>Os</t>
        </is>
      </c>
      <c r="B236" s="8" t="inlineStr">
        <is>
          <t>step_site</t>
        </is>
      </c>
      <c r="C236" s="8" t="n"/>
      <c r="D236" s="8" t="inlineStr">
        <is>
          <t>NH3</t>
        </is>
      </c>
      <c r="E236" s="11" t="n">
        <v>-2.0462</v>
      </c>
      <c r="F236" s="7" t="inlineStr">
        <is>
          <t>[9.0, 9.6, 14.2, 42.4, 78.3, 79.0, 149.6, 197.9, 199.6, 426.6, 439.4, 442.7]</t>
        </is>
      </c>
      <c r="G236" s="8" t="inlineStr">
        <is>
          <t>90</t>
        </is>
      </c>
      <c r="H236" s="8" t="n">
        <v>0.111</v>
      </c>
      <c r="I236" s="8" t="n"/>
    </row>
    <row r="237">
      <c r="A237" s="8" t="inlineStr">
        <is>
          <t>Pd</t>
        </is>
      </c>
      <c r="B237" s="8" t="inlineStr">
        <is>
          <t>step_site</t>
        </is>
      </c>
      <c r="C237" s="8" t="n"/>
      <c r="D237" s="8" t="inlineStr">
        <is>
          <t>H</t>
        </is>
      </c>
      <c r="E237" s="11" t="n">
        <v>-0.3509</v>
      </c>
      <c r="F237" s="12" t="inlineStr">
        <is>
          <t>[78.7, 109.5, 114.8]</t>
        </is>
      </c>
      <c r="G237" s="8" t="inlineStr">
        <is>
          <t>95</t>
        </is>
      </c>
      <c r="H237" s="8" t="n">
        <v>0.111</v>
      </c>
      <c r="I237" s="8" t="n"/>
    </row>
    <row r="238">
      <c r="A238" s="8" t="inlineStr">
        <is>
          <t>Pd</t>
        </is>
      </c>
      <c r="B238" s="8" t="inlineStr">
        <is>
          <t>step_site</t>
        </is>
      </c>
      <c r="C238" s="8" t="n"/>
      <c r="D238" s="8" t="inlineStr">
        <is>
          <t>N</t>
        </is>
      </c>
      <c r="E238" s="11" t="n">
        <v>0.5637</v>
      </c>
      <c r="F238" s="12" t="inlineStr">
        <is>
          <t>[55.6, 59.9, 63.1]</t>
        </is>
      </c>
      <c r="G238" s="8" t="inlineStr">
        <is>
          <t>96</t>
        </is>
      </c>
      <c r="H238" s="8" t="n">
        <v>0.111</v>
      </c>
      <c r="I238" s="8" t="n"/>
    </row>
    <row r="239">
      <c r="A239" s="8" t="inlineStr">
        <is>
          <t>Pd</t>
        </is>
      </c>
      <c r="B239" s="8" t="inlineStr">
        <is>
          <t>step_site</t>
        </is>
      </c>
      <c r="C239" s="8" t="n"/>
      <c r="D239" s="8" t="inlineStr">
        <is>
          <t>N-H</t>
        </is>
      </c>
      <c r="E239" s="11" t="n">
        <v>1.4136</v>
      </c>
      <c r="F239" s="12" t="inlineStr">
        <is>
          <t>[41.5, 47.7, 53.1, 64.7, 111.6]</t>
        </is>
      </c>
      <c r="G239" s="8" t="inlineStr">
        <is>
          <t>101</t>
        </is>
      </c>
      <c r="H239" s="8" t="n">
        <v>0.111</v>
      </c>
      <c r="I239" s="8" t="n"/>
    </row>
    <row r="240">
      <c r="A240" s="8" t="inlineStr">
        <is>
          <t>Pd</t>
        </is>
      </c>
      <c r="B240" s="8" t="inlineStr">
        <is>
          <t>step_site</t>
        </is>
      </c>
      <c r="C240" s="8" t="n"/>
      <c r="D240" s="8" t="inlineStr">
        <is>
          <t>N-N</t>
        </is>
      </c>
      <c r="E240" s="11" t="n">
        <v>4.2523</v>
      </c>
      <c r="F240" s="12" t="inlineStr">
        <is>
          <t>[30.1, 37.8, 43.0, 57.5, 60.8]</t>
        </is>
      </c>
      <c r="G240" s="8" t="inlineStr">
        <is>
          <t>102</t>
        </is>
      </c>
      <c r="H240" s="8" t="n">
        <v>0.111</v>
      </c>
      <c r="I240" s="8" t="n"/>
    </row>
    <row r="241">
      <c r="A241" s="8" t="inlineStr">
        <is>
          <t>Pd</t>
        </is>
      </c>
      <c r="B241" s="8" t="inlineStr">
        <is>
          <t>step_site</t>
        </is>
      </c>
      <c r="C241" s="8" t="n"/>
      <c r="D241" s="8" t="inlineStr">
        <is>
          <t>N2</t>
        </is>
      </c>
      <c r="E241" s="11" t="n">
        <v>-0.3902</v>
      </c>
      <c r="F241" s="12" t="inlineStr">
        <is>
          <t>[3.8, 5.3, 23.3, 24.2, 29.2, 279.6]</t>
        </is>
      </c>
      <c r="G241" s="8" t="inlineStr">
        <is>
          <t>97</t>
        </is>
      </c>
      <c r="H241" s="8" t="n">
        <v>0.111</v>
      </c>
      <c r="I241" s="8" t="n"/>
    </row>
    <row r="242">
      <c r="A242" s="8" t="inlineStr">
        <is>
          <t>Pd</t>
        </is>
      </c>
      <c r="B242" s="8" t="inlineStr">
        <is>
          <t>step_site</t>
        </is>
      </c>
      <c r="C242" s="8" t="n"/>
      <c r="D242" s="8" t="inlineStr">
        <is>
          <t>NH</t>
        </is>
      </c>
      <c r="E242" s="11" t="n">
        <v>0.0039</v>
      </c>
      <c r="F242" s="7" t="inlineStr">
        <is>
          <t>[50.7, 51.6, 55.7, 88.4, 88.8, 426.5]</t>
        </is>
      </c>
      <c r="G242" s="8" t="inlineStr">
        <is>
          <t>98</t>
        </is>
      </c>
      <c r="H242" s="8" t="n">
        <v>0.111</v>
      </c>
      <c r="I242" s="8" t="n"/>
    </row>
    <row r="243">
      <c r="A243" s="8" t="inlineStr">
        <is>
          <t>Pd</t>
        </is>
      </c>
      <c r="B243" s="8" t="inlineStr">
        <is>
          <t>step_site</t>
        </is>
      </c>
      <c r="C243" s="8" t="n"/>
      <c r="D243" s="8" t="inlineStr">
        <is>
          <t>NH-H</t>
        </is>
      </c>
      <c r="E243" s="11" t="n">
        <v>1.0455</v>
      </c>
      <c r="F243" s="7" t="inlineStr">
        <is>
          <t>[37.9, 42.4, 51.2, 59.6, 74.4, 107.9, 131.9, 431.7]</t>
        </is>
      </c>
      <c r="G243" s="8" t="inlineStr">
        <is>
          <t>103</t>
        </is>
      </c>
      <c r="H243" s="8" t="n">
        <v>0.111</v>
      </c>
      <c r="I243" s="8" t="n"/>
    </row>
    <row r="244">
      <c r="A244" s="8" t="inlineStr">
        <is>
          <t>Pd</t>
        </is>
      </c>
      <c r="B244" s="8" t="inlineStr">
        <is>
          <t>step_site</t>
        </is>
      </c>
      <c r="C244" s="8" t="n"/>
      <c r="D244" s="8" t="inlineStr">
        <is>
          <t>NH2</t>
        </is>
      </c>
      <c r="E244" s="11" t="n">
        <v>-0.9298999999999999</v>
      </c>
      <c r="F244" s="7" t="inlineStr">
        <is>
          <t>[10.7, 41.9, 51.3, 71.4, 85.7, 86.5, 183.8, 432.7, 445.3]</t>
        </is>
      </c>
      <c r="G244" s="8" t="inlineStr">
        <is>
          <t>99</t>
        </is>
      </c>
      <c r="H244" s="8" t="n">
        <v>0.111</v>
      </c>
      <c r="I244" s="8" t="n"/>
    </row>
    <row r="245">
      <c r="A245" s="8" t="inlineStr">
        <is>
          <t>Pd</t>
        </is>
      </c>
      <c r="B245" s="8" t="inlineStr">
        <is>
          <t>step_site</t>
        </is>
      </c>
      <c r="C245" s="8" t="n"/>
      <c r="D245" s="8" t="inlineStr">
        <is>
          <t>NH2-H</t>
        </is>
      </c>
      <c r="E245" s="11" t="n">
        <v>-0.1422</v>
      </c>
      <c r="F245" s="7" t="inlineStr">
        <is>
          <t>[7.6, 30.7, 34.5, 47.6, 66.2, 107.9, 115.5, 185.3, 219.3, 434.0, 446.5]</t>
        </is>
      </c>
      <c r="G245" s="8" t="inlineStr">
        <is>
          <t>104</t>
        </is>
      </c>
      <c r="H245" s="8" t="n">
        <v>0.111</v>
      </c>
      <c r="I245" s="8" t="n"/>
    </row>
    <row r="246">
      <c r="A246" s="8" t="inlineStr">
        <is>
          <t>Pd</t>
        </is>
      </c>
      <c r="B246" s="8" t="inlineStr">
        <is>
          <t>step_site</t>
        </is>
      </c>
      <c r="C246" s="8" t="n"/>
      <c r="D246" s="8" t="inlineStr">
        <is>
          <t>NH3</t>
        </is>
      </c>
      <c r="E246" s="11" t="n">
        <v>-1.5221</v>
      </c>
      <c r="F246" s="7" t="inlineStr">
        <is>
          <t>[12.1, 3.3, 5.3, 35.5, 62.0, 64.4, 136.3, 199.8, 200.8, 432.6, 447.6, 448.1]</t>
        </is>
      </c>
      <c r="G246" s="8" t="inlineStr">
        <is>
          <t>100</t>
        </is>
      </c>
      <c r="H246" s="8" t="n">
        <v>0.111</v>
      </c>
      <c r="I246" s="8" t="n"/>
    </row>
    <row r="247">
      <c r="A247" s="8" t="inlineStr">
        <is>
          <t>Pt</t>
        </is>
      </c>
      <c r="B247" s="8" t="inlineStr">
        <is>
          <t>step_site</t>
        </is>
      </c>
      <c r="C247" s="8" t="n"/>
      <c r="D247" s="8" t="inlineStr">
        <is>
          <t>H</t>
        </is>
      </c>
      <c r="E247" s="11" t="n">
        <v>-0.4717</v>
      </c>
      <c r="F247" s="12" t="inlineStr">
        <is>
          <t>[46.3, 121.8, 155.9]</t>
        </is>
      </c>
      <c r="G247" s="8" t="inlineStr">
        <is>
          <t>105</t>
        </is>
      </c>
      <c r="H247" s="8" t="n">
        <v>0.111</v>
      </c>
      <c r="I247" s="8" t="n"/>
    </row>
    <row r="248">
      <c r="A248" s="8" t="inlineStr">
        <is>
          <t>Pt</t>
        </is>
      </c>
      <c r="B248" s="8" t="inlineStr">
        <is>
          <t>step_site</t>
        </is>
      </c>
      <c r="C248" s="8" t="n"/>
      <c r="D248" s="8" t="inlineStr">
        <is>
          <t>N</t>
        </is>
      </c>
      <c r="E248" s="11" t="n">
        <v>0.5895</v>
      </c>
      <c r="F248" s="12" t="inlineStr">
        <is>
          <t>[49.0, 59.3, 60.6]</t>
        </is>
      </c>
      <c r="G248" s="8" t="inlineStr">
        <is>
          <t>106</t>
        </is>
      </c>
      <c r="H248" s="8" t="n">
        <v>0.111</v>
      </c>
      <c r="I248" s="8" t="n"/>
    </row>
    <row r="249">
      <c r="A249" s="8" t="inlineStr">
        <is>
          <t>Pt</t>
        </is>
      </c>
      <c r="B249" s="8" t="inlineStr">
        <is>
          <t>step_site</t>
        </is>
      </c>
      <c r="C249" s="8" t="n"/>
      <c r="D249" s="8" t="inlineStr">
        <is>
          <t>N-H</t>
        </is>
      </c>
      <c r="E249" s="11" t="n">
        <v>1.34</v>
      </c>
      <c r="F249" s="12" t="inlineStr">
        <is>
          <t>[37.3, 47.6, 55.5, 59.7, 223.6]</t>
        </is>
      </c>
      <c r="G249" s="8" t="inlineStr">
        <is>
          <t>111</t>
        </is>
      </c>
      <c r="H249" s="8" t="n">
        <v>0.111</v>
      </c>
      <c r="I249" s="8" t="n"/>
    </row>
    <row r="250">
      <c r="A250" s="8" t="inlineStr">
        <is>
          <t>Pt</t>
        </is>
      </c>
      <c r="B250" s="8" t="inlineStr">
        <is>
          <t>step_site</t>
        </is>
      </c>
      <c r="C250" s="8" t="n"/>
      <c r="D250" s="8" t="inlineStr">
        <is>
          <t>N-N</t>
        </is>
      </c>
      <c r="E250" s="11" t="n">
        <v>2.4704</v>
      </c>
      <c r="F250" s="12" t="inlineStr">
        <is>
          <t>[46.0, 57.4, 58.2, 63.7, 64.4]</t>
        </is>
      </c>
      <c r="G250" s="8" t="inlineStr">
        <is>
          <t>112</t>
        </is>
      </c>
      <c r="H250" s="8" t="n">
        <v>0.111</v>
      </c>
      <c r="I250" s="8" t="n"/>
    </row>
    <row r="251">
      <c r="A251" s="8" t="inlineStr">
        <is>
          <t>Pt</t>
        </is>
      </c>
      <c r="B251" s="8" t="inlineStr">
        <is>
          <t>step_site</t>
        </is>
      </c>
      <c r="C251" s="8" t="n"/>
      <c r="D251" s="8" t="inlineStr">
        <is>
          <t>N2</t>
        </is>
      </c>
      <c r="E251" s="11" t="n">
        <v>-0.4476</v>
      </c>
      <c r="F251" s="12" t="inlineStr">
        <is>
          <t>[5.3, 7.2, 36.8, 36.8, 39.6, 276.3]</t>
        </is>
      </c>
      <c r="G251" s="8" t="inlineStr">
        <is>
          <t>107</t>
        </is>
      </c>
      <c r="H251" s="8" t="n">
        <v>0.111</v>
      </c>
      <c r="I251" s="8" t="n"/>
    </row>
    <row r="252">
      <c r="A252" s="8" t="inlineStr">
        <is>
          <t>Pt</t>
        </is>
      </c>
      <c r="B252" s="8" t="inlineStr">
        <is>
          <t>step_site</t>
        </is>
      </c>
      <c r="C252" s="8" t="n"/>
      <c r="D252" s="8" t="inlineStr">
        <is>
          <t>NH</t>
        </is>
      </c>
      <c r="E252" s="11" t="n">
        <v>-0.0476</v>
      </c>
      <c r="F252" s="7" t="inlineStr">
        <is>
          <t>[18.9, 51.2, 63.5, 70.5, 110.9, 425.5]</t>
        </is>
      </c>
      <c r="G252" s="8" t="inlineStr">
        <is>
          <t>108</t>
        </is>
      </c>
      <c r="H252" s="8" t="n">
        <v>0.111</v>
      </c>
      <c r="I252" s="8" t="n"/>
    </row>
    <row r="253">
      <c r="A253" s="8" t="inlineStr">
        <is>
          <t>Pt</t>
        </is>
      </c>
      <c r="B253" s="8" t="inlineStr">
        <is>
          <t>step_site</t>
        </is>
      </c>
      <c r="C253" s="8" t="n"/>
      <c r="D253" s="8" t="inlineStr">
        <is>
          <t>NH-H</t>
        </is>
      </c>
      <c r="E253" s="11" t="n">
        <v>0.8868</v>
      </c>
      <c r="F253" s="7" t="inlineStr">
        <is>
          <t>[12.0, 41.6, 53.3, 57.5, 70.4, 127.0, 224.9, 437.5]</t>
        </is>
      </c>
      <c r="G253" s="8" t="inlineStr">
        <is>
          <t>113</t>
        </is>
      </c>
      <c r="H253" s="8" t="n">
        <v>0.111</v>
      </c>
      <c r="I253" s="8" t="n"/>
    </row>
    <row r="254">
      <c r="A254" s="8" t="inlineStr">
        <is>
          <t>Pt</t>
        </is>
      </c>
      <c r="B254" s="8" t="inlineStr">
        <is>
          <t>step_site</t>
        </is>
      </c>
      <c r="C254" s="8" t="n"/>
      <c r="D254" s="8" t="inlineStr">
        <is>
          <t>NH2</t>
        </is>
      </c>
      <c r="E254" s="11" t="n">
        <v>-1.3007</v>
      </c>
      <c r="F254" s="7" t="inlineStr">
        <is>
          <t>[15.4, 45.0, 56.6, 81.5, 98.0, 100.1, 186.6, 433.1, 445.7]</t>
        </is>
      </c>
      <c r="G254" s="8" t="inlineStr">
        <is>
          <t>109</t>
        </is>
      </c>
      <c r="H254" s="8" t="n">
        <v>0.111</v>
      </c>
      <c r="I254" s="8" t="n"/>
    </row>
    <row r="255">
      <c r="A255" s="8" t="inlineStr">
        <is>
          <t>Pt</t>
        </is>
      </c>
      <c r="B255" s="8" t="inlineStr">
        <is>
          <t>step_site</t>
        </is>
      </c>
      <c r="C255" s="8" t="n"/>
      <c r="D255" s="8" t="inlineStr">
        <is>
          <t>NH2-H</t>
        </is>
      </c>
      <c r="E255" s="11" t="n">
        <v>-0.4052</v>
      </c>
      <c r="F255" s="7" t="inlineStr">
        <is>
          <t>[12.5, 20.9, 29.8, 49.8, 75.8, 113.2, 122.7, 184.0, 227.8, 430.9, 444.6]</t>
        </is>
      </c>
      <c r="G255" s="8" t="inlineStr">
        <is>
          <t>114</t>
        </is>
      </c>
      <c r="H255" s="8" t="n">
        <v>0.111</v>
      </c>
      <c r="I255" s="8" t="n"/>
    </row>
    <row r="256">
      <c r="A256" s="8" t="inlineStr">
        <is>
          <t>Pt</t>
        </is>
      </c>
      <c r="B256" s="8" t="inlineStr">
        <is>
          <t>step_site</t>
        </is>
      </c>
      <c r="C256" s="8" t="n"/>
      <c r="D256" s="8" t="inlineStr">
        <is>
          <t>NH3</t>
        </is>
      </c>
      <c r="E256" s="11" t="n">
        <v>-1.8103</v>
      </c>
      <c r="F256" s="7" t="inlineStr">
        <is>
          <t>[11.0, 6.1, 11.5, 43.0, 79.5, 80.5, 146.9, 199.7, 200.1, 429.9, 443.8, 445.1]</t>
        </is>
      </c>
      <c r="G256" s="8" t="inlineStr">
        <is>
          <t>110</t>
        </is>
      </c>
      <c r="H256" s="8" t="n">
        <v>0.111</v>
      </c>
      <c r="I256" s="8" t="n"/>
    </row>
    <row r="257">
      <c r="A257" s="8" t="inlineStr">
        <is>
          <t>Re</t>
        </is>
      </c>
      <c r="B257" s="8" t="inlineStr">
        <is>
          <t>step_site</t>
        </is>
      </c>
      <c r="C257" s="8" t="n"/>
      <c r="D257" s="8" t="inlineStr">
        <is>
          <t>H</t>
        </is>
      </c>
      <c r="E257" s="11" t="n">
        <v>-0.8013</v>
      </c>
      <c r="F257" s="12" t="inlineStr">
        <is>
          <t>[55.6, 138.9, 163.3]</t>
        </is>
      </c>
      <c r="G257" s="8" t="inlineStr">
        <is>
          <t>115</t>
        </is>
      </c>
      <c r="H257" s="8" t="n">
        <v>0.111</v>
      </c>
      <c r="I257" s="8" t="n"/>
    </row>
    <row r="258">
      <c r="A258" s="8" t="inlineStr">
        <is>
          <t>Re</t>
        </is>
      </c>
      <c r="B258" s="8" t="inlineStr">
        <is>
          <t>step_site</t>
        </is>
      </c>
      <c r="C258" s="8" t="n"/>
      <c r="D258" s="8" t="inlineStr">
        <is>
          <t>N</t>
        </is>
      </c>
      <c r="E258" s="11" t="n">
        <v>-1.8252</v>
      </c>
      <c r="F258" s="12" t="inlineStr">
        <is>
          <t>[48.6, 64.1, 71.0]</t>
        </is>
      </c>
      <c r="G258" s="8" t="inlineStr">
        <is>
          <t>116</t>
        </is>
      </c>
      <c r="H258" s="8" t="n">
        <v>0.111</v>
      </c>
      <c r="I258" s="8" t="n"/>
    </row>
    <row r="259">
      <c r="A259" s="8" t="inlineStr">
        <is>
          <t>Re</t>
        </is>
      </c>
      <c r="B259" s="8" t="inlineStr">
        <is>
          <t>step_site</t>
        </is>
      </c>
      <c r="C259" s="8" t="n"/>
      <c r="D259" s="8" t="inlineStr">
        <is>
          <t>N-H</t>
        </is>
      </c>
      <c r="E259" s="11" t="n">
        <v>-0.3796</v>
      </c>
      <c r="F259" s="12" t="inlineStr">
        <is>
          <t>[29.1, 45.7, 62.0, 73.0, 146.5]</t>
        </is>
      </c>
      <c r="G259" s="8" t="inlineStr">
        <is>
          <t>121</t>
        </is>
      </c>
      <c r="H259" s="8" t="n">
        <v>0.111</v>
      </c>
      <c r="I259" s="8" t="n"/>
    </row>
    <row r="260">
      <c r="A260" s="8" t="inlineStr">
        <is>
          <t>Re</t>
        </is>
      </c>
      <c r="B260" s="8" t="inlineStr">
        <is>
          <t>step_site</t>
        </is>
      </c>
      <c r="C260" s="8" t="n"/>
      <c r="D260" s="8" t="inlineStr">
        <is>
          <t>N-N</t>
        </is>
      </c>
      <c r="E260" s="11" t="n">
        <v>-0.7695</v>
      </c>
      <c r="F260" s="12" t="inlineStr">
        <is>
          <t>[40.3, 52.7, 54.4, 61.1, 70.5]</t>
        </is>
      </c>
      <c r="G260" s="8" t="inlineStr">
        <is>
          <t>122</t>
        </is>
      </c>
      <c r="H260" s="8" t="n">
        <v>0.111</v>
      </c>
      <c r="I260" s="8" t="n"/>
    </row>
    <row r="261">
      <c r="A261" s="8" t="inlineStr">
        <is>
          <t>Re</t>
        </is>
      </c>
      <c r="B261" s="8" t="inlineStr">
        <is>
          <t>step_site</t>
        </is>
      </c>
      <c r="C261" s="8" t="n"/>
      <c r="D261" s="8" t="inlineStr">
        <is>
          <t>N2</t>
        </is>
      </c>
      <c r="E261" s="11" t="n">
        <v>-1.0229</v>
      </c>
      <c r="F261" s="7" t="inlineStr">
        <is>
          <t>[40.2, 47.9, 54.6, 55.2, 63.5, 101.5]</t>
        </is>
      </c>
      <c r="G261" s="8" t="inlineStr">
        <is>
          <t>117</t>
        </is>
      </c>
      <c r="H261" s="8" t="n">
        <v>0.111</v>
      </c>
      <c r="I261" s="8" t="n"/>
    </row>
    <row r="262">
      <c r="A262" s="8" t="inlineStr">
        <is>
          <t>Re</t>
        </is>
      </c>
      <c r="B262" s="8" t="inlineStr">
        <is>
          <t>step_site</t>
        </is>
      </c>
      <c r="C262" s="8" t="n"/>
      <c r="D262" s="8" t="inlineStr">
        <is>
          <t>NH</t>
        </is>
      </c>
      <c r="E262" s="11" t="n">
        <v>-1.9945</v>
      </c>
      <c r="F262" s="7" t="inlineStr">
        <is>
          <t>[42.3, 56.1, 65.9, 89.9, 101.1, 429.4]</t>
        </is>
      </c>
      <c r="G262" s="8" t="inlineStr">
        <is>
          <t>118</t>
        </is>
      </c>
      <c r="H262" s="8" t="n">
        <v>0.111</v>
      </c>
      <c r="I262" s="8" t="n"/>
    </row>
    <row r="263">
      <c r="A263" s="8" t="inlineStr">
        <is>
          <t>Re</t>
        </is>
      </c>
      <c r="B263" s="8" t="inlineStr">
        <is>
          <t>step_site</t>
        </is>
      </c>
      <c r="C263" s="8" t="n"/>
      <c r="D263" s="8" t="inlineStr">
        <is>
          <t>NH-H</t>
        </is>
      </c>
      <c r="E263" s="11" t="n">
        <v>-1.212</v>
      </c>
      <c r="F263" s="7" t="inlineStr">
        <is>
          <t>[26.2, 45.2, 63.0, 63.3, 73.0, 85.5, 124.0, 435.7]</t>
        </is>
      </c>
      <c r="G263" s="8" t="inlineStr">
        <is>
          <t>123</t>
        </is>
      </c>
      <c r="H263" s="8" t="n">
        <v>0.111</v>
      </c>
      <c r="I263" s="8" t="n"/>
    </row>
    <row r="264">
      <c r="A264" s="8" t="inlineStr">
        <is>
          <t>Re</t>
        </is>
      </c>
      <c r="B264" s="8" t="inlineStr">
        <is>
          <t>step_site</t>
        </is>
      </c>
      <c r="C264" s="8" t="n"/>
      <c r="D264" s="8" t="inlineStr">
        <is>
          <t>NH2</t>
        </is>
      </c>
      <c r="E264" s="11" t="n">
        <v>-2.3639</v>
      </c>
      <c r="F264" s="7" t="inlineStr">
        <is>
          <t>[16.6, 36.8, 61.7, 76.2, 88.9, 92.9, 187.3, 431.3, 442.2]</t>
        </is>
      </c>
      <c r="G264" s="8" t="inlineStr">
        <is>
          <t>119</t>
        </is>
      </c>
      <c r="H264" s="8" t="n">
        <v>0.111</v>
      </c>
      <c r="I264" s="8" t="n"/>
    </row>
    <row r="265">
      <c r="A265" s="8" t="inlineStr">
        <is>
          <t>Re</t>
        </is>
      </c>
      <c r="B265" s="8" t="inlineStr">
        <is>
          <t>step_site</t>
        </is>
      </c>
      <c r="C265" s="8" t="n"/>
      <c r="D265" s="8" t="inlineStr">
        <is>
          <t>NH2-H</t>
        </is>
      </c>
      <c r="E265" s="11" t="n">
        <v>-0.9116</v>
      </c>
      <c r="F265" s="7" t="inlineStr">
        <is>
          <t>[13.7, 18.7, 39.2, 56.1, 72.1, 77.3, 116.2, 155.5, 186.6, 434.9, 449.8]</t>
        </is>
      </c>
      <c r="G265" s="8" t="inlineStr">
        <is>
          <t>124</t>
        </is>
      </c>
      <c r="H265" s="8" t="n">
        <v>0.111</v>
      </c>
      <c r="I265" s="8" t="n"/>
    </row>
    <row r="266">
      <c r="A266" s="8" t="inlineStr">
        <is>
          <t>Re</t>
        </is>
      </c>
      <c r="B266" s="8" t="inlineStr">
        <is>
          <t>step_site</t>
        </is>
      </c>
      <c r="C266" s="8" t="n"/>
      <c r="D266" s="8" t="inlineStr">
        <is>
          <t>NH3</t>
        </is>
      </c>
      <c r="E266" s="11" t="n">
        <v>-1.9839</v>
      </c>
      <c r="F266" s="7" t="inlineStr">
        <is>
          <t>[9.6, 10.3, 14.1, 40.4, 74.7, 75.1, 150.1, 198.2, 199.9, 425.3, 438.4, 441.8]</t>
        </is>
      </c>
      <c r="G266" s="8" t="inlineStr">
        <is>
          <t>120</t>
        </is>
      </c>
      <c r="H266" s="8" t="n">
        <v>0.111</v>
      </c>
      <c r="I266" s="8" t="n"/>
    </row>
    <row r="267">
      <c r="A267" s="8" t="inlineStr">
        <is>
          <t>Rh</t>
        </is>
      </c>
      <c r="B267" s="8" t="inlineStr">
        <is>
          <t>step_site</t>
        </is>
      </c>
      <c r="C267" s="8" t="n"/>
      <c r="D267" s="8" t="inlineStr">
        <is>
          <t>H</t>
        </is>
      </c>
      <c r="E267" s="11" t="n">
        <v>-0.4059</v>
      </c>
      <c r="F267" s="12" t="inlineStr">
        <is>
          <t>[34.1, 129.7, 155.1]</t>
        </is>
      </c>
      <c r="G267" s="8" t="inlineStr">
        <is>
          <t>125</t>
        </is>
      </c>
      <c r="H267" s="8" t="n">
        <v>0.111</v>
      </c>
      <c r="I267" s="8" t="n"/>
    </row>
    <row r="268">
      <c r="A268" s="8" t="inlineStr">
        <is>
          <t>Rh</t>
        </is>
      </c>
      <c r="B268" s="8" t="inlineStr">
        <is>
          <t>step_site</t>
        </is>
      </c>
      <c r="C268" s="8" t="n"/>
      <c r="D268" s="8" t="inlineStr">
        <is>
          <t>N</t>
        </is>
      </c>
      <c r="E268" s="11" t="n">
        <v>-0.458</v>
      </c>
      <c r="F268" s="12" t="inlineStr">
        <is>
          <t>[54.6, 61.4, 62.5]</t>
        </is>
      </c>
      <c r="G268" s="8" t="inlineStr">
        <is>
          <t>126</t>
        </is>
      </c>
      <c r="H268" s="8" t="n">
        <v>0.111</v>
      </c>
      <c r="I268" s="8" t="n"/>
    </row>
    <row r="269">
      <c r="A269" s="8" t="inlineStr">
        <is>
          <t>Rh</t>
        </is>
      </c>
      <c r="B269" s="8" t="inlineStr">
        <is>
          <t>step_site</t>
        </is>
      </c>
      <c r="C269" s="8" t="n"/>
      <c r="D269" s="8" t="inlineStr">
        <is>
          <t>N-H</t>
        </is>
      </c>
      <c r="E269" s="11" t="n">
        <v>0.5994</v>
      </c>
      <c r="F269" s="12" t="inlineStr">
        <is>
          <t>[30.6, 45.6, 57.1, 59.5, 147.6]</t>
        </is>
      </c>
      <c r="G269" s="8" t="inlineStr">
        <is>
          <t>131</t>
        </is>
      </c>
      <c r="H269" s="8" t="n">
        <v>0.111</v>
      </c>
      <c r="I269" s="8" t="n"/>
    </row>
    <row r="270">
      <c r="A270" s="8" t="inlineStr">
        <is>
          <t>Rh</t>
        </is>
      </c>
      <c r="B270" s="8" t="inlineStr">
        <is>
          <t>step_site</t>
        </is>
      </c>
      <c r="C270" s="8" t="n"/>
      <c r="D270" s="8" t="inlineStr">
        <is>
          <t>N-N</t>
        </is>
      </c>
      <c r="E270" s="11" t="n">
        <v>0.9569</v>
      </c>
      <c r="F270" s="12" t="inlineStr">
        <is>
          <t>[47.6, 52.9, 57.5, 58.4, 65.1]</t>
        </is>
      </c>
      <c r="G270" s="8" t="inlineStr">
        <is>
          <t>132</t>
        </is>
      </c>
      <c r="H270" s="8" t="n">
        <v>0.111</v>
      </c>
      <c r="I270" s="8" t="n"/>
    </row>
    <row r="271">
      <c r="A271" s="8" t="inlineStr">
        <is>
          <t>Rh</t>
        </is>
      </c>
      <c r="B271" s="8" t="inlineStr">
        <is>
          <t>step_site</t>
        </is>
      </c>
      <c r="C271" s="8" t="n"/>
      <c r="D271" s="8" t="inlineStr">
        <is>
          <t>N2</t>
        </is>
      </c>
      <c r="E271" s="11" t="n">
        <v>-0.6357</v>
      </c>
      <c r="F271" s="12" t="inlineStr">
        <is>
          <t>[4.9, 5.9, 34.5, 35.3, 37.9, 271.4]</t>
        </is>
      </c>
      <c r="G271" s="8" t="inlineStr">
        <is>
          <t>127</t>
        </is>
      </c>
      <c r="H271" s="8" t="n">
        <v>0.111</v>
      </c>
      <c r="I271" s="8" t="n"/>
    </row>
    <row r="272">
      <c r="A272" s="8" t="inlineStr">
        <is>
          <t>Rh</t>
        </is>
      </c>
      <c r="B272" s="8" t="inlineStr">
        <is>
          <t>step_site</t>
        </is>
      </c>
      <c r="C272" s="8" t="n"/>
      <c r="D272" s="8" t="inlineStr">
        <is>
          <t>NH</t>
        </is>
      </c>
      <c r="E272" s="11" t="n">
        <v>-0.7745</v>
      </c>
      <c r="F272" s="7" t="inlineStr">
        <is>
          <t>[46.9, 51.8, 61.5, 85.9, 90.1, 426.9]</t>
        </is>
      </c>
      <c r="G272" s="8" t="inlineStr">
        <is>
          <t>128</t>
        </is>
      </c>
      <c r="H272" s="8" t="n">
        <v>0.111</v>
      </c>
      <c r="I272" s="8" t="n"/>
    </row>
    <row r="273">
      <c r="A273" s="8" t="inlineStr">
        <is>
          <t>Rh</t>
        </is>
      </c>
      <c r="B273" s="8" t="inlineStr">
        <is>
          <t>step_site</t>
        </is>
      </c>
      <c r="C273" s="8" t="n"/>
      <c r="D273" s="8" t="inlineStr">
        <is>
          <t>NH-H</t>
        </is>
      </c>
      <c r="E273" s="11" t="n">
        <v>-0.0044</v>
      </c>
      <c r="F273" s="7" t="inlineStr">
        <is>
          <t>[16.7, 45.9, 52.0, 57.2, 65.2, 91.9, 124.1, 430.3]</t>
        </is>
      </c>
      <c r="G273" s="8" t="inlineStr">
        <is>
          <t>133</t>
        </is>
      </c>
      <c r="H273" s="8" t="n">
        <v>0.111</v>
      </c>
      <c r="I273" s="8" t="n"/>
    </row>
    <row r="274">
      <c r="A274" s="8" t="inlineStr">
        <is>
          <t>Rh</t>
        </is>
      </c>
      <c r="B274" s="8" t="inlineStr">
        <is>
          <t>step_site</t>
        </is>
      </c>
      <c r="C274" s="8" t="n"/>
      <c r="D274" s="8" t="inlineStr">
        <is>
          <t>NH2</t>
        </is>
      </c>
      <c r="E274" s="11" t="n">
        <v>-1.4622</v>
      </c>
      <c r="F274" s="7" t="inlineStr">
        <is>
          <t>[9.6, 40.8, 56.0, 75.4, 84.8, 89.5, 185.6, 431.0, 443.2]</t>
        </is>
      </c>
      <c r="G274" s="8" t="inlineStr">
        <is>
          <t>129</t>
        </is>
      </c>
      <c r="H274" s="8" t="n">
        <v>0.111</v>
      </c>
      <c r="I274" s="8" t="n"/>
    </row>
    <row r="275">
      <c r="A275" s="8" t="inlineStr">
        <is>
          <t>Rh</t>
        </is>
      </c>
      <c r="B275" s="8" t="inlineStr">
        <is>
          <t>step_site</t>
        </is>
      </c>
      <c r="C275" s="8" t="n"/>
      <c r="D275" s="8" t="inlineStr">
        <is>
          <t>NH2-H</t>
        </is>
      </c>
      <c r="E275" s="11" t="n">
        <v>-0.628</v>
      </c>
      <c r="F275" s="7" t="inlineStr">
        <is>
          <t>[9.3, 30.6, 37.1, 49.8, 71.0, 114.6, 124.9, 186.3, 216.8, 430.9, 442.8]</t>
        </is>
      </c>
      <c r="G275" s="8" t="inlineStr">
        <is>
          <t>134</t>
        </is>
      </c>
      <c r="H275" s="8" t="n">
        <v>0.111</v>
      </c>
      <c r="I275" s="8" t="n"/>
    </row>
    <row r="276">
      <c r="A276" s="8" t="inlineStr">
        <is>
          <t>Rh</t>
        </is>
      </c>
      <c r="B276" s="8" t="inlineStr">
        <is>
          <t>step_site</t>
        </is>
      </c>
      <c r="C276" s="8" t="n"/>
      <c r="D276" s="8" t="inlineStr">
        <is>
          <t>NH3</t>
        </is>
      </c>
      <c r="E276" s="11" t="n">
        <v>-1.6682</v>
      </c>
      <c r="F276" s="7" t="inlineStr">
        <is>
          <t>[11.6, 3.2, 8.5, 36.6, 66.9, 70.2, 142.2, 199.0, 200.4, 429.8, 443.4, 445.8]</t>
        </is>
      </c>
      <c r="G276" s="8" t="inlineStr">
        <is>
          <t>130</t>
        </is>
      </c>
      <c r="H276" s="8" t="n">
        <v>0.111</v>
      </c>
      <c r="I276" s="8" t="n"/>
    </row>
    <row r="277">
      <c r="A277" s="8" t="inlineStr">
        <is>
          <t>Ru</t>
        </is>
      </c>
      <c r="B277" s="8" t="inlineStr">
        <is>
          <t>step_site</t>
        </is>
      </c>
      <c r="C277" s="8" t="n"/>
      <c r="D277" s="8" t="inlineStr">
        <is>
          <t>H</t>
        </is>
      </c>
      <c r="E277" s="11" t="n">
        <v>-0.4897</v>
      </c>
      <c r="F277" s="12" t="inlineStr">
        <is>
          <t>[41.9, 125.8, 157.5]</t>
        </is>
      </c>
      <c r="G277" s="8" t="inlineStr">
        <is>
          <t>135</t>
        </is>
      </c>
      <c r="H277" s="8" t="n">
        <v>0.111</v>
      </c>
      <c r="I277" s="8" t="n"/>
    </row>
    <row r="278">
      <c r="A278" s="8" t="inlineStr">
        <is>
          <t>Ru</t>
        </is>
      </c>
      <c r="B278" s="8" t="inlineStr">
        <is>
          <t>step_site</t>
        </is>
      </c>
      <c r="C278" s="8" t="n"/>
      <c r="D278" s="8" t="inlineStr">
        <is>
          <t>N</t>
        </is>
      </c>
      <c r="E278" s="11" t="n">
        <v>-1.1333</v>
      </c>
      <c r="F278" s="12" t="inlineStr">
        <is>
          <t>[55.7, 59.1, 64.1]</t>
        </is>
      </c>
      <c r="G278" s="8" t="inlineStr">
        <is>
          <t>136</t>
        </is>
      </c>
      <c r="H278" s="8" t="n">
        <v>0.111</v>
      </c>
      <c r="I278" s="8" t="n"/>
    </row>
    <row r="279">
      <c r="A279" s="8" t="inlineStr">
        <is>
          <t>Ru</t>
        </is>
      </c>
      <c r="B279" s="8" t="inlineStr">
        <is>
          <t>step_site</t>
        </is>
      </c>
      <c r="C279" s="8" t="n"/>
      <c r="D279" s="8" t="inlineStr">
        <is>
          <t>N-H</t>
        </is>
      </c>
      <c r="E279" s="11" t="n">
        <v>0.0089</v>
      </c>
      <c r="F279" s="12" t="inlineStr">
        <is>
          <t>[46.9, 51.2, 58.8, 70.1, 144.9]</t>
        </is>
      </c>
      <c r="G279" s="8" t="inlineStr">
        <is>
          <t>142</t>
        </is>
      </c>
      <c r="H279" s="8" t="n">
        <v>0.111</v>
      </c>
      <c r="I279" s="8" t="n"/>
    </row>
    <row r="280">
      <c r="A280" s="8" t="inlineStr">
        <is>
          <t>Ru</t>
        </is>
      </c>
      <c r="B280" s="8" t="inlineStr">
        <is>
          <t>step_site</t>
        </is>
      </c>
      <c r="C280" s="8" t="n"/>
      <c r="D280" s="8" t="inlineStr">
        <is>
          <t>N-N</t>
        </is>
      </c>
      <c r="E280" s="11" t="n">
        <v>0.2718</v>
      </c>
      <c r="F280" s="12" t="inlineStr">
        <is>
          <t>[44.7, 49.3, 51.6, 58.9, 64.7]</t>
        </is>
      </c>
      <c r="G280" s="8" t="inlineStr">
        <is>
          <t>143</t>
        </is>
      </c>
      <c r="H280" s="8" t="n">
        <v>0.111</v>
      </c>
      <c r="I280" s="8" t="n"/>
    </row>
    <row r="281">
      <c r="A281" s="8" t="inlineStr">
        <is>
          <t>Ru</t>
        </is>
      </c>
      <c r="B281" s="8" t="inlineStr">
        <is>
          <t>step_site</t>
        </is>
      </c>
      <c r="C281" s="8" t="n"/>
      <c r="D281" s="8" t="inlineStr">
        <is>
          <t>N2</t>
        </is>
      </c>
      <c r="E281" s="11" t="n">
        <v>-0.7234</v>
      </c>
      <c r="F281" s="12" t="inlineStr">
        <is>
          <t>[1.7, 5.3, 34.5, 37.4, 38.2, 265.8]</t>
        </is>
      </c>
      <c r="G281" s="8" t="inlineStr">
        <is>
          <t>137</t>
        </is>
      </c>
      <c r="H281" s="8" t="n">
        <v>0.111</v>
      </c>
      <c r="I281" s="8" t="n"/>
    </row>
    <row r="282">
      <c r="A282" s="8" t="inlineStr">
        <is>
          <t>Ru</t>
        </is>
      </c>
      <c r="B282" s="8" t="inlineStr">
        <is>
          <t>step_site</t>
        </is>
      </c>
      <c r="C282" s="8" t="n"/>
      <c r="D282" s="8" t="inlineStr">
        <is>
          <t>NH</t>
        </is>
      </c>
      <c r="E282" s="11" t="n">
        <v>-1.343</v>
      </c>
      <c r="F282" s="7" t="inlineStr">
        <is>
          <t>[49.2, 52.5, 60.0, 88.1, 94.7, 426.7]</t>
        </is>
      </c>
      <c r="G282" s="8" t="inlineStr">
        <is>
          <t>138</t>
        </is>
      </c>
      <c r="H282" s="8" t="n">
        <v>0.111</v>
      </c>
      <c r="I282" s="8" t="n"/>
    </row>
    <row r="283">
      <c r="A283" s="8" t="inlineStr">
        <is>
          <t>Ru</t>
        </is>
      </c>
      <c r="B283" s="8" t="inlineStr">
        <is>
          <t>step_site</t>
        </is>
      </c>
      <c r="C283" s="8" t="n"/>
      <c r="D283" s="8" t="inlineStr">
        <is>
          <t>NH-H</t>
        </is>
      </c>
      <c r="E283" s="11" t="n">
        <v>-0.2801</v>
      </c>
      <c r="F283" s="7" t="inlineStr">
        <is>
          <t>[17.1, 45.9, 48.1, 65.8, 72.3, 136.6, 215.3, 419.9]</t>
        </is>
      </c>
      <c r="G283" s="8" t="inlineStr">
        <is>
          <t>141</t>
        </is>
      </c>
      <c r="H283" s="8" t="n">
        <v>0.111</v>
      </c>
      <c r="I283" s="8" t="n"/>
    </row>
    <row r="284">
      <c r="A284" s="8" t="inlineStr">
        <is>
          <t>Ru</t>
        </is>
      </c>
      <c r="B284" s="8" t="inlineStr">
        <is>
          <t>step_site</t>
        </is>
      </c>
      <c r="C284" s="8" t="n"/>
      <c r="D284" s="8" t="inlineStr">
        <is>
          <t>NH2</t>
        </is>
      </c>
      <c r="E284" s="11" t="n">
        <v>-1.7391</v>
      </c>
      <c r="F284" s="7" t="inlineStr">
        <is>
          <t>[10.1, 35.3, 57.4, 71.4, 79.7, 84.7, 185.5, 432.2, 444.0]</t>
        </is>
      </c>
      <c r="G284" s="8" t="inlineStr">
        <is>
          <t>139</t>
        </is>
      </c>
      <c r="H284" s="8" t="n">
        <v>0.111</v>
      </c>
      <c r="I284" s="8" t="n"/>
    </row>
    <row r="285">
      <c r="A285" s="8" t="inlineStr">
        <is>
          <t>Ru</t>
        </is>
      </c>
      <c r="B285" s="8" t="inlineStr">
        <is>
          <t>step_site</t>
        </is>
      </c>
      <c r="C285" s="8" t="n"/>
      <c r="D285" s="8" t="inlineStr">
        <is>
          <t>NH2-H</t>
        </is>
      </c>
      <c r="E285" s="11" t="n">
        <v>-0.7754</v>
      </c>
      <c r="F285" s="7" t="inlineStr">
        <is>
          <t>[7.0, 26.9, 47.1, 50.2, 69.8, 112.8, 124.7, 184.9, 202.8, 429.4, 441.8]</t>
        </is>
      </c>
      <c r="G285" s="8" t="inlineStr">
        <is>
          <t>144</t>
        </is>
      </c>
      <c r="H285" s="8" t="n">
        <v>0.111</v>
      </c>
      <c r="I285" s="8" t="n"/>
    </row>
    <row r="286">
      <c r="A286" s="8" t="inlineStr">
        <is>
          <t>Ru</t>
        </is>
      </c>
      <c r="B286" s="8" t="inlineStr">
        <is>
          <t>step_site</t>
        </is>
      </c>
      <c r="C286" s="8" t="n"/>
      <c r="D286" s="8" t="inlineStr">
        <is>
          <t>NH3</t>
        </is>
      </c>
      <c r="E286" s="11" t="n">
        <v>-1.8005</v>
      </c>
      <c r="F286" s="7" t="inlineStr">
        <is>
          <t>[10.3, 8.4, 11.0, 37.7, 69.2, 70.0, 144.9, 198.1, 199.8, 426.6, 440.1, 442.9]</t>
        </is>
      </c>
      <c r="G286" s="8" t="inlineStr">
        <is>
          <t>140</t>
        </is>
      </c>
      <c r="H286" s="8" t="n">
        <v>0.111</v>
      </c>
      <c r="I286" s="8" t="n"/>
    </row>
    <row r="287">
      <c r="A287" s="8" t="inlineStr">
        <is>
          <t>W</t>
        </is>
      </c>
      <c r="B287" s="8" t="inlineStr">
        <is>
          <t>step_site</t>
        </is>
      </c>
      <c r="C287" s="8" t="n"/>
      <c r="D287" s="8" t="inlineStr">
        <is>
          <t>H</t>
        </is>
      </c>
      <c r="E287" s="11" t="n">
        <v>-0.6777</v>
      </c>
      <c r="F287" s="12" t="inlineStr">
        <is>
          <t>[65.7, 141.2, 152.3]</t>
        </is>
      </c>
      <c r="G287" s="8" t="inlineStr">
        <is>
          <t>145</t>
        </is>
      </c>
      <c r="H287" s="8" t="n">
        <v>0.111</v>
      </c>
      <c r="I287" s="8" t="n"/>
    </row>
    <row r="288">
      <c r="A288" s="8" t="inlineStr">
        <is>
          <t>W</t>
        </is>
      </c>
      <c r="B288" s="8" t="inlineStr">
        <is>
          <t>step_site</t>
        </is>
      </c>
      <c r="C288" s="8" t="n"/>
      <c r="D288" s="8" t="inlineStr">
        <is>
          <t>N</t>
        </is>
      </c>
      <c r="E288" s="11" t="n">
        <v>-2.161</v>
      </c>
      <c r="F288" s="12" t="inlineStr">
        <is>
          <t>[38.7, 64.9, 71.0]</t>
        </is>
      </c>
      <c r="G288" s="8" t="inlineStr">
        <is>
          <t>146</t>
        </is>
      </c>
      <c r="H288" s="8" t="n">
        <v>0.111</v>
      </c>
      <c r="I288" s="8" t="n"/>
    </row>
    <row r="289">
      <c r="A289" s="8" t="inlineStr">
        <is>
          <t>W</t>
        </is>
      </c>
      <c r="B289" s="8" t="inlineStr">
        <is>
          <t>step_site</t>
        </is>
      </c>
      <c r="C289" s="8" t="n"/>
      <c r="D289" s="8" t="inlineStr">
        <is>
          <t>N-H</t>
        </is>
      </c>
      <c r="E289" s="11" t="n">
        <v>-0.5697</v>
      </c>
      <c r="F289" s="12" t="inlineStr">
        <is>
          <t>[19.9, 25.4, 58.5, 65.1, 105.8]</t>
        </is>
      </c>
      <c r="G289" s="8" t="inlineStr">
        <is>
          <t>151</t>
        </is>
      </c>
      <c r="H289" s="8" t="n">
        <v>0.111</v>
      </c>
      <c r="I289" s="8" t="n"/>
    </row>
    <row r="290">
      <c r="A290" s="8" t="inlineStr">
        <is>
          <t>W</t>
        </is>
      </c>
      <c r="B290" s="8" t="inlineStr">
        <is>
          <t>step_site</t>
        </is>
      </c>
      <c r="C290" s="8" t="n"/>
      <c r="D290" s="8" t="inlineStr">
        <is>
          <t>N-N</t>
        </is>
      </c>
      <c r="E290" s="11" t="n">
        <v>-0.8249</v>
      </c>
      <c r="F290" s="12" t="inlineStr">
        <is>
          <t>[10.1, 35.0, 57.8, 65.2, 74.7]</t>
        </is>
      </c>
      <c r="G290" s="8" t="inlineStr">
        <is>
          <t>152</t>
        </is>
      </c>
      <c r="H290" s="8" t="n">
        <v>0.111</v>
      </c>
      <c r="I290" s="8" t="n"/>
    </row>
    <row r="291">
      <c r="A291" s="8" t="inlineStr">
        <is>
          <t>W</t>
        </is>
      </c>
      <c r="B291" s="8" t="inlineStr">
        <is>
          <t>step_site</t>
        </is>
      </c>
      <c r="C291" s="8" t="n"/>
      <c r="D291" s="8" t="inlineStr">
        <is>
          <t>N2</t>
        </is>
      </c>
      <c r="E291" s="11" t="n">
        <v>-1.5111</v>
      </c>
      <c r="F291" s="7" t="inlineStr">
        <is>
          <t>[29.9, 30.5, 45.6, 55.0, 60.7, 139.0]</t>
        </is>
      </c>
      <c r="G291" s="8" t="inlineStr">
        <is>
          <t>147</t>
        </is>
      </c>
      <c r="H291" s="8" t="n">
        <v>0.111</v>
      </c>
      <c r="I291" s="8" t="n"/>
    </row>
    <row r="292">
      <c r="A292" s="8" t="inlineStr">
        <is>
          <t>W</t>
        </is>
      </c>
      <c r="B292" s="8" t="inlineStr">
        <is>
          <t>step_site</t>
        </is>
      </c>
      <c r="C292" s="8" t="n"/>
      <c r="D292" s="8" t="inlineStr">
        <is>
          <t>NH</t>
        </is>
      </c>
      <c r="E292" s="11" t="n">
        <v>-2.4101</v>
      </c>
      <c r="F292" s="7" t="inlineStr">
        <is>
          <t>[32.3, 53.0, 66.4, 81.5, 92.7, 431.5]</t>
        </is>
      </c>
      <c r="G292" s="8" t="inlineStr">
        <is>
          <t>148</t>
        </is>
      </c>
      <c r="H292" s="8" t="n">
        <v>0.111</v>
      </c>
      <c r="I292" s="8" t="n"/>
    </row>
    <row r="293">
      <c r="A293" s="8" t="inlineStr">
        <is>
          <t>W</t>
        </is>
      </c>
      <c r="B293" s="8" t="inlineStr">
        <is>
          <t>step_site</t>
        </is>
      </c>
      <c r="C293" s="8" t="n"/>
      <c r="D293" s="8" t="inlineStr">
        <is>
          <t>NH-H</t>
        </is>
      </c>
      <c r="E293" s="11" t="n">
        <v>-1.3387</v>
      </c>
      <c r="F293" s="7" t="inlineStr">
        <is>
          <t>[23.3, 35.7, 43.0, 67.1, 78.3, 110.8, 168.5, 448.0]</t>
        </is>
      </c>
      <c r="G293" s="8" t="inlineStr">
        <is>
          <t>153</t>
        </is>
      </c>
      <c r="H293" s="8" t="n">
        <v>0.111</v>
      </c>
      <c r="I293" s="8" t="n"/>
    </row>
    <row r="294">
      <c r="A294" s="8" t="inlineStr">
        <is>
          <t>W</t>
        </is>
      </c>
      <c r="B294" s="8" t="inlineStr">
        <is>
          <t>step_site</t>
        </is>
      </c>
      <c r="C294" s="8" t="n"/>
      <c r="D294" s="8" t="inlineStr">
        <is>
          <t>NH2</t>
        </is>
      </c>
      <c r="E294" s="11" t="n">
        <v>-2.4821</v>
      </c>
      <c r="F294" s="7" t="inlineStr">
        <is>
          <t>[18.4, 35.5, 55.0, 73.0, 89.8, 96.4, 186.1, 426.8, 438.0]</t>
        </is>
      </c>
      <c r="G294" s="8" t="inlineStr">
        <is>
          <t>149</t>
        </is>
      </c>
      <c r="H294" s="8" t="n">
        <v>0.111</v>
      </c>
      <c r="I294" s="8" t="n"/>
    </row>
    <row r="295">
      <c r="A295" s="8" t="inlineStr">
        <is>
          <t>W</t>
        </is>
      </c>
      <c r="B295" s="8" t="inlineStr">
        <is>
          <t>step_site</t>
        </is>
      </c>
      <c r="C295" s="8" t="n"/>
      <c r="D295" s="8" t="inlineStr">
        <is>
          <t>NH2-H</t>
        </is>
      </c>
      <c r="E295" s="11" t="n">
        <v>-1.017</v>
      </c>
      <c r="F295" s="7" t="inlineStr">
        <is>
          <t>[12.1, 18.7, 33.9, 56.1, 69.5, 78.1, 111.1, 148.3, 187.0, 433.5, 448.0]</t>
        </is>
      </c>
      <c r="G295" s="8" t="inlineStr">
        <is>
          <t>154</t>
        </is>
      </c>
      <c r="H295" s="8" t="n">
        <v>0.111</v>
      </c>
      <c r="I295" s="8" t="n"/>
    </row>
    <row r="296">
      <c r="A296" s="8" t="inlineStr">
        <is>
          <t>W</t>
        </is>
      </c>
      <c r="B296" s="8" t="inlineStr">
        <is>
          <t>step_site</t>
        </is>
      </c>
      <c r="C296" s="8" t="n"/>
      <c r="D296" s="8" t="inlineStr">
        <is>
          <t>NH3</t>
        </is>
      </c>
      <c r="E296" s="11" t="n">
        <v>-2.1039</v>
      </c>
      <c r="F296" s="7" t="inlineStr">
        <is>
          <t>[8.8, 9.3, 12.2, 40.4, 71.4, 71.9, 150.6, 198.1, 199.1, 424.4, 436.5, 441.2]</t>
        </is>
      </c>
      <c r="G296" s="8" t="inlineStr">
        <is>
          <t>150</t>
        </is>
      </c>
      <c r="H296" s="8" t="n">
        <v>0.111</v>
      </c>
      <c r="I296" s="8" t="n"/>
    </row>
    <row r="297">
      <c r="A297" s="8" t="inlineStr">
        <is>
          <t>Ag</t>
        </is>
      </c>
      <c r="B297" s="8" t="inlineStr">
        <is>
          <t>confined_site</t>
        </is>
      </c>
      <c r="C297" s="8" t="n"/>
      <c r="D297" s="8" t="inlineStr">
        <is>
          <t>H</t>
        </is>
      </c>
      <c r="E297" s="11" t="n">
        <v>0.414</v>
      </c>
      <c r="F297" s="12" t="inlineStr">
        <is>
          <t>[86.0, 93.4, 93.4]</t>
        </is>
      </c>
      <c r="G297" s="8" t="inlineStr">
        <is>
          <t>42</t>
        </is>
      </c>
      <c r="H297" s="8" t="n">
        <v>0.25</v>
      </c>
      <c r="I297" s="8" t="n"/>
    </row>
    <row r="298">
      <c r="A298" s="8" t="inlineStr">
        <is>
          <t>Ag</t>
        </is>
      </c>
      <c r="B298" s="8" t="inlineStr">
        <is>
          <t>confined_site</t>
        </is>
      </c>
      <c r="C298" s="8" t="n"/>
      <c r="D298" s="8" t="inlineStr">
        <is>
          <t>N</t>
        </is>
      </c>
      <c r="E298" s="11" t="n">
        <v>2.3187</v>
      </c>
      <c r="F298" s="12" t="inlineStr">
        <is>
          <t>[29.5, 30.3, 31.7]</t>
        </is>
      </c>
      <c r="G298" s="8" t="inlineStr">
        <is>
          <t>17</t>
        </is>
      </c>
      <c r="H298" s="8" t="n">
        <v>0.25</v>
      </c>
      <c r="I298" s="8" t="n"/>
    </row>
    <row r="299">
      <c r="A299" s="8" t="inlineStr">
        <is>
          <t>Ag</t>
        </is>
      </c>
      <c r="B299" s="8" t="inlineStr">
        <is>
          <t>confined_site</t>
        </is>
      </c>
      <c r="C299" s="8" t="n"/>
      <c r="D299" s="8" t="inlineStr">
        <is>
          <t>N-H</t>
        </is>
      </c>
      <c r="E299" s="11" t="n">
        <v>3.3279</v>
      </c>
      <c r="F299" s="12" t="inlineStr">
        <is>
          <t>[25.0, 26.8, 31.9, 71.0, 89.1]</t>
        </is>
      </c>
      <c r="G299" s="8" t="inlineStr">
        <is>
          <t>145</t>
        </is>
      </c>
      <c r="H299" s="8" t="n">
        <v>0.25</v>
      </c>
      <c r="I299" s="8" t="n"/>
    </row>
    <row r="300">
      <c r="A300" s="8" t="inlineStr">
        <is>
          <t>Ag</t>
        </is>
      </c>
      <c r="B300" s="8" t="inlineStr">
        <is>
          <t>confined_site</t>
        </is>
      </c>
      <c r="C300" s="8" t="n"/>
      <c r="D300" s="8" t="inlineStr">
        <is>
          <t>N-N</t>
        </is>
      </c>
      <c r="E300" s="11" t="n">
        <v>5.6186</v>
      </c>
      <c r="F300" s="12" t="inlineStr">
        <is>
          <t>[12.5, 26.2, 29.4, 31.9, 32.9]</t>
        </is>
      </c>
      <c r="G300" s="8" t="inlineStr">
        <is>
          <t>160</t>
        </is>
      </c>
      <c r="H300" s="8" t="n">
        <v>0.25</v>
      </c>
      <c r="I300" s="8" t="n"/>
    </row>
    <row r="301">
      <c r="A301" s="8" t="inlineStr">
        <is>
          <t>Ag</t>
        </is>
      </c>
      <c r="B301" s="8" t="inlineStr">
        <is>
          <t>confined_site</t>
        </is>
      </c>
      <c r="C301" s="8" t="n"/>
      <c r="D301" s="8" t="inlineStr">
        <is>
          <t>N2</t>
        </is>
      </c>
      <c r="E301" s="11" t="n">
        <v>1.7769</v>
      </c>
      <c r="F301" s="12" t="inlineStr">
        <is>
          <t>[9.2, 9.3, 16.2, 16.3, 25.8, 233.6]</t>
        </is>
      </c>
      <c r="G301" s="8" t="inlineStr">
        <is>
          <t>75</t>
        </is>
      </c>
      <c r="H301" s="8" t="n">
        <v>0.25</v>
      </c>
      <c r="I301" s="8" t="n"/>
    </row>
    <row r="302">
      <c r="A302" s="8" t="inlineStr">
        <is>
          <t>Ag</t>
        </is>
      </c>
      <c r="B302" s="8" t="inlineStr">
        <is>
          <t>confined_site</t>
        </is>
      </c>
      <c r="C302" s="8" t="n"/>
      <c r="D302" s="8" t="inlineStr">
        <is>
          <t>NH</t>
        </is>
      </c>
      <c r="E302" s="11" t="n">
        <v>1.502</v>
      </c>
      <c r="F302" s="7" t="inlineStr">
        <is>
          <t>[43.1, 43.1, 45.0, 65.9, 66.4, 417.6]</t>
        </is>
      </c>
      <c r="G302" s="8" t="inlineStr">
        <is>
          <t>34</t>
        </is>
      </c>
      <c r="H302" s="8" t="n">
        <v>0.25</v>
      </c>
      <c r="I302" s="8" t="n"/>
    </row>
    <row r="303">
      <c r="A303" s="8" t="inlineStr">
        <is>
          <t>Ag</t>
        </is>
      </c>
      <c r="B303" s="8" t="inlineStr">
        <is>
          <t>confined_site</t>
        </is>
      </c>
      <c r="C303" s="8" t="n"/>
      <c r="D303" s="8" t="inlineStr">
        <is>
          <t>NH-H</t>
        </is>
      </c>
      <c r="E303" s="11" t="n">
        <v>2.4155</v>
      </c>
      <c r="F303" s="7" t="inlineStr">
        <is>
          <t>[26.2, 31.7, 33.7, 56.3, 69.5, 81.2, 92.3, 404.1]</t>
        </is>
      </c>
      <c r="G303" s="8" t="inlineStr">
        <is>
          <t>116</t>
        </is>
      </c>
      <c r="H303" s="8" t="n">
        <v>0.25</v>
      </c>
      <c r="I303" s="8" t="n"/>
    </row>
    <row r="304">
      <c r="A304" s="8" t="inlineStr">
        <is>
          <t>Ag</t>
        </is>
      </c>
      <c r="B304" s="8" t="inlineStr">
        <is>
          <t>confined_site</t>
        </is>
      </c>
      <c r="C304" s="8" t="n"/>
      <c r="D304" s="8" t="inlineStr">
        <is>
          <t>NH2</t>
        </is>
      </c>
      <c r="E304" s="11" t="n">
        <v>0.4775</v>
      </c>
      <c r="F304" s="7" t="inlineStr">
        <is>
          <t>[13.9, 31.8, 42.1, 48.4, 63.0, 66.0, 181.4, 418.5, 433.7]</t>
        </is>
      </c>
      <c r="G304" s="8" t="inlineStr">
        <is>
          <t>23</t>
        </is>
      </c>
      <c r="H304" s="8" t="n">
        <v>0.25</v>
      </c>
      <c r="I304" s="8" t="n"/>
    </row>
    <row r="305">
      <c r="A305" s="8" t="inlineStr">
        <is>
          <t>Ag</t>
        </is>
      </c>
      <c r="B305" s="8" t="inlineStr">
        <is>
          <t>confined_site</t>
        </is>
      </c>
      <c r="C305" s="8" t="n"/>
      <c r="D305" s="8" t="inlineStr">
        <is>
          <t>NH2-H</t>
        </is>
      </c>
      <c r="E305" s="11" t="n">
        <v>1.6083</v>
      </c>
      <c r="F305" s="7" t="inlineStr">
        <is>
          <t>[11.4, 8.3, 21.5, 41.6, 44.5, 93.1, 97.8, 108.7, 177.7, 411.3, 426.9]</t>
        </is>
      </c>
      <c r="G305" s="8" t="inlineStr">
        <is>
          <t>131</t>
        </is>
      </c>
      <c r="H305" s="8" t="n">
        <v>0.25</v>
      </c>
      <c r="I305" s="8" t="n"/>
    </row>
    <row r="306">
      <c r="A306" s="8" t="inlineStr">
        <is>
          <t>Ag</t>
        </is>
      </c>
      <c r="B306" s="8" t="inlineStr">
        <is>
          <t>confined_site</t>
        </is>
      </c>
      <c r="C306" s="8" t="n"/>
      <c r="D306" s="8" t="inlineStr">
        <is>
          <t>NH3</t>
        </is>
      </c>
      <c r="E306" s="11" t="n">
        <v>-0.1606</v>
      </c>
      <c r="F306" s="7" t="inlineStr">
        <is>
          <t>[8.6, 10.6, 11.0, 46.5, 73.1, 73.1, 126.2, 193.5, 194.1, 415.2, 434.2, 434.6]</t>
        </is>
      </c>
      <c r="G306" s="8" t="inlineStr">
        <is>
          <t>59</t>
        </is>
      </c>
      <c r="H306" s="8" t="n">
        <v>0.25</v>
      </c>
      <c r="I306" s="8" t="n"/>
    </row>
    <row r="307">
      <c r="A307" s="8" t="inlineStr">
        <is>
          <t>Au</t>
        </is>
      </c>
      <c r="B307" s="8" t="inlineStr">
        <is>
          <t>confined_site</t>
        </is>
      </c>
      <c r="C307" s="8" t="n"/>
      <c r="D307" s="8" t="inlineStr">
        <is>
          <t>H</t>
        </is>
      </c>
      <c r="E307" s="11" t="n">
        <v>0.3865</v>
      </c>
      <c r="F307" s="12" t="inlineStr">
        <is>
          <t>[48.7, 49.4, 153.0]</t>
        </is>
      </c>
      <c r="G307" s="8" t="inlineStr">
        <is>
          <t>28</t>
        </is>
      </c>
      <c r="H307" s="8" t="n">
        <v>0.25</v>
      </c>
      <c r="I307" s="8" t="n"/>
    </row>
    <row r="308">
      <c r="A308" s="8" t="inlineStr">
        <is>
          <t>Au</t>
        </is>
      </c>
      <c r="B308" s="8" t="inlineStr">
        <is>
          <t>confined_site</t>
        </is>
      </c>
      <c r="C308" s="8" t="n"/>
      <c r="D308" s="8" t="inlineStr">
        <is>
          <t>N</t>
        </is>
      </c>
      <c r="E308" s="11" t="n">
        <v>2.8732</v>
      </c>
      <c r="F308" s="12" t="inlineStr">
        <is>
          <t>[44.4, 50.1, 50.1]</t>
        </is>
      </c>
      <c r="G308" s="8" t="inlineStr">
        <is>
          <t>78</t>
        </is>
      </c>
      <c r="H308" s="8" t="n">
        <v>0.25</v>
      </c>
      <c r="I308" s="8" t="n"/>
    </row>
    <row r="309">
      <c r="A309" s="8" t="inlineStr">
        <is>
          <t>Au</t>
        </is>
      </c>
      <c r="B309" s="8" t="inlineStr">
        <is>
          <t>confined_site</t>
        </is>
      </c>
      <c r="C309" s="8" t="n"/>
      <c r="D309" s="8" t="inlineStr">
        <is>
          <t>N-H</t>
        </is>
      </c>
      <c r="E309" s="11" t="n">
        <v>3.4556</v>
      </c>
      <c r="F309" s="12" t="inlineStr">
        <is>
          <t>[40.0, 43.4, 46.0, 79.8, 97.3]</t>
        </is>
      </c>
      <c r="G309" s="8" t="inlineStr">
        <is>
          <t>144</t>
        </is>
      </c>
      <c r="H309" s="8" t="n">
        <v>0.25</v>
      </c>
      <c r="I309" s="8" t="n"/>
    </row>
    <row r="310">
      <c r="A310" s="8" t="inlineStr">
        <is>
          <t>Au</t>
        </is>
      </c>
      <c r="B310" s="8" t="inlineStr">
        <is>
          <t>confined_site</t>
        </is>
      </c>
      <c r="C310" s="8" t="n"/>
      <c r="D310" s="8" t="inlineStr">
        <is>
          <t>N-N</t>
        </is>
      </c>
      <c r="E310" s="11" t="n">
        <v>6.0778</v>
      </c>
      <c r="F310" s="12" t="inlineStr">
        <is>
          <t>[34.2, 47.8, 49.2, 50.5, 51.4]</t>
        </is>
      </c>
      <c r="G310" s="8" t="inlineStr">
        <is>
          <t>159</t>
        </is>
      </c>
      <c r="H310" s="8" t="n">
        <v>0.25</v>
      </c>
      <c r="I310" s="8" t="n"/>
    </row>
    <row r="311">
      <c r="A311" s="8" t="inlineStr">
        <is>
          <t>Au</t>
        </is>
      </c>
      <c r="B311" s="8" t="inlineStr">
        <is>
          <t>confined_site</t>
        </is>
      </c>
      <c r="C311" s="8" t="n"/>
      <c r="D311" s="8" t="inlineStr">
        <is>
          <t>N2</t>
        </is>
      </c>
      <c r="E311" s="11" t="n">
        <v>2.5054</v>
      </c>
      <c r="F311" s="12" t="inlineStr">
        <is>
          <t>[0.9, 0.9, 11.7, 11.7, 22.0, 249.0]</t>
        </is>
      </c>
      <c r="G311" s="8" t="inlineStr">
        <is>
          <t>74</t>
        </is>
      </c>
      <c r="H311" s="8" t="n">
        <v>0.25</v>
      </c>
      <c r="I311" s="8" t="n"/>
    </row>
    <row r="312">
      <c r="A312" s="8" t="inlineStr">
        <is>
          <t>Au</t>
        </is>
      </c>
      <c r="B312" s="8" t="inlineStr">
        <is>
          <t>confined_site</t>
        </is>
      </c>
      <c r="C312" s="8" t="n"/>
      <c r="D312" s="8" t="inlineStr">
        <is>
          <t>NH</t>
        </is>
      </c>
      <c r="E312" s="11" t="n">
        <v>1.6338</v>
      </c>
      <c r="F312" s="7" t="inlineStr">
        <is>
          <t>[51.0, 56.7, 56.7, 97.4, 97.4, 420.5]</t>
        </is>
      </c>
      <c r="G312" s="8" t="inlineStr">
        <is>
          <t>93</t>
        </is>
      </c>
      <c r="H312" s="8" t="n">
        <v>0.25</v>
      </c>
      <c r="I312" s="8" t="n"/>
    </row>
    <row r="313">
      <c r="A313" s="8" t="inlineStr">
        <is>
          <t>Au</t>
        </is>
      </c>
      <c r="B313" s="8" t="inlineStr">
        <is>
          <t>confined_site</t>
        </is>
      </c>
      <c r="C313" s="8" t="n"/>
      <c r="D313" s="8" t="inlineStr">
        <is>
          <t>NH-H</t>
        </is>
      </c>
      <c r="E313" s="11" t="n">
        <v>2.7356</v>
      </c>
      <c r="F313" s="7" t="inlineStr">
        <is>
          <t>[30.3, 40.7, 42.1, 60.2, 78.8, 93.5, 102.5, 409.4]</t>
        </is>
      </c>
      <c r="G313" s="8" t="inlineStr">
        <is>
          <t>115</t>
        </is>
      </c>
      <c r="H313" s="8" t="n">
        <v>0.25</v>
      </c>
      <c r="I313" s="8" t="n"/>
    </row>
    <row r="314">
      <c r="A314" s="8" t="inlineStr">
        <is>
          <t>Au</t>
        </is>
      </c>
      <c r="B314" s="8" t="inlineStr">
        <is>
          <t>confined_site</t>
        </is>
      </c>
      <c r="C314" s="8" t="n"/>
      <c r="D314" s="8" t="inlineStr">
        <is>
          <t>NH2</t>
        </is>
      </c>
      <c r="E314" s="11" t="n">
        <v>0.8519</v>
      </c>
      <c r="F314" s="7" t="inlineStr">
        <is>
          <t>[20.0, 39.0, 48.9, 76.5, 81.9, 87.6, 183.1, 421.3, 435.9]</t>
        </is>
      </c>
      <c r="G314" s="8" t="inlineStr">
        <is>
          <t>62</t>
        </is>
      </c>
      <c r="H314" s="8" t="n">
        <v>0.25</v>
      </c>
      <c r="I314" s="8" t="n"/>
    </row>
    <row r="315">
      <c r="A315" s="8" t="inlineStr">
        <is>
          <t>Au</t>
        </is>
      </c>
      <c r="B315" s="8" t="inlineStr">
        <is>
          <t>confined_site</t>
        </is>
      </c>
      <c r="C315" s="8" t="n"/>
      <c r="D315" s="8" t="inlineStr">
        <is>
          <t>NH2-H</t>
        </is>
      </c>
      <c r="E315" s="11" t="n">
        <v>1.6691</v>
      </c>
      <c r="F315" s="7" t="inlineStr">
        <is>
          <t>[9.0, 22.9, 28.5, 42.0, 60.1, 102.9, 114.7, 147.5, 181.0, 416.1, 431.2]</t>
        </is>
      </c>
      <c r="G315" s="8" t="inlineStr">
        <is>
          <t>130</t>
        </is>
      </c>
      <c r="H315" s="8" t="n">
        <v>0.25</v>
      </c>
      <c r="I315" s="8" t="n"/>
    </row>
    <row r="316">
      <c r="A316" s="8" t="inlineStr">
        <is>
          <t>Au</t>
        </is>
      </c>
      <c r="B316" s="8" t="inlineStr">
        <is>
          <t>confined_site</t>
        </is>
      </c>
      <c r="C316" s="8" t="n"/>
      <c r="D316" s="8" t="inlineStr">
        <is>
          <t>NH3</t>
        </is>
      </c>
      <c r="E316" s="11" t="n">
        <v>-0.0718</v>
      </c>
      <c r="F316" s="7" t="inlineStr">
        <is>
          <t>[14.6, 13.9, 14.5, 47.8, 84.6, 84.7, 129.4, 193.6, 194.0, 419.2, 437.8, 438.3]</t>
        </is>
      </c>
      <c r="G316" s="8" t="inlineStr">
        <is>
          <t>103</t>
        </is>
      </c>
      <c r="H316" s="8" t="n">
        <v>0.25</v>
      </c>
      <c r="I316" s="8" t="n"/>
    </row>
    <row r="317">
      <c r="A317" s="8" t="inlineStr">
        <is>
          <t>Co</t>
        </is>
      </c>
      <c r="B317" s="8" t="inlineStr">
        <is>
          <t>confined_site</t>
        </is>
      </c>
      <c r="C317" s="8" t="n"/>
      <c r="D317" s="8" t="inlineStr">
        <is>
          <t>H</t>
        </is>
      </c>
      <c r="E317" s="11" t="n">
        <v>-0.3061</v>
      </c>
      <c r="F317" s="12" t="inlineStr">
        <is>
          <t>[106.7, 109.7, 133.5]</t>
        </is>
      </c>
      <c r="G317" s="8" t="inlineStr">
        <is>
          <t>32</t>
        </is>
      </c>
      <c r="H317" s="8" t="n">
        <v>0.25</v>
      </c>
      <c r="I317" s="8" t="n"/>
    </row>
    <row r="318">
      <c r="A318" s="8" t="inlineStr">
        <is>
          <t>Co</t>
        </is>
      </c>
      <c r="B318" s="8" t="inlineStr">
        <is>
          <t>confined_site</t>
        </is>
      </c>
      <c r="C318" s="8" t="n"/>
      <c r="D318" s="8" t="inlineStr">
        <is>
          <t>N</t>
        </is>
      </c>
      <c r="E318" s="11" t="n">
        <v>0.0448</v>
      </c>
      <c r="F318" s="12" t="inlineStr">
        <is>
          <t>[50.7, 51.2, 61.7]</t>
        </is>
      </c>
      <c r="G318" s="8" t="inlineStr">
        <is>
          <t>43</t>
        </is>
      </c>
      <c r="H318" s="8" t="n">
        <v>0.25</v>
      </c>
      <c r="I318" s="8" t="n"/>
    </row>
    <row r="319">
      <c r="A319" s="8" t="inlineStr">
        <is>
          <t>Co</t>
        </is>
      </c>
      <c r="B319" s="8" t="inlineStr">
        <is>
          <t>confined_site</t>
        </is>
      </c>
      <c r="C319" s="8" t="n"/>
      <c r="D319" s="8" t="inlineStr">
        <is>
          <t>N-H</t>
        </is>
      </c>
      <c r="E319" s="11" t="n">
        <v>0.1462</v>
      </c>
      <c r="F319" s="12" t="inlineStr">
        <is>
          <t>[45.0, 46.0, 64.6, 72.4, 73.7]</t>
        </is>
      </c>
      <c r="G319" s="8" t="inlineStr">
        <is>
          <t>137</t>
        </is>
      </c>
      <c r="H319" s="8" t="n">
        <v>0.25</v>
      </c>
      <c r="I319" s="8" t="n"/>
    </row>
    <row r="320">
      <c r="A320" s="8" t="inlineStr">
        <is>
          <t>Co</t>
        </is>
      </c>
      <c r="B320" s="8" t="inlineStr">
        <is>
          <t>confined_site</t>
        </is>
      </c>
      <c r="C320" s="8" t="n"/>
      <c r="D320" s="8" t="inlineStr">
        <is>
          <t>N-N</t>
        </is>
      </c>
      <c r="E320" s="11" t="n">
        <v>0.7316</v>
      </c>
      <c r="F320" s="12" t="inlineStr">
        <is>
          <t>[53.0, 57.3, 63.9, 67.0, 77.0]</t>
        </is>
      </c>
      <c r="G320" s="8" t="inlineStr">
        <is>
          <t>151</t>
        </is>
      </c>
      <c r="H320" s="8" t="n">
        <v>0.25</v>
      </c>
      <c r="I320" s="8" t="n"/>
    </row>
    <row r="321">
      <c r="A321" s="8" t="inlineStr">
        <is>
          <t>Co</t>
        </is>
      </c>
      <c r="B321" s="8" t="inlineStr">
        <is>
          <t>confined_site</t>
        </is>
      </c>
      <c r="C321" s="8" t="n"/>
      <c r="D321" s="8" t="inlineStr">
        <is>
          <t>N2</t>
        </is>
      </c>
      <c r="E321" s="11" t="n">
        <v>-0.7122000000000001</v>
      </c>
      <c r="F321" s="7" t="inlineStr">
        <is>
          <t>[29.3, 30.0, 49.3, 49.6, 51.3, 151.3]</t>
        </is>
      </c>
      <c r="G321" s="8" t="inlineStr">
        <is>
          <t>79</t>
        </is>
      </c>
      <c r="H321" s="8" t="n">
        <v>0.25</v>
      </c>
      <c r="I321" s="8" t="n"/>
    </row>
    <row r="322">
      <c r="A322" s="8" t="inlineStr">
        <is>
          <t>Co</t>
        </is>
      </c>
      <c r="B322" s="8" t="inlineStr">
        <is>
          <t>confined_site</t>
        </is>
      </c>
      <c r="C322" s="8" t="n"/>
      <c r="D322" s="8" t="inlineStr">
        <is>
          <t>NH</t>
        </is>
      </c>
      <c r="E322" s="11" t="n">
        <v>-0.5282</v>
      </c>
      <c r="F322" s="7" t="inlineStr">
        <is>
          <t>[46.1, 47.9, 63.7, 80.4, 81.9, 374.0]</t>
        </is>
      </c>
      <c r="G322" s="8" t="inlineStr">
        <is>
          <t>55</t>
        </is>
      </c>
      <c r="H322" s="8" t="n">
        <v>0.25</v>
      </c>
      <c r="I322" s="8" t="n"/>
    </row>
    <row r="323">
      <c r="A323" s="8" t="inlineStr">
        <is>
          <t>Co</t>
        </is>
      </c>
      <c r="B323" s="8" t="inlineStr">
        <is>
          <t>confined_site</t>
        </is>
      </c>
      <c r="C323" s="8" t="n"/>
      <c r="D323" s="8" t="inlineStr">
        <is>
          <t>NH-H</t>
        </is>
      </c>
      <c r="E323" s="11" t="n">
        <v>0.1566</v>
      </c>
      <c r="F323" s="7" t="inlineStr">
        <is>
          <t>[17.8, 38.8, 57.6, 66.8, 82.5, 84.5, 129.8, 387.4]</t>
        </is>
      </c>
      <c r="G323" s="8" t="inlineStr">
        <is>
          <t>107</t>
        </is>
      </c>
      <c r="H323" s="8" t="n">
        <v>0.25</v>
      </c>
      <c r="I323" s="8" t="n"/>
    </row>
    <row r="324">
      <c r="A324" s="8" t="inlineStr">
        <is>
          <t>Co</t>
        </is>
      </c>
      <c r="B324" s="8" t="inlineStr">
        <is>
          <t>confined_site</t>
        </is>
      </c>
      <c r="C324" s="8" t="n"/>
      <c r="D324" s="8" t="inlineStr">
        <is>
          <t>NH2</t>
        </is>
      </c>
      <c r="E324" s="11" t="n">
        <v>-0.5788</v>
      </c>
      <c r="F324" s="7" t="inlineStr">
        <is>
          <t>[9.8, 36.7, 56.9, 64.4, 70.1, 77.3, 180.4, 391.0, 401.2]</t>
        </is>
      </c>
      <c r="G324" s="8" t="inlineStr">
        <is>
          <t>56</t>
        </is>
      </c>
      <c r="H324" s="8" t="n">
        <v>0.25</v>
      </c>
      <c r="I324" s="8" t="n"/>
    </row>
    <row r="325">
      <c r="A325" s="8" t="inlineStr">
        <is>
          <t>Co</t>
        </is>
      </c>
      <c r="B325" s="8" t="inlineStr">
        <is>
          <t>confined_site</t>
        </is>
      </c>
      <c r="C325" s="8" t="n"/>
      <c r="D325" s="8" t="inlineStr">
        <is>
          <t>NH2-H</t>
        </is>
      </c>
      <c r="E325" s="11" t="n">
        <v>0.2178</v>
      </c>
      <c r="F325" s="7" t="inlineStr">
        <is>
          <t>[18.4, 7.6, 19.8, 45.8, 62.9, 93.1, 104.3, 167.5, 177.9, 398.4, 412.0]</t>
        </is>
      </c>
      <c r="G325" s="8" t="inlineStr">
        <is>
          <t>122</t>
        </is>
      </c>
      <c r="H325" s="8" t="n">
        <v>0.25</v>
      </c>
      <c r="I325" s="8" t="n"/>
    </row>
    <row r="326">
      <c r="A326" s="8" t="inlineStr">
        <is>
          <t>Co</t>
        </is>
      </c>
      <c r="B326" s="8" t="inlineStr">
        <is>
          <t>confined_site</t>
        </is>
      </c>
      <c r="C326" s="8" t="n"/>
      <c r="D326" s="8" t="inlineStr">
        <is>
          <t>NH3</t>
        </is>
      </c>
      <c r="E326" s="11" t="n">
        <v>-0.5268</v>
      </c>
      <c r="F326" s="7" t="inlineStr">
        <is>
          <t>[20.2, 9.9, 10.9, 54.4, 76.5, 78.3, 133.5, 187.5, 188.6, 392.7, 407.4, 408.7]</t>
        </is>
      </c>
      <c r="G326" s="8" t="inlineStr">
        <is>
          <t>80</t>
        </is>
      </c>
      <c r="H326" s="8" t="n">
        <v>0.25</v>
      </c>
      <c r="I326" s="8" t="n"/>
    </row>
    <row r="327">
      <c r="A327" s="8" t="inlineStr">
        <is>
          <t>Cu</t>
        </is>
      </c>
      <c r="B327" s="8" t="inlineStr">
        <is>
          <t>confined_site</t>
        </is>
      </c>
      <c r="C327" s="8" t="n"/>
      <c r="D327" s="8" t="inlineStr">
        <is>
          <t>H</t>
        </is>
      </c>
      <c r="E327" s="11" t="n">
        <v>-0.3322</v>
      </c>
      <c r="F327" s="12" t="inlineStr">
        <is>
          <t>[99.8, 99.9, 117.4]</t>
        </is>
      </c>
      <c r="G327" s="8" t="inlineStr">
        <is>
          <t>68</t>
        </is>
      </c>
      <c r="H327" s="8" t="n">
        <v>0.25</v>
      </c>
      <c r="I327" s="8" t="n"/>
    </row>
    <row r="328">
      <c r="A328" s="8" t="inlineStr">
        <is>
          <t>Cu</t>
        </is>
      </c>
      <c r="B328" s="8" t="inlineStr">
        <is>
          <t>confined_site</t>
        </is>
      </c>
      <c r="C328" s="8" t="n"/>
      <c r="D328" s="8" t="inlineStr">
        <is>
          <t>N</t>
        </is>
      </c>
      <c r="E328" s="11" t="n">
        <v>1.0089</v>
      </c>
      <c r="F328" s="12" t="inlineStr">
        <is>
          <t>[52.2, 52.2, 54.2]</t>
        </is>
      </c>
      <c r="G328" s="8" t="inlineStr">
        <is>
          <t>70</t>
        </is>
      </c>
      <c r="H328" s="8" t="n">
        <v>0.25</v>
      </c>
      <c r="I328" s="8" t="n"/>
    </row>
    <row r="329">
      <c r="A329" s="8" t="inlineStr">
        <is>
          <t>Cu</t>
        </is>
      </c>
      <c r="B329" s="8" t="inlineStr">
        <is>
          <t>confined_site</t>
        </is>
      </c>
      <c r="C329" s="8" t="n"/>
      <c r="D329" s="8" t="inlineStr">
        <is>
          <t>N-H</t>
        </is>
      </c>
      <c r="E329" s="11" t="n">
        <v>1.3251</v>
      </c>
      <c r="F329" s="12" t="inlineStr">
        <is>
          <t>[53.9, 54.5, 55.5, 128.9, 138.7]</t>
        </is>
      </c>
      <c r="G329" s="8" t="inlineStr">
        <is>
          <t>148</t>
        </is>
      </c>
      <c r="H329" s="8" t="n">
        <v>0.25</v>
      </c>
      <c r="I329" s="8" t="n"/>
    </row>
    <row r="330">
      <c r="A330" s="8" t="inlineStr">
        <is>
          <t>Cu</t>
        </is>
      </c>
      <c r="B330" s="8" t="inlineStr">
        <is>
          <t>confined_site</t>
        </is>
      </c>
      <c r="C330" s="8" t="n"/>
      <c r="D330" s="8" t="inlineStr">
        <is>
          <t>N-N</t>
        </is>
      </c>
      <c r="E330" s="11" t="n">
        <v>2.9459</v>
      </c>
      <c r="F330" s="12" t="inlineStr">
        <is>
          <t>[53.2, 54.4, 55.7, 56.1, 57.4]</t>
        </is>
      </c>
      <c r="G330" s="8" t="inlineStr">
        <is>
          <t>163</t>
        </is>
      </c>
      <c r="H330" s="8" t="n">
        <v>0.25</v>
      </c>
      <c r="I330" s="8" t="n"/>
    </row>
    <row r="331">
      <c r="A331" s="8" t="inlineStr">
        <is>
          <t>Cu</t>
        </is>
      </c>
      <c r="B331" s="8" t="inlineStr">
        <is>
          <t>confined_site</t>
        </is>
      </c>
      <c r="C331" s="8" t="n"/>
      <c r="D331" s="8" t="inlineStr">
        <is>
          <t>N2</t>
        </is>
      </c>
      <c r="E331" s="11" t="n">
        <v>0.6104000000000001</v>
      </c>
      <c r="F331" s="12" t="inlineStr">
        <is>
          <t>[7.9, 8.4, 29.2, 29.4, 29.4, 186.7]</t>
        </is>
      </c>
      <c r="G331" s="8" t="inlineStr">
        <is>
          <t>20</t>
        </is>
      </c>
      <c r="H331" s="8" t="n">
        <v>0.25</v>
      </c>
      <c r="I331" s="8" t="n"/>
    </row>
    <row r="332">
      <c r="A332" s="8" t="inlineStr">
        <is>
          <t>Cu</t>
        </is>
      </c>
      <c r="B332" s="8" t="inlineStr">
        <is>
          <t>confined_site</t>
        </is>
      </c>
      <c r="C332" s="8" t="n"/>
      <c r="D332" s="8" t="inlineStr">
        <is>
          <t>NH</t>
        </is>
      </c>
      <c r="E332" s="11" t="n">
        <v>-0.1651</v>
      </c>
      <c r="F332" s="7" t="inlineStr">
        <is>
          <t>[49.1, 49.2, 58.7, 77.5, 77.6, 411.4]</t>
        </is>
      </c>
      <c r="G332" s="8" t="inlineStr">
        <is>
          <t>51</t>
        </is>
      </c>
      <c r="H332" s="8" t="n">
        <v>0.25</v>
      </c>
      <c r="I332" s="8" t="n"/>
    </row>
    <row r="333">
      <c r="A333" s="8" t="inlineStr">
        <is>
          <t>Cu</t>
        </is>
      </c>
      <c r="B333" s="8" t="inlineStr">
        <is>
          <t>confined_site</t>
        </is>
      </c>
      <c r="C333" s="8" t="n"/>
      <c r="D333" s="8" t="inlineStr">
        <is>
          <t>NH-H</t>
        </is>
      </c>
      <c r="E333" s="11" t="n">
        <v>0.7829</v>
      </c>
      <c r="F333" s="7" t="inlineStr">
        <is>
          <t>[15.3, 40.8, 51.8, 67.0, 74.3, 78.8, 112.1, 411.4]</t>
        </is>
      </c>
      <c r="G333" s="8" t="inlineStr">
        <is>
          <t>119</t>
        </is>
      </c>
      <c r="H333" s="8" t="n">
        <v>0.25</v>
      </c>
      <c r="I333" s="8" t="n"/>
    </row>
    <row r="334">
      <c r="A334" s="8" t="inlineStr">
        <is>
          <t>Cu</t>
        </is>
      </c>
      <c r="B334" s="8" t="inlineStr">
        <is>
          <t>confined_site</t>
        </is>
      </c>
      <c r="C334" s="8" t="n"/>
      <c r="D334" s="8" t="inlineStr">
        <is>
          <t>NH2</t>
        </is>
      </c>
      <c r="E334" s="11" t="n">
        <v>-0.5949</v>
      </c>
      <c r="F334" s="7" t="inlineStr">
        <is>
          <t>[13.4, 36.5, 50.9, 66.6, 68.6, 72.6, 181.9, 415.9, 428.1]</t>
        </is>
      </c>
      <c r="G334" s="8" t="inlineStr">
        <is>
          <t>33</t>
        </is>
      </c>
      <c r="H334" s="8" t="n">
        <v>0.25</v>
      </c>
      <c r="I334" s="8" t="n"/>
    </row>
    <row r="335">
      <c r="A335" s="8" t="inlineStr">
        <is>
          <t>Cu</t>
        </is>
      </c>
      <c r="B335" s="8" t="inlineStr">
        <is>
          <t>confined_site</t>
        </is>
      </c>
      <c r="C335" s="8" t="n"/>
      <c r="D335" s="8" t="inlineStr">
        <is>
          <t>NH2-H</t>
        </is>
      </c>
      <c r="E335" s="11" t="n">
        <v>0.3314</v>
      </c>
      <c r="F335" s="7" t="inlineStr">
        <is>
          <t>[9.9, 5.8, 22.0, 44.0, 52.0, 92.6, 101.5, 138.4, 178.4, 409.5, 423.8]</t>
        </is>
      </c>
      <c r="G335" s="8" t="inlineStr">
        <is>
          <t>134</t>
        </is>
      </c>
      <c r="H335" s="8" t="n">
        <v>0.25</v>
      </c>
      <c r="I335" s="8" t="n"/>
    </row>
    <row r="336">
      <c r="A336" s="8" t="inlineStr">
        <is>
          <t>Cu</t>
        </is>
      </c>
      <c r="B336" s="8" t="inlineStr">
        <is>
          <t>confined_site</t>
        </is>
      </c>
      <c r="C336" s="8" t="n"/>
      <c r="D336" s="8" t="inlineStr">
        <is>
          <t>NH3</t>
        </is>
      </c>
      <c r="E336" s="11" t="n">
        <v>-0.9731</v>
      </c>
      <c r="F336" s="7" t="inlineStr">
        <is>
          <t>[3.5, 8.7, 9.3, 47.6, 77.6, 77.6, 133.9, 192.7, 193.2, 407.7, 424.5, 424.9]</t>
        </is>
      </c>
      <c r="G336" s="8" t="inlineStr">
        <is>
          <t>98</t>
        </is>
      </c>
      <c r="H336" s="8" t="n">
        <v>0.25</v>
      </c>
      <c r="I336" s="8" t="n"/>
    </row>
    <row r="337">
      <c r="A337" s="8" t="inlineStr">
        <is>
          <t>Fe</t>
        </is>
      </c>
      <c r="B337" s="8" t="inlineStr">
        <is>
          <t>confined_site</t>
        </is>
      </c>
      <c r="C337" s="8" t="n"/>
      <c r="D337" s="8" t="inlineStr">
        <is>
          <t>H</t>
        </is>
      </c>
      <c r="E337" s="11" t="n">
        <v>-0.2411</v>
      </c>
      <c r="F337" s="12" t="inlineStr">
        <is>
          <t>[91.3, 112.8, 128.3]</t>
        </is>
      </c>
      <c r="G337" s="8" t="inlineStr">
        <is>
          <t>22</t>
        </is>
      </c>
      <c r="H337" s="8" t="n">
        <v>0.25</v>
      </c>
      <c r="I337" s="8" t="n"/>
    </row>
    <row r="338">
      <c r="A338" s="8" t="inlineStr">
        <is>
          <t>Fe</t>
        </is>
      </c>
      <c r="B338" s="8" t="inlineStr">
        <is>
          <t>confined_site</t>
        </is>
      </c>
      <c r="C338" s="8" t="n"/>
      <c r="D338" s="8" t="inlineStr">
        <is>
          <t>N</t>
        </is>
      </c>
      <c r="E338" s="11" t="n">
        <v>-0.8538</v>
      </c>
      <c r="F338" s="12" t="inlineStr">
        <is>
          <t>[24.4, 24.9, 92.4]</t>
        </is>
      </c>
      <c r="G338" s="8" t="inlineStr">
        <is>
          <t>72</t>
        </is>
      </c>
      <c r="H338" s="8" t="n">
        <v>0.25</v>
      </c>
      <c r="I338" s="8" t="n"/>
    </row>
    <row r="339">
      <c r="A339" s="8" t="inlineStr">
        <is>
          <t>Fe</t>
        </is>
      </c>
      <c r="B339" s="8" t="inlineStr">
        <is>
          <t>confined_site</t>
        </is>
      </c>
      <c r="C339" s="8" t="n"/>
      <c r="D339" s="8" t="inlineStr">
        <is>
          <t>N-N</t>
        </is>
      </c>
      <c r="E339" s="11" t="n">
        <v>-1.0233</v>
      </c>
      <c r="F339" s="12" t="inlineStr">
        <is>
          <t>[33.6, 44.2, 52.9, 60.4, 61.1]</t>
        </is>
      </c>
      <c r="G339" s="8" t="inlineStr">
        <is>
          <t>152</t>
        </is>
      </c>
      <c r="H339" s="8" t="n">
        <v>0.25</v>
      </c>
      <c r="I339" s="8" t="n"/>
    </row>
    <row r="340">
      <c r="A340" s="8" t="inlineStr">
        <is>
          <t>Fe</t>
        </is>
      </c>
      <c r="B340" s="8" t="inlineStr">
        <is>
          <t>confined_site</t>
        </is>
      </c>
      <c r="C340" s="8" t="n"/>
      <c r="D340" s="8" t="inlineStr">
        <is>
          <t>N2</t>
        </is>
      </c>
      <c r="E340" s="11" t="n">
        <v>-1.6819</v>
      </c>
      <c r="F340" s="7" t="inlineStr">
        <is>
          <t>[25.5, 36.8, 48.9, 52.6, 54.8, 134.1]</t>
        </is>
      </c>
      <c r="G340" s="8" t="inlineStr">
        <is>
          <t>86</t>
        </is>
      </c>
      <c r="H340" s="8" t="n">
        <v>0.25</v>
      </c>
      <c r="I340" s="8" t="n"/>
    </row>
    <row r="341">
      <c r="A341" s="8" t="inlineStr">
        <is>
          <t>Fe</t>
        </is>
      </c>
      <c r="B341" s="8" t="inlineStr">
        <is>
          <t>confined_site</t>
        </is>
      </c>
      <c r="C341" s="8" t="n"/>
      <c r="D341" s="8" t="inlineStr">
        <is>
          <t>NH</t>
        </is>
      </c>
      <c r="E341" s="11" t="n">
        <v>-1.2423</v>
      </c>
      <c r="F341" s="7" t="inlineStr">
        <is>
          <t>[3.7, 61.3, 63.3, 84.4, 105.3, 359.1]</t>
        </is>
      </c>
      <c r="G341" s="8" t="inlineStr">
        <is>
          <t>24</t>
        </is>
      </c>
      <c r="H341" s="8" t="n">
        <v>0.25</v>
      </c>
      <c r="I341" s="8" t="n"/>
    </row>
    <row r="342">
      <c r="A342" s="8" t="inlineStr">
        <is>
          <t>Fe</t>
        </is>
      </c>
      <c r="B342" s="8" t="inlineStr">
        <is>
          <t>confined_site</t>
        </is>
      </c>
      <c r="C342" s="8" t="n"/>
      <c r="D342" s="8" t="inlineStr">
        <is>
          <t>NH-H</t>
        </is>
      </c>
      <c r="E342" s="11" t="n">
        <v>-0.1253</v>
      </c>
      <c r="F342" s="7" t="inlineStr">
        <is>
          <t>[12.6, 40.4, 61.9, 79.2, 85.1, 99.3, 134.0, 368.7]</t>
        </is>
      </c>
      <c r="G342" s="8" t="inlineStr">
        <is>
          <t>108</t>
        </is>
      </c>
      <c r="H342" s="8" t="n">
        <v>0.25</v>
      </c>
      <c r="I342" s="8" t="n"/>
    </row>
    <row r="343">
      <c r="A343" s="8" t="inlineStr">
        <is>
          <t>Fe</t>
        </is>
      </c>
      <c r="B343" s="8" t="inlineStr">
        <is>
          <t>confined_site</t>
        </is>
      </c>
      <c r="C343" s="8" t="n"/>
      <c r="D343" s="8" t="inlineStr">
        <is>
          <t>NH2</t>
        </is>
      </c>
      <c r="E343" s="11" t="n">
        <v>-0.5988</v>
      </c>
      <c r="F343" s="7" t="inlineStr">
        <is>
          <t>[11.9, 39.2, 60.5, 76.2, 76.8, 83.4, 178.9, 378.7, 387.3]</t>
        </is>
      </c>
      <c r="G343" s="8" t="inlineStr">
        <is>
          <t>97</t>
        </is>
      </c>
      <c r="H343" s="8" t="n">
        <v>0.25</v>
      </c>
      <c r="I343" s="8" t="n"/>
    </row>
    <row r="344">
      <c r="A344" s="8" t="inlineStr">
        <is>
          <t>Fe</t>
        </is>
      </c>
      <c r="B344" s="8" t="inlineStr">
        <is>
          <t>confined_site</t>
        </is>
      </c>
      <c r="C344" s="8" t="n"/>
      <c r="D344" s="8" t="inlineStr">
        <is>
          <t>NH2-H</t>
        </is>
      </c>
      <c r="E344" s="11" t="n">
        <v>0.09950000000000001</v>
      </c>
      <c r="F344" s="7" t="inlineStr">
        <is>
          <t>[8.0, 14.1, 27.8, 50.7, 70.0, 90.0, 106.4, 161.6, 174.2, 380.4, 396.2]</t>
        </is>
      </c>
      <c r="G344" s="8" t="inlineStr">
        <is>
          <t>123</t>
        </is>
      </c>
      <c r="H344" s="8" t="n">
        <v>0.25</v>
      </c>
      <c r="I344" s="8" t="n"/>
    </row>
    <row r="345">
      <c r="A345" s="8" t="inlineStr">
        <is>
          <t>Fe</t>
        </is>
      </c>
      <c r="B345" s="8" t="inlineStr">
        <is>
          <t>confined_site</t>
        </is>
      </c>
      <c r="C345" s="8" t="n"/>
      <c r="D345" s="8" t="inlineStr">
        <is>
          <t>NH3</t>
        </is>
      </c>
      <c r="E345" s="11" t="n">
        <v>-0.4191</v>
      </c>
      <c r="F345" s="7" t="inlineStr">
        <is>
          <t>[11.8, 12.7, 18.0, 58.8, 74.3, 79.7, 133.3, 183.2, 186.1, 376.5, 388.3, 394.2]</t>
        </is>
      </c>
      <c r="G345" s="8" t="inlineStr">
        <is>
          <t>95</t>
        </is>
      </c>
      <c r="H345" s="8" t="n">
        <v>0.25</v>
      </c>
      <c r="I345" s="8" t="n"/>
    </row>
    <row r="346">
      <c r="A346" s="8" t="inlineStr">
        <is>
          <t>Ir</t>
        </is>
      </c>
      <c r="B346" s="8" t="inlineStr">
        <is>
          <t>confined_site</t>
        </is>
      </c>
      <c r="C346" s="8" t="n"/>
      <c r="D346" s="8" t="inlineStr">
        <is>
          <t>H</t>
        </is>
      </c>
      <c r="E346" s="11" t="n">
        <v>-0.6294</v>
      </c>
      <c r="F346" s="12" t="inlineStr">
        <is>
          <t>[59.3, 59.3, 190.3]</t>
        </is>
      </c>
      <c r="G346" s="8" t="inlineStr">
        <is>
          <t>27</t>
        </is>
      </c>
      <c r="H346" s="8" t="n">
        <v>0.25</v>
      </c>
      <c r="I346" s="8" t="n"/>
    </row>
    <row r="347">
      <c r="A347" s="8" t="inlineStr">
        <is>
          <t>Ir</t>
        </is>
      </c>
      <c r="B347" s="8" t="inlineStr">
        <is>
          <t>confined_site</t>
        </is>
      </c>
      <c r="C347" s="8" t="n"/>
      <c r="D347" s="8" t="inlineStr">
        <is>
          <t>N</t>
        </is>
      </c>
      <c r="E347" s="11" t="n">
        <v>-0.5682</v>
      </c>
      <c r="F347" s="12" t="inlineStr">
        <is>
          <t>[36.3, 36.3, 118.4]</t>
        </is>
      </c>
      <c r="G347" s="8" t="inlineStr">
        <is>
          <t>26</t>
        </is>
      </c>
      <c r="H347" s="8" t="n">
        <v>0.25</v>
      </c>
      <c r="I347" s="8" t="n"/>
    </row>
    <row r="348">
      <c r="A348" s="8" t="inlineStr">
        <is>
          <t>Ir</t>
        </is>
      </c>
      <c r="B348" s="8" t="inlineStr">
        <is>
          <t>confined_site</t>
        </is>
      </c>
      <c r="C348" s="8" t="n"/>
      <c r="D348" s="8" t="inlineStr">
        <is>
          <t>N-H</t>
        </is>
      </c>
      <c r="E348" s="11" t="n">
        <v>0.1853</v>
      </c>
      <c r="F348" s="12" t="inlineStr">
        <is>
          <t>[47.9, 48.5, 68.4, 78.8, 88.7]</t>
        </is>
      </c>
      <c r="G348" s="8" t="inlineStr">
        <is>
          <t>141</t>
        </is>
      </c>
      <c r="H348" s="8" t="n">
        <v>0.25</v>
      </c>
      <c r="I348" s="8" t="n"/>
    </row>
    <row r="349">
      <c r="A349" s="8" t="inlineStr">
        <is>
          <t>Ir</t>
        </is>
      </c>
      <c r="B349" s="8" t="inlineStr">
        <is>
          <t>confined_site</t>
        </is>
      </c>
      <c r="C349" s="8" t="n"/>
      <c r="D349" s="8" t="inlineStr">
        <is>
          <t>N-N</t>
        </is>
      </c>
      <c r="E349" s="11" t="n">
        <v>1.3752</v>
      </c>
      <c r="F349" s="12" t="inlineStr">
        <is>
          <t>[22.4, 51.6, 58.4, 58.9, 65.2]</t>
        </is>
      </c>
      <c r="G349" s="8" t="inlineStr">
        <is>
          <t>156</t>
        </is>
      </c>
      <c r="H349" s="8" t="n">
        <v>0.25</v>
      </c>
      <c r="I349" s="8" t="n"/>
    </row>
    <row r="350">
      <c r="A350" s="8" t="inlineStr">
        <is>
          <t>Ir</t>
        </is>
      </c>
      <c r="B350" s="8" t="inlineStr">
        <is>
          <t>confined_site</t>
        </is>
      </c>
      <c r="C350" s="8" t="n"/>
      <c r="D350" s="8" t="inlineStr">
        <is>
          <t>N2</t>
        </is>
      </c>
      <c r="E350" s="11" t="n">
        <v>0.2211</v>
      </c>
      <c r="F350" s="7" t="inlineStr">
        <is>
          <t>[31.3, 31.3, 55.4, 59.4, 59.4, 122.4]</t>
        </is>
      </c>
      <c r="G350" s="8" t="inlineStr">
        <is>
          <t>83</t>
        </is>
      </c>
      <c r="H350" s="8" t="n">
        <v>0.25</v>
      </c>
      <c r="I350" s="8" t="n"/>
    </row>
    <row r="351">
      <c r="A351" s="8" t="inlineStr">
        <is>
          <t>Ir</t>
        </is>
      </c>
      <c r="B351" s="8" t="inlineStr">
        <is>
          <t>confined_site</t>
        </is>
      </c>
      <c r="C351" s="8" t="n"/>
      <c r="D351" s="8" t="inlineStr">
        <is>
          <t>NH</t>
        </is>
      </c>
      <c r="E351" s="11" t="n">
        <v>-0.5252</v>
      </c>
      <c r="F351" s="7" t="inlineStr">
        <is>
          <t>[53.7, 53.7, 69.9, 93.6, 93.6, 386.3]</t>
        </is>
      </c>
      <c r="G351" s="8" t="inlineStr">
        <is>
          <t>52</t>
        </is>
      </c>
      <c r="H351" s="8" t="n">
        <v>0.25</v>
      </c>
      <c r="I351" s="8" t="n"/>
    </row>
    <row r="352">
      <c r="A352" s="8" t="inlineStr">
        <is>
          <t>Ir</t>
        </is>
      </c>
      <c r="B352" s="8" t="inlineStr">
        <is>
          <t>confined_site</t>
        </is>
      </c>
      <c r="C352" s="8" t="n"/>
      <c r="D352" s="8" t="inlineStr">
        <is>
          <t>NH-H</t>
        </is>
      </c>
      <c r="E352" s="11" t="n">
        <v>0.1476</v>
      </c>
      <c r="F352" s="7" t="inlineStr">
        <is>
          <t>[27.8, 42.9, 58.7, 70.6, 95.2, 119.2, 136.6, 376.5]</t>
        </is>
      </c>
      <c r="G352" s="8" t="inlineStr">
        <is>
          <t>112</t>
        </is>
      </c>
      <c r="H352" s="8" t="n">
        <v>0.25</v>
      </c>
      <c r="I352" s="8" t="n"/>
    </row>
    <row r="353">
      <c r="A353" s="8" t="inlineStr">
        <is>
          <t>Ir</t>
        </is>
      </c>
      <c r="B353" s="8" t="inlineStr">
        <is>
          <t>confined_site</t>
        </is>
      </c>
      <c r="C353" s="8" t="n"/>
      <c r="D353" s="8" t="inlineStr">
        <is>
          <t>NH2</t>
        </is>
      </c>
      <c r="E353" s="11" t="n">
        <v>-0.71</v>
      </c>
      <c r="F353" s="7" t="inlineStr">
        <is>
          <t>[25.9, 38.9, 66.0, 92.0, 95.2, 96.7, 181.6, 398.8, 413.1]</t>
        </is>
      </c>
      <c r="G353" s="8" t="inlineStr">
        <is>
          <t>85</t>
        </is>
      </c>
      <c r="H353" s="8" t="n">
        <v>0.25</v>
      </c>
      <c r="I353" s="8" t="n"/>
    </row>
    <row r="354">
      <c r="A354" s="8" t="inlineStr">
        <is>
          <t>Ir</t>
        </is>
      </c>
      <c r="B354" s="8" t="inlineStr">
        <is>
          <t>confined_site</t>
        </is>
      </c>
      <c r="C354" s="8" t="n"/>
      <c r="D354" s="8" t="inlineStr">
        <is>
          <t>NH2-H</t>
        </is>
      </c>
      <c r="E354" s="11" t="n">
        <v>-0.2285</v>
      </c>
      <c r="F354" s="7" t="inlineStr">
        <is>
          <t>[8.7, 27.0, 33.3, 54.0, 74.1, 120.1, 124.2, 176.1, 206.2, 407.6, 421.1]</t>
        </is>
      </c>
      <c r="G354" s="8" t="inlineStr">
        <is>
          <t>127</t>
        </is>
      </c>
      <c r="H354" s="8" t="n">
        <v>0.25</v>
      </c>
      <c r="I354" s="8" t="n"/>
    </row>
    <row r="355">
      <c r="A355" s="8" t="inlineStr">
        <is>
          <t>Ir</t>
        </is>
      </c>
      <c r="B355" s="8" t="inlineStr">
        <is>
          <t>confined_site</t>
        </is>
      </c>
      <c r="C355" s="8" t="n"/>
      <c r="D355" s="8" t="inlineStr">
        <is>
          <t>NH3</t>
        </is>
      </c>
      <c r="E355" s="11" t="n">
        <v>-1.0214</v>
      </c>
      <c r="F355" s="7" t="inlineStr">
        <is>
          <t>[13.4, 15.4, 15.5, 62.2, 100.9, 100.9, 136.4, 187.3, 187.7, 400.9, 417.5, 418.0]</t>
        </is>
      </c>
      <c r="G355" s="8" t="inlineStr">
        <is>
          <t>57</t>
        </is>
      </c>
      <c r="H355" s="8" t="n">
        <v>0.25</v>
      </c>
      <c r="I355" s="8" t="n"/>
    </row>
    <row r="356">
      <c r="A356" s="8" t="inlineStr">
        <is>
          <t>Mo</t>
        </is>
      </c>
      <c r="B356" s="8" t="inlineStr">
        <is>
          <t>confined_site</t>
        </is>
      </c>
      <c r="C356" s="8" t="n"/>
      <c r="D356" s="8" t="inlineStr">
        <is>
          <t>H</t>
        </is>
      </c>
      <c r="E356" s="11" t="n">
        <v>-0.5219</v>
      </c>
      <c r="F356" s="12" t="inlineStr">
        <is>
          <t>[96.6, 106.4, 135.6]</t>
        </is>
      </c>
      <c r="G356" s="8" t="inlineStr">
        <is>
          <t>84</t>
        </is>
      </c>
      <c r="H356" s="8" t="n">
        <v>0.25</v>
      </c>
      <c r="I356" s="8" t="n"/>
    </row>
    <row r="357">
      <c r="A357" s="8" t="inlineStr">
        <is>
          <t>Mo</t>
        </is>
      </c>
      <c r="B357" s="8" t="inlineStr">
        <is>
          <t>confined_site</t>
        </is>
      </c>
      <c r="C357" s="8" t="n"/>
      <c r="D357" s="8" t="inlineStr">
        <is>
          <t>N</t>
        </is>
      </c>
      <c r="E357" s="11" t="n">
        <v>-1.6749</v>
      </c>
      <c r="F357" s="12" t="inlineStr">
        <is>
          <t>[26.6, 45.8, 52.0]</t>
        </is>
      </c>
      <c r="G357" s="8" t="inlineStr">
        <is>
          <t>99</t>
        </is>
      </c>
      <c r="H357" s="8" t="n">
        <v>0.25</v>
      </c>
      <c r="I357" s="8" t="n"/>
    </row>
    <row r="358">
      <c r="A358" s="8" t="inlineStr">
        <is>
          <t>Mo</t>
        </is>
      </c>
      <c r="B358" s="8" t="inlineStr">
        <is>
          <t>confined_site</t>
        </is>
      </c>
      <c r="C358" s="8" t="n"/>
      <c r="D358" s="8" t="inlineStr">
        <is>
          <t>N-H</t>
        </is>
      </c>
      <c r="E358" s="11" t="n">
        <v>-1.1907</v>
      </c>
      <c r="F358" s="12" t="inlineStr">
        <is>
          <t>[37.9, 42.7, 63.8, 82.9, 91.5]</t>
        </is>
      </c>
      <c r="G358" s="8" t="inlineStr">
        <is>
          <t>143</t>
        </is>
      </c>
      <c r="H358" s="8" t="n">
        <v>0.25</v>
      </c>
      <c r="I358" s="8" t="n"/>
    </row>
    <row r="359">
      <c r="A359" s="8" t="inlineStr">
        <is>
          <t>Mo</t>
        </is>
      </c>
      <c r="B359" s="8" t="inlineStr">
        <is>
          <t>confined_site</t>
        </is>
      </c>
      <c r="C359" s="8" t="n"/>
      <c r="D359" s="8" t="inlineStr">
        <is>
          <t>N-N</t>
        </is>
      </c>
      <c r="E359" s="11" t="n">
        <v>-1.6717</v>
      </c>
      <c r="F359" s="12" t="inlineStr">
        <is>
          <t>[41.3, 45.5, 47.0, 47.9, 61.5]</t>
        </is>
      </c>
      <c r="G359" s="8" t="inlineStr">
        <is>
          <t>158</t>
        </is>
      </c>
      <c r="H359" s="8" t="n">
        <v>0.25</v>
      </c>
      <c r="I359" s="8" t="n"/>
    </row>
    <row r="360">
      <c r="A360" s="8" t="inlineStr">
        <is>
          <t>Mo</t>
        </is>
      </c>
      <c r="B360" s="8" t="inlineStr">
        <is>
          <t>confined_site</t>
        </is>
      </c>
      <c r="C360" s="8" t="n"/>
      <c r="D360" s="8" t="inlineStr">
        <is>
          <t>N2</t>
        </is>
      </c>
      <c r="E360" s="11" t="n">
        <v>-2.2074</v>
      </c>
      <c r="F360" s="7" t="inlineStr">
        <is>
          <t>[33.6, 38.0, 44.8, 52.2, 61.0, 118.3]</t>
        </is>
      </c>
      <c r="G360" s="8" t="inlineStr">
        <is>
          <t>40</t>
        </is>
      </c>
      <c r="H360" s="8" t="n">
        <v>0.25</v>
      </c>
      <c r="I360" s="8" t="n"/>
    </row>
    <row r="361">
      <c r="A361" s="8" t="inlineStr">
        <is>
          <t>Mo</t>
        </is>
      </c>
      <c r="B361" s="8" t="inlineStr">
        <is>
          <t>confined_site</t>
        </is>
      </c>
      <c r="C361" s="8" t="n"/>
      <c r="D361" s="8" t="inlineStr">
        <is>
          <t>NH</t>
        </is>
      </c>
      <c r="E361" s="11" t="n">
        <v>-1.6274</v>
      </c>
      <c r="F361" s="7" t="inlineStr">
        <is>
          <t>[38.3, 44.6, 64.5, 82.1, 89.1, 358.6]</t>
        </is>
      </c>
      <c r="G361" s="8" t="inlineStr">
        <is>
          <t>73</t>
        </is>
      </c>
      <c r="H361" s="8" t="n">
        <v>0.25</v>
      </c>
      <c r="I361" s="8" t="n"/>
    </row>
    <row r="362">
      <c r="A362" s="8" t="inlineStr">
        <is>
          <t>Mo</t>
        </is>
      </c>
      <c r="B362" s="8" t="inlineStr">
        <is>
          <t>confined_site</t>
        </is>
      </c>
      <c r="C362" s="8" t="n"/>
      <c r="D362" s="8" t="inlineStr">
        <is>
          <t>NH-H</t>
        </is>
      </c>
      <c r="E362" s="11" t="n">
        <v>-0.7631</v>
      </c>
      <c r="F362" s="7" t="inlineStr">
        <is>
          <t>[19.0, 39.5, 53.8, 77.3, 93.1, 103.6, 136.5, 379.5]</t>
        </is>
      </c>
      <c r="G362" s="8" t="inlineStr">
        <is>
          <t>114</t>
        </is>
      </c>
      <c r="H362" s="8" t="n">
        <v>0.25</v>
      </c>
      <c r="I362" s="8" t="n"/>
    </row>
    <row r="363">
      <c r="A363" s="8" t="inlineStr">
        <is>
          <t>Mo</t>
        </is>
      </c>
      <c r="B363" s="8" t="inlineStr">
        <is>
          <t>confined_site</t>
        </is>
      </c>
      <c r="C363" s="8" t="n"/>
      <c r="D363" s="8" t="inlineStr">
        <is>
          <t>NH2</t>
        </is>
      </c>
      <c r="E363" s="11" t="n">
        <v>-1.2245</v>
      </c>
      <c r="F363" s="7" t="inlineStr">
        <is>
          <t>[18.1, 37.2, 55.0, 71.0, 81.5, 83.9, 175.0, 374.1, 385.4]</t>
        </is>
      </c>
      <c r="G363" s="8" t="inlineStr">
        <is>
          <t>81</t>
        </is>
      </c>
      <c r="H363" s="8" t="n">
        <v>0.25</v>
      </c>
      <c r="I363" s="8" t="n"/>
    </row>
    <row r="364">
      <c r="A364" s="8" t="inlineStr">
        <is>
          <t>Mo</t>
        </is>
      </c>
      <c r="B364" s="8" t="inlineStr">
        <is>
          <t>confined_site</t>
        </is>
      </c>
      <c r="C364" s="8" t="n"/>
      <c r="D364" s="8" t="inlineStr">
        <is>
          <t>NH2-H</t>
        </is>
      </c>
      <c r="E364" s="11" t="n">
        <v>-0.0512</v>
      </c>
      <c r="F364" s="7" t="inlineStr">
        <is>
          <t>[13.5, 22.1, 27.3, 60.2, 76.2, 88.3, 105.4, 158.4, 170.8, 379.0, 396.0]</t>
        </is>
      </c>
      <c r="G364" s="8" t="inlineStr">
        <is>
          <t>129</t>
        </is>
      </c>
      <c r="H364" s="8" t="n">
        <v>0.25</v>
      </c>
      <c r="I364" s="8" t="n"/>
    </row>
    <row r="365">
      <c r="A365" s="8" t="inlineStr">
        <is>
          <t>Mo</t>
        </is>
      </c>
      <c r="B365" s="8" t="inlineStr">
        <is>
          <t>confined_site</t>
        </is>
      </c>
      <c r="C365" s="8" t="n"/>
      <c r="D365" s="8" t="inlineStr">
        <is>
          <t>NH3</t>
        </is>
      </c>
      <c r="E365" s="11" t="n">
        <v>-0.4382</v>
      </c>
      <c r="F365" s="7" t="inlineStr">
        <is>
          <t>[11.4, 13.5, 22.5, 59.5, 76.9, 87.8, 109.2, 174.2, 178.2, 366.4, 383.9, 389.4]</t>
        </is>
      </c>
      <c r="G365" s="8" t="inlineStr">
        <is>
          <t>94</t>
        </is>
      </c>
      <c r="H365" s="8" t="n">
        <v>0.25</v>
      </c>
      <c r="I365" s="8" t="n"/>
    </row>
    <row r="366">
      <c r="A366" s="8" t="inlineStr">
        <is>
          <t>Ni</t>
        </is>
      </c>
      <c r="B366" s="8" t="inlineStr">
        <is>
          <t>confined_site</t>
        </is>
      </c>
      <c r="C366" s="8" t="n"/>
      <c r="D366" s="8" t="inlineStr">
        <is>
          <t>H</t>
        </is>
      </c>
      <c r="E366" s="11" t="n">
        <v>-0.2719</v>
      </c>
      <c r="F366" s="12" t="inlineStr">
        <is>
          <t>[103.2, 103.2, 130.5]</t>
        </is>
      </c>
      <c r="G366" s="8" t="inlineStr">
        <is>
          <t>19</t>
        </is>
      </c>
      <c r="H366" s="8" t="n">
        <v>0.25</v>
      </c>
      <c r="I366" s="8" t="n"/>
    </row>
    <row r="367">
      <c r="A367" s="8" t="inlineStr">
        <is>
          <t>Ni</t>
        </is>
      </c>
      <c r="B367" s="8" t="inlineStr">
        <is>
          <t>confined_site</t>
        </is>
      </c>
      <c r="C367" s="8" t="n"/>
      <c r="D367" s="8" t="inlineStr">
        <is>
          <t>N</t>
        </is>
      </c>
      <c r="E367" s="11" t="n">
        <v>0.2309</v>
      </c>
      <c r="F367" s="12" t="inlineStr">
        <is>
          <t>[56.0, 56.0, 61.4]</t>
        </is>
      </c>
      <c r="G367" s="8" t="inlineStr">
        <is>
          <t>91</t>
        </is>
      </c>
      <c r="H367" s="8" t="n">
        <v>0.25</v>
      </c>
      <c r="I367" s="8" t="n"/>
    </row>
    <row r="368">
      <c r="A368" s="8" t="inlineStr">
        <is>
          <t>Ni</t>
        </is>
      </c>
      <c r="B368" s="8" t="inlineStr">
        <is>
          <t>confined_site</t>
        </is>
      </c>
      <c r="C368" s="8" t="n"/>
      <c r="D368" s="8" t="inlineStr">
        <is>
          <t>N-H</t>
        </is>
      </c>
      <c r="E368" s="11" t="n">
        <v>0.2963</v>
      </c>
      <c r="F368" s="12" t="inlineStr">
        <is>
          <t>[52.8, 53.6, 68.1, 70.3, 75.7]</t>
        </is>
      </c>
      <c r="G368" s="8" t="inlineStr">
        <is>
          <t>149</t>
        </is>
      </c>
      <c r="H368" s="8" t="n">
        <v>0.25</v>
      </c>
      <c r="I368" s="8" t="n"/>
    </row>
    <row r="369">
      <c r="A369" s="8" t="inlineStr">
        <is>
          <t>Ni</t>
        </is>
      </c>
      <c r="B369" s="8" t="inlineStr">
        <is>
          <t>confined_site</t>
        </is>
      </c>
      <c r="C369" s="8" t="n"/>
      <c r="D369" s="8" t="inlineStr">
        <is>
          <t>N-N</t>
        </is>
      </c>
      <c r="E369" s="11" t="n">
        <v>1.0797</v>
      </c>
      <c r="F369" s="12" t="inlineStr">
        <is>
          <t>[46.5, 57.7, 59.3, 59.8, 65.1]</t>
        </is>
      </c>
      <c r="G369" s="8" t="inlineStr">
        <is>
          <t>164</t>
        </is>
      </c>
      <c r="H369" s="8" t="n">
        <v>0.25</v>
      </c>
      <c r="I369" s="8" t="n"/>
    </row>
    <row r="370">
      <c r="A370" s="8" t="inlineStr">
        <is>
          <t>Ni</t>
        </is>
      </c>
      <c r="B370" s="8" t="inlineStr">
        <is>
          <t>confined_site</t>
        </is>
      </c>
      <c r="C370" s="8" t="n"/>
      <c r="D370" s="8" t="inlineStr">
        <is>
          <t>N2</t>
        </is>
      </c>
      <c r="E370" s="11" t="n">
        <v>-0.5716</v>
      </c>
      <c r="F370" s="7" t="inlineStr">
        <is>
          <t>[34.7, 34.7, 51.2, 51.2, 54.0, 155.1]</t>
        </is>
      </c>
      <c r="G370" s="8" t="inlineStr">
        <is>
          <t>31</t>
        </is>
      </c>
      <c r="H370" s="8" t="n">
        <v>0.25</v>
      </c>
      <c r="I370" s="8" t="n"/>
    </row>
    <row r="371">
      <c r="A371" s="8" t="inlineStr">
        <is>
          <t>Ni</t>
        </is>
      </c>
      <c r="B371" s="8" t="inlineStr">
        <is>
          <t>confined_site</t>
        </is>
      </c>
      <c r="C371" s="8" t="n"/>
      <c r="D371" s="8" t="inlineStr">
        <is>
          <t>NH</t>
        </is>
      </c>
      <c r="E371" s="11" t="n">
        <v>-0.3629</v>
      </c>
      <c r="F371" s="7" t="inlineStr">
        <is>
          <t>[52.8, 52.9, 68.0, 81.3, 81.4, 372.4]</t>
        </is>
      </c>
      <c r="G371" s="8" t="inlineStr">
        <is>
          <t>50</t>
        </is>
      </c>
      <c r="H371" s="8" t="n">
        <v>0.25</v>
      </c>
      <c r="I371" s="8" t="n"/>
    </row>
    <row r="372">
      <c r="A372" s="8" t="inlineStr">
        <is>
          <t>Ni</t>
        </is>
      </c>
      <c r="B372" s="8" t="inlineStr">
        <is>
          <t>confined_site</t>
        </is>
      </c>
      <c r="C372" s="8" t="n"/>
      <c r="D372" s="8" t="inlineStr">
        <is>
          <t>NH-H</t>
        </is>
      </c>
      <c r="E372" s="11" t="n">
        <v>0.3337</v>
      </c>
      <c r="F372" s="7" t="inlineStr">
        <is>
          <t>[16.0, 42.5, 59.1, 68.3, 79.2, 83.7, 126.1, 382.7]</t>
        </is>
      </c>
      <c r="G372" s="8" t="inlineStr">
        <is>
          <t>120</t>
        </is>
      </c>
      <c r="H372" s="8" t="n">
        <v>0.25</v>
      </c>
      <c r="I372" s="8" t="n"/>
    </row>
    <row r="373">
      <c r="A373" s="8" t="inlineStr">
        <is>
          <t>Ni</t>
        </is>
      </c>
      <c r="B373" s="8" t="inlineStr">
        <is>
          <t>confined_site</t>
        </is>
      </c>
      <c r="C373" s="8" t="n"/>
      <c r="D373" s="8" t="inlineStr">
        <is>
          <t>NH2</t>
        </is>
      </c>
      <c r="E373" s="11" t="n">
        <v>-0.4215</v>
      </c>
      <c r="F373" s="7" t="inlineStr">
        <is>
          <t>[13.8, 40.8, 59.4, 66.6, 72.2, 77.1, 177.5, 391.4, 403.1]</t>
        </is>
      </c>
      <c r="G373" s="8" t="inlineStr">
        <is>
          <t>29</t>
        </is>
      </c>
      <c r="H373" s="8" t="n">
        <v>0.25</v>
      </c>
      <c r="I373" s="8" t="n"/>
    </row>
    <row r="374">
      <c r="A374" s="8" t="inlineStr">
        <is>
          <t>Ni</t>
        </is>
      </c>
      <c r="B374" s="8" t="inlineStr">
        <is>
          <t>confined_site</t>
        </is>
      </c>
      <c r="C374" s="8" t="n"/>
      <c r="D374" s="8" t="inlineStr">
        <is>
          <t>NH2-H</t>
        </is>
      </c>
      <c r="E374" s="11" t="n">
        <v>0.2698</v>
      </c>
      <c r="F374" s="7" t="inlineStr">
        <is>
          <t>[10.2, 12.1, 22.9, 50.5, 65.7, 99.1, 108.6, 162.5, 175.3, 397.8, 412.3]</t>
        </is>
      </c>
      <c r="G374" s="8" t="inlineStr">
        <is>
          <t>135</t>
        </is>
      </c>
      <c r="H374" s="8" t="n">
        <v>0.25</v>
      </c>
      <c r="I374" s="8" t="n"/>
    </row>
    <row r="375">
      <c r="A375" s="8" t="inlineStr">
        <is>
          <t>Ni</t>
        </is>
      </c>
      <c r="B375" s="8" t="inlineStr">
        <is>
          <t>confined_site</t>
        </is>
      </c>
      <c r="C375" s="8" t="n"/>
      <c r="D375" s="8" t="inlineStr">
        <is>
          <t>NH3</t>
        </is>
      </c>
      <c r="E375" s="11" t="n">
        <v>-0.4965</v>
      </c>
      <c r="F375" s="7" t="inlineStr">
        <is>
          <t>[6.3, 12.0, 12.3, 56.8, 82.5, 82.6, 127.1, 186.8, 187.2, 392.9, 409.3, 409.7]</t>
        </is>
      </c>
      <c r="G375" s="8" t="inlineStr">
        <is>
          <t>63</t>
        </is>
      </c>
      <c r="H375" s="8" t="n">
        <v>0.25</v>
      </c>
      <c r="I375" s="8" t="n"/>
    </row>
    <row r="376">
      <c r="A376" s="8" t="n"/>
      <c r="B376" s="8" t="n"/>
      <c r="C376" s="8" t="inlineStr">
        <is>
          <t>gas</t>
        </is>
      </c>
      <c r="D376" s="8" t="inlineStr">
        <is>
          <t>H2</t>
        </is>
      </c>
      <c r="E376" s="11" t="n">
        <v>0</v>
      </c>
      <c r="F376" s="12" t="inlineStr">
        <is>
          <t>[550]</t>
        </is>
      </c>
      <c r="G376" s="8" t="inlineStr">
        <is>
          <t>1</t>
        </is>
      </c>
      <c r="H376" s="8" t="n">
        <v>0</v>
      </c>
      <c r="I376" s="8" t="n"/>
    </row>
    <row r="377">
      <c r="A377" s="8" t="n"/>
      <c r="B377" s="8" t="n"/>
      <c r="C377" s="8" t="inlineStr">
        <is>
          <t>gas</t>
        </is>
      </c>
      <c r="D377" s="8" t="inlineStr">
        <is>
          <t>NH3</t>
        </is>
      </c>
      <c r="E377" s="11" t="n">
        <v>-0.7411</v>
      </c>
      <c r="F377" s="7" t="inlineStr">
        <is>
          <t>[435.8, 435.56, 420.43, 200.36, 200.23, 125.47]</t>
        </is>
      </c>
      <c r="G377" s="8" t="inlineStr">
        <is>
          <t>2</t>
        </is>
      </c>
      <c r="H377" s="8" t="n">
        <v>0</v>
      </c>
      <c r="I377" s="8" t="n"/>
    </row>
    <row r="378">
      <c r="A378" s="8" t="n"/>
      <c r="B378" s="8" t="n"/>
      <c r="C378" s="8" t="inlineStr">
        <is>
          <t>gas</t>
        </is>
      </c>
      <c r="D378" s="8" t="inlineStr">
        <is>
          <t>N2</t>
        </is>
      </c>
      <c r="E378" s="11" t="n">
        <v>0</v>
      </c>
      <c r="F378" s="12" t="inlineStr">
        <is>
          <t>[340]</t>
        </is>
      </c>
      <c r="G378" s="8" t="inlineStr">
        <is>
          <t>3</t>
        </is>
      </c>
      <c r="H378" s="8" t="n">
        <v>0</v>
      </c>
      <c r="I378" s="8" t="n"/>
    </row>
    <row r="379">
      <c r="A379" s="8" t="inlineStr">
        <is>
          <t>Os</t>
        </is>
      </c>
      <c r="B379" s="8" t="inlineStr">
        <is>
          <t>confined_site</t>
        </is>
      </c>
      <c r="C379" s="8" t="n"/>
      <c r="D379" s="8" t="inlineStr">
        <is>
          <t>H</t>
        </is>
      </c>
      <c r="E379" s="11" t="n">
        <v>-0.3589</v>
      </c>
      <c r="F379" s="12" t="inlineStr">
        <is>
          <t>[65.9, 66.4, 80.2]</t>
        </is>
      </c>
      <c r="G379" s="8" t="inlineStr">
        <is>
          <t>44</t>
        </is>
      </c>
      <c r="H379" s="8" t="n">
        <v>0.25</v>
      </c>
      <c r="I379" s="8" t="n"/>
    </row>
    <row r="380">
      <c r="A380" s="8" t="inlineStr">
        <is>
          <t>Os</t>
        </is>
      </c>
      <c r="B380" s="8" t="inlineStr">
        <is>
          <t>confined_site</t>
        </is>
      </c>
      <c r="C380" s="8" t="n"/>
      <c r="D380" s="8" t="inlineStr">
        <is>
          <t>N</t>
        </is>
      </c>
      <c r="E380" s="11" t="n">
        <v>-0.5652</v>
      </c>
      <c r="F380" s="12" t="inlineStr">
        <is>
          <t>[38.0, 39.3, 95.9]</t>
        </is>
      </c>
      <c r="G380" s="8" t="inlineStr">
        <is>
          <t>37</t>
        </is>
      </c>
      <c r="H380" s="8" t="n">
        <v>0.25</v>
      </c>
      <c r="I380" s="8" t="n"/>
    </row>
    <row r="381">
      <c r="A381" s="8" t="inlineStr">
        <is>
          <t>Os</t>
        </is>
      </c>
      <c r="B381" s="8" t="inlineStr">
        <is>
          <t>confined_site</t>
        </is>
      </c>
      <c r="C381" s="8" t="n"/>
      <c r="D381" s="8" t="inlineStr">
        <is>
          <t>N-H</t>
        </is>
      </c>
      <c r="E381" s="11" t="n">
        <v>-0.3567</v>
      </c>
      <c r="F381" s="12" t="inlineStr">
        <is>
          <t>[48.0, 49.8, 59.9, 61.2, 70.8]</t>
        </is>
      </c>
      <c r="G381" s="8" t="inlineStr">
        <is>
          <t>138</t>
        </is>
      </c>
      <c r="H381" s="8" t="n">
        <v>0.25</v>
      </c>
      <c r="I381" s="8" t="n"/>
    </row>
    <row r="382">
      <c r="A382" s="8" t="inlineStr">
        <is>
          <t>Os</t>
        </is>
      </c>
      <c r="B382" s="8" t="inlineStr">
        <is>
          <t>confined_site</t>
        </is>
      </c>
      <c r="C382" s="8" t="n"/>
      <c r="D382" s="8" t="inlineStr">
        <is>
          <t>N-N</t>
        </is>
      </c>
      <c r="E382" s="11" t="n">
        <v>0.469</v>
      </c>
      <c r="F382" s="12" t="inlineStr">
        <is>
          <t>[60.8, 63.8, 70.4, 71.4, 74.6]</t>
        </is>
      </c>
      <c r="G382" s="8" t="inlineStr">
        <is>
          <t>153</t>
        </is>
      </c>
      <c r="H382" s="8" t="n">
        <v>0.25</v>
      </c>
      <c r="I382" s="8" t="n"/>
    </row>
    <row r="383">
      <c r="A383" s="8" t="inlineStr">
        <is>
          <t>Os</t>
        </is>
      </c>
      <c r="B383" s="8" t="inlineStr">
        <is>
          <t>confined_site</t>
        </is>
      </c>
      <c r="C383" s="8" t="n"/>
      <c r="D383" s="8" t="inlineStr">
        <is>
          <t>N2</t>
        </is>
      </c>
      <c r="E383" s="11" t="n">
        <v>-0.8347</v>
      </c>
      <c r="F383" s="7" t="inlineStr">
        <is>
          <t>[46.7, 47.0, 62.8, 66.7, 67.1, 117.6]</t>
        </is>
      </c>
      <c r="G383" s="8" t="inlineStr">
        <is>
          <t>87</t>
        </is>
      </c>
      <c r="H383" s="8" t="n">
        <v>0.25</v>
      </c>
      <c r="I383" s="8" t="n"/>
    </row>
    <row r="384">
      <c r="A384" s="8" t="inlineStr">
        <is>
          <t>Os</t>
        </is>
      </c>
      <c r="B384" s="8" t="inlineStr">
        <is>
          <t>confined_site</t>
        </is>
      </c>
      <c r="C384" s="8" t="n"/>
      <c r="D384" s="8" t="inlineStr">
        <is>
          <t>NH</t>
        </is>
      </c>
      <c r="E384" s="11" t="n">
        <v>-0.8048999999999999</v>
      </c>
      <c r="F384" s="7" t="inlineStr">
        <is>
          <t>[57.1, 58.5, 71.6, 91.7, 93.7, 346.2]</t>
        </is>
      </c>
      <c r="G384" s="8" t="inlineStr">
        <is>
          <t>90</t>
        </is>
      </c>
      <c r="H384" s="8" t="n">
        <v>0.25</v>
      </c>
      <c r="I384" s="8" t="n"/>
    </row>
    <row r="385">
      <c r="A385" s="8" t="inlineStr">
        <is>
          <t>Os</t>
        </is>
      </c>
      <c r="B385" s="8" t="inlineStr">
        <is>
          <t>confined_site</t>
        </is>
      </c>
      <c r="C385" s="8" t="n"/>
      <c r="D385" s="8" t="inlineStr">
        <is>
          <t>NH-H</t>
        </is>
      </c>
      <c r="E385" s="11" t="n">
        <v>0.1607</v>
      </c>
      <c r="F385" s="7" t="inlineStr">
        <is>
          <t>[23.5, 44.0, 65.8, 75.8, 90.7, 93.9, 140.4, 355.9]</t>
        </is>
      </c>
      <c r="G385" s="8" t="inlineStr">
        <is>
          <t>109</t>
        </is>
      </c>
      <c r="H385" s="8" t="n">
        <v>0.25</v>
      </c>
      <c r="I385" s="8" t="n"/>
    </row>
    <row r="386">
      <c r="A386" s="8" t="inlineStr">
        <is>
          <t>Os</t>
        </is>
      </c>
      <c r="B386" s="8" t="inlineStr">
        <is>
          <t>confined_site</t>
        </is>
      </c>
      <c r="C386" s="8" t="n"/>
      <c r="D386" s="8" t="inlineStr">
        <is>
          <t>NH2</t>
        </is>
      </c>
      <c r="E386" s="11" t="n">
        <v>-0.5351</v>
      </c>
      <c r="F386" s="7" t="inlineStr">
        <is>
          <t>[6.1, 30.7, 51.6, 64.2, 123.3, 127.2, 171.0, 397.2, 407.4]</t>
        </is>
      </c>
      <c r="G386" s="8" t="inlineStr">
        <is>
          <t>35</t>
        </is>
      </c>
      <c r="H386" s="8" t="n">
        <v>0.25</v>
      </c>
      <c r="I386" s="8" t="n"/>
    </row>
    <row r="387">
      <c r="A387" s="8" t="inlineStr">
        <is>
          <t>Os</t>
        </is>
      </c>
      <c r="B387" s="8" t="inlineStr">
        <is>
          <t>confined_site</t>
        </is>
      </c>
      <c r="C387" s="8" t="n"/>
      <c r="D387" s="8" t="inlineStr">
        <is>
          <t>NH2-H</t>
        </is>
      </c>
      <c r="E387" s="11" t="n">
        <v>0.3324</v>
      </c>
      <c r="F387" s="7" t="inlineStr">
        <is>
          <t>[4.6, 25.4, 31.3, 67.4, 80.9, 117.3, 124.7, 170.6, 182.4, 395.5, 409.9]</t>
        </is>
      </c>
      <c r="G387" s="8" t="inlineStr">
        <is>
          <t>124</t>
        </is>
      </c>
      <c r="H387" s="8" t="n">
        <v>0.25</v>
      </c>
      <c r="I387" s="8" t="n"/>
    </row>
    <row r="388">
      <c r="A388" s="8" t="inlineStr">
        <is>
          <t>Os</t>
        </is>
      </c>
      <c r="B388" s="8" t="inlineStr">
        <is>
          <t>confined_site</t>
        </is>
      </c>
      <c r="C388" s="8" t="n"/>
      <c r="D388" s="8" t="inlineStr">
        <is>
          <t>NH3</t>
        </is>
      </c>
      <c r="E388" s="11" t="n">
        <v>-0.1495</v>
      </c>
      <c r="F388" s="7" t="inlineStr">
        <is>
          <t>[19.1, 20.4, 20.8, 54.9, 100.4, 101.7, 106.1, 172.9, 174.8, 380.6, 400.5, 403.4]</t>
        </is>
      </c>
      <c r="G388" s="8" t="inlineStr">
        <is>
          <t>92</t>
        </is>
      </c>
      <c r="H388" s="8" t="n">
        <v>0.25</v>
      </c>
      <c r="I388" s="8" t="n"/>
    </row>
    <row r="389">
      <c r="A389" s="8" t="inlineStr">
        <is>
          <t>Pd</t>
        </is>
      </c>
      <c r="B389" s="8" t="inlineStr">
        <is>
          <t>confined_site</t>
        </is>
      </c>
      <c r="C389" s="8" t="n"/>
      <c r="D389" s="8" t="inlineStr">
        <is>
          <t>H</t>
        </is>
      </c>
      <c r="E389" s="11" t="n">
        <v>-0.3142</v>
      </c>
      <c r="F389" s="12" t="inlineStr">
        <is>
          <t>[94.3, 94.4, 112.5]</t>
        </is>
      </c>
      <c r="G389" s="8" t="inlineStr">
        <is>
          <t>76</t>
        </is>
      </c>
      <c r="H389" s="8" t="n">
        <v>0.25</v>
      </c>
      <c r="I389" s="8" t="n"/>
    </row>
    <row r="390">
      <c r="A390" s="8" t="inlineStr">
        <is>
          <t>Pd</t>
        </is>
      </c>
      <c r="B390" s="8" t="inlineStr">
        <is>
          <t>confined_site</t>
        </is>
      </c>
      <c r="C390" s="8" t="n"/>
      <c r="D390" s="8" t="inlineStr">
        <is>
          <t>N</t>
        </is>
      </c>
      <c r="E390" s="11" t="n">
        <v>0.7809</v>
      </c>
      <c r="F390" s="12" t="inlineStr">
        <is>
          <t>[56.0, 57.0, 57.0]</t>
        </is>
      </c>
      <c r="G390" s="8" t="inlineStr">
        <is>
          <t>69</t>
        </is>
      </c>
      <c r="H390" s="8" t="n">
        <v>0.25</v>
      </c>
      <c r="I390" s="8" t="n"/>
    </row>
    <row r="391">
      <c r="A391" s="8" t="inlineStr">
        <is>
          <t>Pd</t>
        </is>
      </c>
      <c r="B391" s="8" t="inlineStr">
        <is>
          <t>confined_site</t>
        </is>
      </c>
      <c r="C391" s="8" t="n"/>
      <c r="D391" s="8" t="inlineStr">
        <is>
          <t>N-H</t>
        </is>
      </c>
      <c r="E391" s="11" t="n">
        <v>1.0782</v>
      </c>
      <c r="F391" s="12" t="inlineStr">
        <is>
          <t>[32.5, 51.2, 54.1, 59.0, 200.5]</t>
        </is>
      </c>
      <c r="G391" s="8" t="inlineStr">
        <is>
          <t>147</t>
        </is>
      </c>
      <c r="H391" s="8" t="n">
        <v>0.25</v>
      </c>
      <c r="I391" s="8" t="n"/>
    </row>
    <row r="392">
      <c r="A392" s="8" t="inlineStr">
        <is>
          <t>Pd</t>
        </is>
      </c>
      <c r="B392" s="8" t="inlineStr">
        <is>
          <t>confined_site</t>
        </is>
      </c>
      <c r="C392" s="8" t="n"/>
      <c r="D392" s="8" t="inlineStr">
        <is>
          <t>N-N</t>
        </is>
      </c>
      <c r="E392" s="11" t="n">
        <v>2.2551</v>
      </c>
      <c r="F392" s="12" t="inlineStr">
        <is>
          <t>[43.0, 54.4, 55.7, 56.6, 58.1]</t>
        </is>
      </c>
      <c r="G392" s="8" t="inlineStr">
        <is>
          <t>162</t>
        </is>
      </c>
      <c r="H392" s="8" t="n">
        <v>0.25</v>
      </c>
      <c r="I392" s="8" t="n"/>
    </row>
    <row r="393">
      <c r="A393" s="8" t="inlineStr">
        <is>
          <t>Pd</t>
        </is>
      </c>
      <c r="B393" s="8" t="inlineStr">
        <is>
          <t>confined_site</t>
        </is>
      </c>
      <c r="C393" s="8" t="n"/>
      <c r="D393" s="8" t="inlineStr">
        <is>
          <t>N2</t>
        </is>
      </c>
      <c r="E393" s="11" t="n">
        <v>-0.0554</v>
      </c>
      <c r="F393" s="7" t="inlineStr">
        <is>
          <t>[14.5, 14.5, 31.6, 41.7, 41.7, 199.6]</t>
        </is>
      </c>
      <c r="G393" s="8" t="inlineStr">
        <is>
          <t>71</t>
        </is>
      </c>
      <c r="H393" s="8" t="n">
        <v>0.25</v>
      </c>
      <c r="I393" s="8" t="n"/>
    </row>
    <row r="394">
      <c r="A394" s="8" t="inlineStr">
        <is>
          <t>Pd</t>
        </is>
      </c>
      <c r="B394" s="8" t="inlineStr">
        <is>
          <t>confined_site</t>
        </is>
      </c>
      <c r="C394" s="8" t="n"/>
      <c r="D394" s="8" t="inlineStr">
        <is>
          <t>NH</t>
        </is>
      </c>
      <c r="E394" s="11" t="n">
        <v>0.0179</v>
      </c>
      <c r="F394" s="7" t="inlineStr">
        <is>
          <t>[50.1, 50.1, 57.8, 89.2, 89.2, 392.5]</t>
        </is>
      </c>
      <c r="G394" s="8" t="inlineStr">
        <is>
          <t>47</t>
        </is>
      </c>
      <c r="H394" s="8" t="n">
        <v>0.25</v>
      </c>
      <c r="I394" s="8" t="n"/>
    </row>
    <row r="395">
      <c r="A395" s="8" t="inlineStr">
        <is>
          <t>Pd</t>
        </is>
      </c>
      <c r="B395" s="8" t="inlineStr">
        <is>
          <t>confined_site</t>
        </is>
      </c>
      <c r="C395" s="8" t="n"/>
      <c r="D395" s="8" t="inlineStr">
        <is>
          <t>NH-H</t>
        </is>
      </c>
      <c r="E395" s="11" t="n">
        <v>0.6778</v>
      </c>
      <c r="F395" s="7" t="inlineStr">
        <is>
          <t>[17.2, 38.8, 48.6, 50.7, 69.7, 87.6, 109.7, 397.1]</t>
        </is>
      </c>
      <c r="G395" s="8" t="inlineStr">
        <is>
          <t>118</t>
        </is>
      </c>
      <c r="H395" s="8" t="n">
        <v>0.25</v>
      </c>
      <c r="I395" s="8" t="n"/>
    </row>
    <row r="396">
      <c r="A396" s="8" t="inlineStr">
        <is>
          <t>Pd</t>
        </is>
      </c>
      <c r="B396" s="8" t="inlineStr">
        <is>
          <t>confined_site</t>
        </is>
      </c>
      <c r="C396" s="8" t="n"/>
      <c r="D396" s="8" t="inlineStr">
        <is>
          <t>NH2</t>
        </is>
      </c>
      <c r="E396" s="11" t="n">
        <v>-0.4746</v>
      </c>
      <c r="F396" s="7" t="inlineStr">
        <is>
          <t>[18.2, 36.8, 51.1, 71.0, 78.2, 82.2, 178.2, 406.5, 420.0]</t>
        </is>
      </c>
      <c r="G396" s="8" t="inlineStr">
        <is>
          <t>48</t>
        </is>
      </c>
      <c r="H396" s="8" t="n">
        <v>0.25</v>
      </c>
      <c r="I396" s="8" t="n"/>
    </row>
    <row r="397">
      <c r="A397" s="8" t="inlineStr">
        <is>
          <t>Pd</t>
        </is>
      </c>
      <c r="B397" s="8" t="inlineStr">
        <is>
          <t>confined_site</t>
        </is>
      </c>
      <c r="C397" s="8" t="n"/>
      <c r="D397" s="8" t="inlineStr">
        <is>
          <t>NH2-H</t>
        </is>
      </c>
      <c r="E397" s="11" t="n">
        <v>-0.0788</v>
      </c>
      <c r="F397" s="7" t="inlineStr">
        <is>
          <t>[3.1, 17.6, 29.7, 43.8, 65.7, 104.6, 110.9, 129.1, 177.2, 408.7, 423.1]</t>
        </is>
      </c>
      <c r="G397" s="8" t="inlineStr">
        <is>
          <t>133</t>
        </is>
      </c>
      <c r="H397" s="8" t="n">
        <v>0.25</v>
      </c>
      <c r="I397" s="8" t="n"/>
    </row>
    <row r="398">
      <c r="A398" s="8" t="inlineStr">
        <is>
          <t>Pd</t>
        </is>
      </c>
      <c r="B398" s="8" t="inlineStr">
        <is>
          <t>confined_site</t>
        </is>
      </c>
      <c r="C398" s="8" t="n"/>
      <c r="D398" s="8" t="inlineStr">
        <is>
          <t>NH3</t>
        </is>
      </c>
      <c r="E398" s="11" t="n">
        <v>-1.2714</v>
      </c>
      <c r="F398" s="7" t="inlineStr">
        <is>
          <t>[8.9, 12.3, 12.6, 50.2, 81.1, 81.1, 130.2, 191.5, 192.0, 408.6, 425.7, 426.1]</t>
        </is>
      </c>
      <c r="G398" s="8" t="inlineStr">
        <is>
          <t>39</t>
        </is>
      </c>
      <c r="H398" s="8" t="n">
        <v>0.25</v>
      </c>
      <c r="I398" s="8" t="n"/>
    </row>
    <row r="399">
      <c r="A399" s="8" t="inlineStr">
        <is>
          <t>Pt</t>
        </is>
      </c>
      <c r="B399" s="8" t="inlineStr">
        <is>
          <t>confined_site</t>
        </is>
      </c>
      <c r="C399" s="8" t="n"/>
      <c r="D399" s="8" t="inlineStr">
        <is>
          <t>H</t>
        </is>
      </c>
      <c r="E399" s="11" t="n">
        <v>-0.804</v>
      </c>
      <c r="F399" s="12" t="inlineStr">
        <is>
          <t>[63.7, 63.7, 137.7]</t>
        </is>
      </c>
      <c r="G399" s="8" t="inlineStr">
        <is>
          <t>67</t>
        </is>
      </c>
      <c r="H399" s="8" t="n">
        <v>0.25</v>
      </c>
      <c r="I399" s="8" t="n"/>
    </row>
    <row r="400">
      <c r="A400" s="8" t="inlineStr">
        <is>
          <t>Pt</t>
        </is>
      </c>
      <c r="B400" s="8" t="inlineStr">
        <is>
          <t>confined_site</t>
        </is>
      </c>
      <c r="C400" s="8" t="n"/>
      <c r="D400" s="8" t="inlineStr">
        <is>
          <t>N</t>
        </is>
      </c>
      <c r="E400" s="11" t="n">
        <v>0.452</v>
      </c>
      <c r="F400" s="12" t="inlineStr">
        <is>
          <t>[55.7, 58.1, 58.2]</t>
        </is>
      </c>
      <c r="G400" s="8" t="inlineStr">
        <is>
          <t>38</t>
        </is>
      </c>
      <c r="H400" s="8" t="n">
        <v>0.25</v>
      </c>
      <c r="I400" s="8" t="n"/>
    </row>
    <row r="401">
      <c r="A401" s="8" t="inlineStr">
        <is>
          <t>Pt</t>
        </is>
      </c>
      <c r="B401" s="8" t="inlineStr">
        <is>
          <t>confined_site</t>
        </is>
      </c>
      <c r="C401" s="8" t="n"/>
      <c r="D401" s="8" t="inlineStr">
        <is>
          <t>N-H</t>
        </is>
      </c>
      <c r="E401" s="11" t="n">
        <v>0.3322</v>
      </c>
      <c r="F401" s="12" t="inlineStr">
        <is>
          <t>[36.2, 55.3, 59.7, 64.0, 263.6]</t>
        </is>
      </c>
      <c r="G401" s="8" t="inlineStr">
        <is>
          <t>146</t>
        </is>
      </c>
      <c r="H401" s="8" t="n">
        <v>0.25</v>
      </c>
      <c r="I401" s="8" t="n"/>
    </row>
    <row r="402">
      <c r="A402" s="8" t="inlineStr">
        <is>
          <t>Pt</t>
        </is>
      </c>
      <c r="B402" s="8" t="inlineStr">
        <is>
          <t>confined_site</t>
        </is>
      </c>
      <c r="C402" s="8" t="n"/>
      <c r="D402" s="8" t="inlineStr">
        <is>
          <t>N-N</t>
        </is>
      </c>
      <c r="E402" s="11" t="n">
        <v>1.8766</v>
      </c>
      <c r="F402" s="12" t="inlineStr">
        <is>
          <t>[28.0, 54.6, 60.0, 61.6, 63.7]</t>
        </is>
      </c>
      <c r="G402" s="8" t="inlineStr">
        <is>
          <t>161</t>
        </is>
      </c>
      <c r="H402" s="8" t="n">
        <v>0.25</v>
      </c>
      <c r="I402" s="8" t="n"/>
    </row>
    <row r="403">
      <c r="A403" s="8" t="inlineStr">
        <is>
          <t>Pt</t>
        </is>
      </c>
      <c r="B403" s="8" t="inlineStr">
        <is>
          <t>confined_site</t>
        </is>
      </c>
      <c r="C403" s="8" t="n"/>
      <c r="D403" s="8" t="inlineStr">
        <is>
          <t>N2</t>
        </is>
      </c>
      <c r="E403" s="11" t="n">
        <v>0.7234</v>
      </c>
      <c r="F403" s="7" t="inlineStr">
        <is>
          <t>[26.1, 26.1, 46.3, 55.7, 55.7, 142.7]</t>
        </is>
      </c>
      <c r="G403" s="8" t="inlineStr">
        <is>
          <t>58</t>
        </is>
      </c>
      <c r="H403" s="8" t="n">
        <v>0.25</v>
      </c>
      <c r="I403" s="8" t="n"/>
    </row>
    <row r="404">
      <c r="A404" s="8" t="inlineStr">
        <is>
          <t>Pt</t>
        </is>
      </c>
      <c r="B404" s="8" t="inlineStr">
        <is>
          <t>confined_site</t>
        </is>
      </c>
      <c r="C404" s="8" t="n"/>
      <c r="D404" s="8" t="inlineStr">
        <is>
          <t>NH</t>
        </is>
      </c>
      <c r="E404" s="11" t="n">
        <v>-0.3735</v>
      </c>
      <c r="F404" s="7" t="inlineStr">
        <is>
          <t>[58.8, 58.9, 65.7, 101.4, 101.4, 393.9]</t>
        </is>
      </c>
      <c r="G404" s="8" t="inlineStr">
        <is>
          <t>16</t>
        </is>
      </c>
      <c r="H404" s="8" t="n">
        <v>0.25</v>
      </c>
      <c r="I404" s="8" t="n"/>
    </row>
    <row r="405">
      <c r="A405" s="8" t="inlineStr">
        <is>
          <t>Pt</t>
        </is>
      </c>
      <c r="B405" s="8" t="inlineStr">
        <is>
          <t>confined_site</t>
        </is>
      </c>
      <c r="C405" s="8" t="n"/>
      <c r="D405" s="8" t="inlineStr">
        <is>
          <t>NH-H</t>
        </is>
      </c>
      <c r="E405" s="11" t="n">
        <v>0.4784</v>
      </c>
      <c r="F405" s="7" t="inlineStr">
        <is>
          <t>[27.0, 47.2, 61.7, 69.5, 95.7, 103.1, 164.3, 394.6]</t>
        </is>
      </c>
      <c r="G405" s="8" t="inlineStr">
        <is>
          <t>117</t>
        </is>
      </c>
      <c r="H405" s="8" t="n">
        <v>0.25</v>
      </c>
      <c r="I405" s="8" t="n"/>
    </row>
    <row r="406">
      <c r="A406" s="8" t="inlineStr">
        <is>
          <t>Pt</t>
        </is>
      </c>
      <c r="B406" s="8" t="inlineStr">
        <is>
          <t>confined_site</t>
        </is>
      </c>
      <c r="C406" s="8" t="n"/>
      <c r="D406" s="8" t="inlineStr">
        <is>
          <t>NH2</t>
        </is>
      </c>
      <c r="E406" s="11" t="n">
        <v>-0.5269</v>
      </c>
      <c r="F406" s="7" t="inlineStr">
        <is>
          <t>[25.7, 43.8, 62.0, 88.0, 97.3, 100.3, 180.3, 402.4, 417.3]</t>
        </is>
      </c>
      <c r="G406" s="8" t="inlineStr">
        <is>
          <t>64</t>
        </is>
      </c>
      <c r="H406" s="8" t="n">
        <v>0.25</v>
      </c>
      <c r="I406" s="8" t="n"/>
    </row>
    <row r="407">
      <c r="A407" s="8" t="inlineStr">
        <is>
          <t>Pt</t>
        </is>
      </c>
      <c r="B407" s="8" t="inlineStr">
        <is>
          <t>confined_site</t>
        </is>
      </c>
      <c r="C407" s="8" t="n"/>
      <c r="D407" s="8" t="inlineStr">
        <is>
          <t>NH2-H</t>
        </is>
      </c>
      <c r="E407" s="11" t="n">
        <v>-0.0152</v>
      </c>
      <c r="F407" s="7" t="inlineStr">
        <is>
          <t>[4.0, 22.2, 34.3, 53.6, 66.9, 119.1, 122.7, 177.2, 209.8, 409.7, 424.2]</t>
        </is>
      </c>
      <c r="G407" s="8" t="inlineStr">
        <is>
          <t>132</t>
        </is>
      </c>
      <c r="H407" s="8" t="n">
        <v>0.25</v>
      </c>
      <c r="I407" s="8" t="n"/>
    </row>
    <row r="408">
      <c r="A408" s="8" t="inlineStr">
        <is>
          <t>Pt</t>
        </is>
      </c>
      <c r="B408" s="8" t="inlineStr">
        <is>
          <t>confined_site</t>
        </is>
      </c>
      <c r="C408" s="8" t="n"/>
      <c r="D408" s="8" t="inlineStr">
        <is>
          <t>NH3</t>
        </is>
      </c>
      <c r="E408" s="11" t="n">
        <v>-1.1272</v>
      </c>
      <c r="F408" s="7" t="inlineStr">
        <is>
          <t>[10.1, 16.4, 16.4, 60.6, 100.2, 100.2, 137.8, 189.5, 190.0, 407.5, 424.6, 425.0]</t>
        </is>
      </c>
      <c r="G408" s="8" t="inlineStr">
        <is>
          <t>60</t>
        </is>
      </c>
      <c r="H408" s="8" t="n">
        <v>0.25</v>
      </c>
      <c r="I408" s="8" t="n"/>
    </row>
    <row r="409">
      <c r="A409" s="8" t="inlineStr">
        <is>
          <t>Re</t>
        </is>
      </c>
      <c r="B409" s="8" t="inlineStr">
        <is>
          <t>confined_site</t>
        </is>
      </c>
      <c r="C409" s="8" t="n"/>
      <c r="D409" s="8" t="inlineStr">
        <is>
          <t>H</t>
        </is>
      </c>
      <c r="E409" s="11" t="n">
        <v>-0.4312</v>
      </c>
      <c r="F409" s="12" t="inlineStr">
        <is>
          <t>[114.9, 116.3, 134.9]</t>
        </is>
      </c>
      <c r="G409" s="8" t="inlineStr">
        <is>
          <t>66</t>
        </is>
      </c>
      <c r="H409" s="8" t="n">
        <v>0.25</v>
      </c>
      <c r="I409" s="8" t="n"/>
    </row>
    <row r="410">
      <c r="A410" s="8" t="inlineStr">
        <is>
          <t>Re</t>
        </is>
      </c>
      <c r="B410" s="8" t="inlineStr">
        <is>
          <t>confined_site</t>
        </is>
      </c>
      <c r="C410" s="8" t="n"/>
      <c r="D410" s="8" t="inlineStr">
        <is>
          <t>N</t>
        </is>
      </c>
      <c r="E410" s="11" t="n">
        <v>-1.2099</v>
      </c>
      <c r="F410" s="12" t="inlineStr">
        <is>
          <t>[50.5, 52.7, 64.9]</t>
        </is>
      </c>
      <c r="G410" s="8" t="inlineStr">
        <is>
          <t>30</t>
        </is>
      </c>
      <c r="H410" s="8" t="n">
        <v>0.25</v>
      </c>
      <c r="I410" s="8" t="n"/>
    </row>
    <row r="411">
      <c r="A411" s="8" t="inlineStr">
        <is>
          <t>Re</t>
        </is>
      </c>
      <c r="B411" s="8" t="inlineStr">
        <is>
          <t>confined_site</t>
        </is>
      </c>
      <c r="C411" s="8" t="n"/>
      <c r="D411" s="8" t="inlineStr">
        <is>
          <t>N-H</t>
        </is>
      </c>
      <c r="E411" s="11" t="n">
        <v>-1.0477</v>
      </c>
      <c r="F411" s="12" t="inlineStr">
        <is>
          <t>[52.0, 53.5, 72.3, 89.5, 95.1]</t>
        </is>
      </c>
      <c r="G411" s="8" t="inlineStr">
        <is>
          <t>140</t>
        </is>
      </c>
      <c r="H411" s="8" t="n">
        <v>0.25</v>
      </c>
      <c r="I411" s="8" t="n"/>
    </row>
    <row r="412">
      <c r="A412" s="8" t="inlineStr">
        <is>
          <t>Re</t>
        </is>
      </c>
      <c r="B412" s="8" t="inlineStr">
        <is>
          <t>confined_site</t>
        </is>
      </c>
      <c r="C412" s="8" t="n"/>
      <c r="D412" s="8" t="inlineStr">
        <is>
          <t>N-N</t>
        </is>
      </c>
      <c r="E412" s="11" t="n">
        <v>-0.9929</v>
      </c>
      <c r="F412" s="12" t="inlineStr">
        <is>
          <t>[54.5, 61.9, 73.2, 78.6, 82.2]</t>
        </is>
      </c>
      <c r="G412" s="8" t="inlineStr">
        <is>
          <t>155</t>
        </is>
      </c>
      <c r="H412" s="8" t="n">
        <v>0.25</v>
      </c>
      <c r="I412" s="8" t="n"/>
    </row>
    <row r="413">
      <c r="A413" s="8" t="inlineStr">
        <is>
          <t>Re</t>
        </is>
      </c>
      <c r="B413" s="8" t="inlineStr">
        <is>
          <t>confined_site</t>
        </is>
      </c>
      <c r="C413" s="8" t="n"/>
      <c r="D413" s="8" t="inlineStr">
        <is>
          <t>N2</t>
        </is>
      </c>
      <c r="E413" s="11" t="n">
        <v>-1.9059</v>
      </c>
      <c r="F413" s="7" t="inlineStr">
        <is>
          <t>[47.2, 51.2, 60.1, 63.9, 68.4, 122.9]</t>
        </is>
      </c>
      <c r="G413" s="8" t="inlineStr">
        <is>
          <t>54</t>
        </is>
      </c>
      <c r="H413" s="8" t="n">
        <v>0.25</v>
      </c>
      <c r="I413" s="8" t="n"/>
    </row>
    <row r="414">
      <c r="A414" s="8" t="inlineStr">
        <is>
          <t>Re</t>
        </is>
      </c>
      <c r="B414" s="8" t="inlineStr">
        <is>
          <t>confined_site</t>
        </is>
      </c>
      <c r="C414" s="8" t="n"/>
      <c r="D414" s="8" t="inlineStr">
        <is>
          <t>NH</t>
        </is>
      </c>
      <c r="E414" s="11" t="n">
        <v>-1.3331</v>
      </c>
      <c r="F414" s="7" t="inlineStr">
        <is>
          <t>[55.1, 56.4, 72.9, 93.8, 95.3, 329.4]</t>
        </is>
      </c>
      <c r="G414" s="8" t="inlineStr">
        <is>
          <t>89</t>
        </is>
      </c>
      <c r="H414" s="8" t="n">
        <v>0.25</v>
      </c>
      <c r="I414" s="8" t="n"/>
    </row>
    <row r="415">
      <c r="A415" s="8" t="inlineStr">
        <is>
          <t>Re</t>
        </is>
      </c>
      <c r="B415" s="8" t="inlineStr">
        <is>
          <t>confined_site</t>
        </is>
      </c>
      <c r="C415" s="8" t="n"/>
      <c r="D415" s="8" t="inlineStr">
        <is>
          <t>NH-H</t>
        </is>
      </c>
      <c r="E415" s="11" t="n">
        <v>-0.2844</v>
      </c>
      <c r="F415" s="7" t="inlineStr">
        <is>
          <t>[23.5, 45.9, 65.1, 83.9, 89.5, 104.6, 149.7, 339.3]</t>
        </is>
      </c>
      <c r="G415" s="8" t="inlineStr">
        <is>
          <t>111</t>
        </is>
      </c>
      <c r="H415" s="8" t="n">
        <v>0.25</v>
      </c>
      <c r="I415" s="8" t="n"/>
    </row>
    <row r="416">
      <c r="A416" s="8" t="inlineStr">
        <is>
          <t>Re</t>
        </is>
      </c>
      <c r="B416" s="8" t="inlineStr">
        <is>
          <t>confined_site</t>
        </is>
      </c>
      <c r="C416" s="8" t="n"/>
      <c r="D416" s="8" t="inlineStr">
        <is>
          <t>NH2</t>
        </is>
      </c>
      <c r="E416" s="11" t="n">
        <v>-0.383</v>
      </c>
      <c r="F416" s="7" t="inlineStr">
        <is>
          <t>[5.6, 43.3, 64.8, 84.0, 84.8, 89.1, 174.4, 348.8, 361.8]</t>
        </is>
      </c>
      <c r="G416" s="8" t="inlineStr">
        <is>
          <t>45</t>
        </is>
      </c>
      <c r="H416" s="8" t="n">
        <v>0.25</v>
      </c>
      <c r="I416" s="8" t="n"/>
    </row>
    <row r="417">
      <c r="A417" s="8" t="inlineStr">
        <is>
          <t>Re</t>
        </is>
      </c>
      <c r="B417" s="8" t="inlineStr">
        <is>
          <t>confined_site</t>
        </is>
      </c>
      <c r="C417" s="8" t="n"/>
      <c r="D417" s="8" t="inlineStr">
        <is>
          <t>NH2-H</t>
        </is>
      </c>
      <c r="E417" s="11" t="n">
        <v>0.5931999999999999</v>
      </c>
      <c r="F417" s="7" t="inlineStr">
        <is>
          <t>[16.2, 22.8, 24.1, 70.4, 78.6, 103.1, 109.8, 163.1, 174.9, 377.1, 392.9]</t>
        </is>
      </c>
      <c r="G417" s="8" t="inlineStr">
        <is>
          <t>126</t>
        </is>
      </c>
      <c r="H417" s="8" t="n">
        <v>0.25</v>
      </c>
      <c r="I417" s="8" t="n"/>
    </row>
    <row r="418">
      <c r="A418" s="8" t="inlineStr">
        <is>
          <t>Re</t>
        </is>
      </c>
      <c r="B418" s="8" t="inlineStr">
        <is>
          <t>confined_site</t>
        </is>
      </c>
      <c r="C418" s="8" t="n"/>
      <c r="D418" s="8" t="inlineStr">
        <is>
          <t>NH3</t>
        </is>
      </c>
      <c r="E418" s="11" t="n">
        <v>0.2135</v>
      </c>
      <c r="F418" s="7" t="inlineStr">
        <is>
          <t>[21.0, 22.1, 27.4, 63.6, 90.9, 91.5, 102.4, 171.2, 173.5, 366.1, 387.2, 390.1]</t>
        </is>
      </c>
      <c r="G418" s="8" t="inlineStr">
        <is>
          <t>61</t>
        </is>
      </c>
      <c r="H418" s="8" t="n">
        <v>0.25</v>
      </c>
      <c r="I418" s="8" t="n"/>
    </row>
    <row r="419">
      <c r="A419" s="8" t="inlineStr">
        <is>
          <t>Rh</t>
        </is>
      </c>
      <c r="B419" s="8" t="inlineStr">
        <is>
          <t>confined_site</t>
        </is>
      </c>
      <c r="C419" s="8" t="n"/>
      <c r="D419" s="8" t="inlineStr">
        <is>
          <t>H</t>
        </is>
      </c>
      <c r="E419" s="11" t="n">
        <v>-0.4444</v>
      </c>
      <c r="F419" s="12" t="inlineStr">
        <is>
          <t>[45.9, 45.9, 134.6]</t>
        </is>
      </c>
      <c r="G419" s="8" t="inlineStr">
        <is>
          <t>104</t>
        </is>
      </c>
      <c r="H419" s="8" t="n">
        <v>0.25</v>
      </c>
      <c r="I419" s="8" t="n"/>
    </row>
    <row r="420">
      <c r="A420" s="8" t="inlineStr">
        <is>
          <t>Rh</t>
        </is>
      </c>
      <c r="B420" s="8" t="inlineStr">
        <is>
          <t>confined_site</t>
        </is>
      </c>
      <c r="C420" s="8" t="n"/>
      <c r="D420" s="8" t="inlineStr">
        <is>
          <t>N</t>
        </is>
      </c>
      <c r="E420" s="11" t="n">
        <v>-0.1948</v>
      </c>
      <c r="F420" s="12" t="inlineStr">
        <is>
          <t>[22.9, 22.9, 109.8]</t>
        </is>
      </c>
      <c r="G420" s="8" t="inlineStr">
        <is>
          <t>41</t>
        </is>
      </c>
      <c r="H420" s="8" t="n">
        <v>0.25</v>
      </c>
      <c r="I420" s="8" t="n"/>
    </row>
    <row r="421">
      <c r="A421" s="8" t="inlineStr">
        <is>
          <t>Rh</t>
        </is>
      </c>
      <c r="B421" s="8" t="inlineStr">
        <is>
          <t>confined_site</t>
        </is>
      </c>
      <c r="C421" s="8" t="n"/>
      <c r="D421" s="8" t="inlineStr">
        <is>
          <t>N-H</t>
        </is>
      </c>
      <c r="E421" s="11" t="n">
        <v>0.015</v>
      </c>
      <c r="F421" s="12" t="inlineStr">
        <is>
          <t>[41.9, 42.2, 55.6, 58.1, 66.0]</t>
        </is>
      </c>
      <c r="G421" s="8" t="inlineStr">
        <is>
          <t>142</t>
        </is>
      </c>
      <c r="H421" s="8" t="n">
        <v>0.25</v>
      </c>
      <c r="I421" s="8" t="n"/>
    </row>
    <row r="422">
      <c r="A422" s="8" t="inlineStr">
        <is>
          <t>Rh</t>
        </is>
      </c>
      <c r="B422" s="8" t="inlineStr">
        <is>
          <t>confined_site</t>
        </is>
      </c>
      <c r="C422" s="8" t="n"/>
      <c r="D422" s="8" t="inlineStr">
        <is>
          <t>N-N</t>
        </is>
      </c>
      <c r="E422" s="11" t="n">
        <v>0.8882</v>
      </c>
      <c r="F422" s="12" t="inlineStr">
        <is>
          <t>[35.3, 53.1, 56.1, 56.6, 63.2]</t>
        </is>
      </c>
      <c r="G422" s="8" t="inlineStr">
        <is>
          <t>157</t>
        </is>
      </c>
      <c r="H422" s="8" t="n">
        <v>0.25</v>
      </c>
      <c r="I422" s="8" t="n"/>
    </row>
    <row r="423">
      <c r="A423" s="8" t="inlineStr">
        <is>
          <t>Rh</t>
        </is>
      </c>
      <c r="B423" s="8" t="inlineStr">
        <is>
          <t>confined_site</t>
        </is>
      </c>
      <c r="C423" s="8" t="n"/>
      <c r="D423" s="8" t="inlineStr">
        <is>
          <t>N2</t>
        </is>
      </c>
      <c r="E423" s="11" t="n">
        <v>-0.4483</v>
      </c>
      <c r="F423" s="7" t="inlineStr">
        <is>
          <t>[30.0, 30.1, 51.5, 53.7, 53.7, 144.5]</t>
        </is>
      </c>
      <c r="G423" s="8" t="inlineStr">
        <is>
          <t>96</t>
        </is>
      </c>
      <c r="H423" s="8" t="n">
        <v>0.25</v>
      </c>
      <c r="I423" s="8" t="n"/>
    </row>
    <row r="424">
      <c r="A424" s="8" t="inlineStr">
        <is>
          <t>Rh</t>
        </is>
      </c>
      <c r="B424" s="8" t="inlineStr">
        <is>
          <t>confined_site</t>
        </is>
      </c>
      <c r="C424" s="8" t="n"/>
      <c r="D424" s="8" t="inlineStr">
        <is>
          <t>NH</t>
        </is>
      </c>
      <c r="E424" s="11" t="n">
        <v>-0.5716</v>
      </c>
      <c r="F424" s="7" t="inlineStr">
        <is>
          <t>[49.7, 49.8, 65.7, 86.6, 86.9, 362.1]</t>
        </is>
      </c>
      <c r="G424" s="8" t="inlineStr">
        <is>
          <t>46</t>
        </is>
      </c>
      <c r="H424" s="8" t="n">
        <v>0.25</v>
      </c>
      <c r="I424" s="8" t="n"/>
    </row>
    <row r="425">
      <c r="A425" s="8" t="inlineStr">
        <is>
          <t>Rh</t>
        </is>
      </c>
      <c r="B425" s="8" t="inlineStr">
        <is>
          <t>confined_site</t>
        </is>
      </c>
      <c r="C425" s="8" t="n"/>
      <c r="D425" s="8" t="inlineStr">
        <is>
          <t>NH-H</t>
        </is>
      </c>
      <c r="E425" s="11" t="n">
        <v>0.0844</v>
      </c>
      <c r="F425" s="7" t="inlineStr">
        <is>
          <t>[17.1, 40.5, 58.9, 62.5, 84.7, 88.3, 119.8, 379.3]</t>
        </is>
      </c>
      <c r="G425" s="8" t="inlineStr">
        <is>
          <t>113</t>
        </is>
      </c>
      <c r="H425" s="8" t="n">
        <v>0.25</v>
      </c>
      <c r="I425" s="8" t="n"/>
    </row>
    <row r="426">
      <c r="A426" s="8" t="inlineStr">
        <is>
          <t>Rh</t>
        </is>
      </c>
      <c r="B426" s="8" t="inlineStr">
        <is>
          <t>confined_site</t>
        </is>
      </c>
      <c r="C426" s="8" t="n"/>
      <c r="D426" s="8" t="inlineStr">
        <is>
          <t>NH2</t>
        </is>
      </c>
      <c r="E426" s="11" t="n">
        <v>-0.7368</v>
      </c>
      <c r="F426" s="7" t="inlineStr">
        <is>
          <t>[19.8, 38.2, 59.1, 80.3, 83.0, 85.0, 177.3, 389.4, 403.3]</t>
        </is>
      </c>
      <c r="G426" s="8" t="inlineStr">
        <is>
          <t>36</t>
        </is>
      </c>
      <c r="H426" s="8" t="n">
        <v>0.25</v>
      </c>
      <c r="I426" s="8" t="n"/>
    </row>
    <row r="427">
      <c r="A427" s="8" t="inlineStr">
        <is>
          <t>Rh</t>
        </is>
      </c>
      <c r="B427" s="8" t="inlineStr">
        <is>
          <t>confined_site</t>
        </is>
      </c>
      <c r="C427" s="8" t="n"/>
      <c r="D427" s="8" t="inlineStr">
        <is>
          <t>NH2-H</t>
        </is>
      </c>
      <c r="E427" s="11" t="n">
        <v>-0.1731</v>
      </c>
      <c r="F427" s="7" t="inlineStr">
        <is>
          <t>[10.2, 23.2, 26.8, 53.3, 69.7, 107.9, 113.6, 172.0, 188.5, 402.2, 416.6]</t>
        </is>
      </c>
      <c r="G427" s="8" t="inlineStr">
        <is>
          <t>128</t>
        </is>
      </c>
      <c r="H427" s="8" t="n">
        <v>0.25</v>
      </c>
      <c r="I427" s="8" t="n"/>
    </row>
    <row r="428">
      <c r="A428" s="8" t="inlineStr">
        <is>
          <t>Rh</t>
        </is>
      </c>
      <c r="B428" s="8" t="inlineStr">
        <is>
          <t>confined_site</t>
        </is>
      </c>
      <c r="C428" s="8" t="n"/>
      <c r="D428" s="8" t="inlineStr">
        <is>
          <t>NH3</t>
        </is>
      </c>
      <c r="E428" s="11" t="n">
        <v>-0.959</v>
      </c>
      <c r="F428" s="7" t="inlineStr">
        <is>
          <t>[10.9, 13.6, 13.7, 57.3, 90.3, 90.3, 124.2, 185.4, 185.8, 395.9, 414.1, 414.5]</t>
        </is>
      </c>
      <c r="G428" s="8" t="inlineStr">
        <is>
          <t>18</t>
        </is>
      </c>
      <c r="H428" s="8" t="n">
        <v>0.25</v>
      </c>
      <c r="I428" s="8" t="n"/>
    </row>
    <row r="429">
      <c r="A429" s="8" t="inlineStr">
        <is>
          <t>Ru</t>
        </is>
      </c>
      <c r="B429" s="8" t="inlineStr">
        <is>
          <t>confined_site</t>
        </is>
      </c>
      <c r="C429" s="8" t="n"/>
      <c r="D429" s="8" t="inlineStr">
        <is>
          <t>H</t>
        </is>
      </c>
      <c r="E429" s="11" t="n">
        <v>-0.3726</v>
      </c>
      <c r="F429" s="12" t="inlineStr">
        <is>
          <t>[94.8, 96.3, 126.0]</t>
        </is>
      </c>
      <c r="G429" s="8" t="inlineStr">
        <is>
          <t>49</t>
        </is>
      </c>
      <c r="H429" s="8" t="n">
        <v>0.25</v>
      </c>
      <c r="I429" s="8" t="n"/>
    </row>
    <row r="430">
      <c r="A430" s="8" t="inlineStr">
        <is>
          <t>Ru</t>
        </is>
      </c>
      <c r="B430" s="8" t="inlineStr">
        <is>
          <t>confined_site</t>
        </is>
      </c>
      <c r="C430" s="8" t="n"/>
      <c r="D430" s="8" t="inlineStr">
        <is>
          <t>N</t>
        </is>
      </c>
      <c r="E430" s="11" t="n">
        <v>-0.7223000000000001</v>
      </c>
      <c r="F430" s="12" t="inlineStr">
        <is>
          <t>[51.9, 52.9, 60.0]</t>
        </is>
      </c>
      <c r="G430" s="8" t="inlineStr">
        <is>
          <t>88</t>
        </is>
      </c>
      <c r="H430" s="8" t="n">
        <v>0.25</v>
      </c>
      <c r="I430" s="8" t="n"/>
    </row>
    <row r="431">
      <c r="A431" s="8" t="inlineStr">
        <is>
          <t>Ru</t>
        </is>
      </c>
      <c r="B431" s="8" t="inlineStr">
        <is>
          <t>confined_site</t>
        </is>
      </c>
      <c r="C431" s="8" t="n"/>
      <c r="D431" s="8" t="inlineStr">
        <is>
          <t>N-H</t>
        </is>
      </c>
      <c r="E431" s="11" t="n">
        <v>-0.5329</v>
      </c>
      <c r="F431" s="12" t="inlineStr">
        <is>
          <t>[49.5, 51.1, 60.4, 61.2, 66.5]</t>
        </is>
      </c>
      <c r="G431" s="8" t="inlineStr">
        <is>
          <t>139</t>
        </is>
      </c>
      <c r="H431" s="8" t="n">
        <v>0.25</v>
      </c>
      <c r="I431" s="8" t="n"/>
    </row>
    <row r="432">
      <c r="A432" s="8" t="inlineStr">
        <is>
          <t>Ru</t>
        </is>
      </c>
      <c r="B432" s="8" t="inlineStr">
        <is>
          <t>confined_site</t>
        </is>
      </c>
      <c r="C432" s="8" t="n"/>
      <c r="D432" s="8" t="inlineStr">
        <is>
          <t>N-N</t>
        </is>
      </c>
      <c r="E432" s="11" t="n">
        <v>0.0141</v>
      </c>
      <c r="F432" s="12" t="inlineStr">
        <is>
          <t>[56.3, 59.1, 65.8, 69.6, 73.0]</t>
        </is>
      </c>
      <c r="G432" s="8" t="inlineStr">
        <is>
          <t>154</t>
        </is>
      </c>
      <c r="H432" s="8" t="n">
        <v>0.25</v>
      </c>
      <c r="I432" s="8" t="n"/>
    </row>
    <row r="433">
      <c r="A433" s="8" t="inlineStr">
        <is>
          <t>Ru</t>
        </is>
      </c>
      <c r="B433" s="8" t="inlineStr">
        <is>
          <t>confined_site</t>
        </is>
      </c>
      <c r="C433" s="8" t="n"/>
      <c r="D433" s="8" t="inlineStr">
        <is>
          <t>N2</t>
        </is>
      </c>
      <c r="E433" s="11" t="n">
        <v>-1.3356</v>
      </c>
      <c r="F433" s="7" t="inlineStr">
        <is>
          <t>[44.0, 44.6, 58.4, 61.9, 62.2, 131.9]</t>
        </is>
      </c>
      <c r="G433" s="8" t="inlineStr">
        <is>
          <t>102</t>
        </is>
      </c>
      <c r="H433" s="8" t="n">
        <v>0.25</v>
      </c>
      <c r="I433" s="8" t="n"/>
    </row>
    <row r="434">
      <c r="A434" s="8" t="inlineStr">
        <is>
          <t>Ru</t>
        </is>
      </c>
      <c r="B434" s="8" t="inlineStr">
        <is>
          <t>confined_site</t>
        </is>
      </c>
      <c r="C434" s="8" t="n"/>
      <c r="D434" s="8" t="inlineStr">
        <is>
          <t>NH</t>
        </is>
      </c>
      <c r="E434" s="11" t="n">
        <v>-0.9343</v>
      </c>
      <c r="F434" s="7" t="inlineStr">
        <is>
          <t>[53.2, 53.5, 65.6, 83.3, 84.6, 340.1]</t>
        </is>
      </c>
      <c r="G434" s="8" t="inlineStr">
        <is>
          <t>25</t>
        </is>
      </c>
      <c r="H434" s="8" t="n">
        <v>0.25</v>
      </c>
      <c r="I434" s="8" t="n"/>
    </row>
    <row r="435">
      <c r="A435" s="8" t="inlineStr">
        <is>
          <t>Ru</t>
        </is>
      </c>
      <c r="B435" s="8" t="inlineStr">
        <is>
          <t>confined_site</t>
        </is>
      </c>
      <c r="C435" s="8" t="n"/>
      <c r="D435" s="8" t="inlineStr">
        <is>
          <t>NH-H</t>
        </is>
      </c>
      <c r="E435" s="11" t="n">
        <v>-0.0911</v>
      </c>
      <c r="F435" s="7" t="inlineStr">
        <is>
          <t>[19.8, 41.9, 59.6, 76.7, 84.0, 87.4, 133.3, 353.4]</t>
        </is>
      </c>
      <c r="G435" s="8" t="inlineStr">
        <is>
          <t>110</t>
        </is>
      </c>
      <c r="H435" s="8" t="n">
        <v>0.25</v>
      </c>
      <c r="I435" s="8" t="n"/>
    </row>
    <row r="436">
      <c r="A436" s="8" t="inlineStr">
        <is>
          <t>Ru</t>
        </is>
      </c>
      <c r="B436" s="8" t="inlineStr">
        <is>
          <t>confined_site</t>
        </is>
      </c>
      <c r="C436" s="8" t="n"/>
      <c r="D436" s="8" t="inlineStr">
        <is>
          <t>NH2</t>
        </is>
      </c>
      <c r="E436" s="11" t="n">
        <v>-0.5312</v>
      </c>
      <c r="F436" s="7" t="inlineStr">
        <is>
          <t>[15.8, 37.2, 59.6, 74.4, 78.0, 81.0, 174.9, 368.6, 384.4]</t>
        </is>
      </c>
      <c r="G436" s="8" t="inlineStr">
        <is>
          <t>77</t>
        </is>
      </c>
      <c r="H436" s="8" t="n">
        <v>0.25</v>
      </c>
      <c r="I436" s="8" t="n"/>
    </row>
    <row r="437">
      <c r="A437" s="8" t="inlineStr">
        <is>
          <t>Ru</t>
        </is>
      </c>
      <c r="B437" s="8" t="inlineStr">
        <is>
          <t>confined_site</t>
        </is>
      </c>
      <c r="C437" s="8" t="n"/>
      <c r="D437" s="8" t="inlineStr">
        <is>
          <t>NH2-H</t>
        </is>
      </c>
      <c r="E437" s="11" t="n">
        <v>0.1495</v>
      </c>
      <c r="F437" s="7" t="inlineStr">
        <is>
          <t>[8.7, 19.6, 26.6, 61.9, 74.5, 104.3, 111.6, 160.9, 171.1, 384.5, 401.0]</t>
        </is>
      </c>
      <c r="G437" s="8" t="inlineStr">
        <is>
          <t>125</t>
        </is>
      </c>
      <c r="H437" s="8" t="n">
        <v>0.25</v>
      </c>
      <c r="I437" s="8" t="n"/>
    </row>
    <row r="438">
      <c r="A438" s="8" t="inlineStr">
        <is>
          <t>Ru</t>
        </is>
      </c>
      <c r="B438" s="8" t="inlineStr">
        <is>
          <t>confined_site</t>
        </is>
      </c>
      <c r="C438" s="8" t="n"/>
      <c r="D438" s="8" t="inlineStr">
        <is>
          <t>NH3</t>
        </is>
      </c>
      <c r="E438" s="11" t="n">
        <v>-0.3696</v>
      </c>
      <c r="F438" s="7" t="inlineStr">
        <is>
          <t>[17.8, 18.1, 20.3, 59.2, 90.6, 91.0, 104.1, 175.5, 176.5, 375.2, 396.6, 397.0]</t>
        </is>
      </c>
      <c r="G438" s="8" t="inlineStr">
        <is>
          <t>21</t>
        </is>
      </c>
      <c r="H438" s="8" t="n">
        <v>0.25</v>
      </c>
      <c r="I438" s="8" t="n"/>
    </row>
    <row r="439">
      <c r="A439" s="8" t="inlineStr">
        <is>
          <t>W</t>
        </is>
      </c>
      <c r="B439" s="8" t="inlineStr">
        <is>
          <t>confined_site</t>
        </is>
      </c>
      <c r="C439" s="8" t="n"/>
      <c r="D439" s="8" t="inlineStr">
        <is>
          <t>H</t>
        </is>
      </c>
      <c r="E439" s="11" t="n">
        <v>-0.5647</v>
      </c>
      <c r="F439" s="12" t="inlineStr">
        <is>
          <t>[104.3, 106.3, 151.0]</t>
        </is>
      </c>
      <c r="G439" s="8" t="inlineStr">
        <is>
          <t>101</t>
        </is>
      </c>
      <c r="H439" s="8" t="n">
        <v>0.25</v>
      </c>
      <c r="I439" s="8" t="n"/>
    </row>
    <row r="440">
      <c r="A440" s="8" t="inlineStr">
        <is>
          <t>W</t>
        </is>
      </c>
      <c r="B440" s="8" t="inlineStr">
        <is>
          <t>confined_site</t>
        </is>
      </c>
      <c r="C440" s="8" t="n"/>
      <c r="D440" s="8" t="inlineStr">
        <is>
          <t>N</t>
        </is>
      </c>
      <c r="E440" s="11" t="n">
        <v>-1.481</v>
      </c>
      <c r="F440" s="12" t="inlineStr">
        <is>
          <t>[29.1, 43.0, 49.5]</t>
        </is>
      </c>
      <c r="G440" s="8" t="inlineStr">
        <is>
          <t>105</t>
        </is>
      </c>
      <c r="H440" s="8" t="n">
        <v>0.25</v>
      </c>
      <c r="I440" s="8" t="n"/>
    </row>
    <row r="441">
      <c r="A441" s="8" t="inlineStr">
        <is>
          <t>W</t>
        </is>
      </c>
      <c r="B441" s="8" t="inlineStr">
        <is>
          <t>confined_site</t>
        </is>
      </c>
      <c r="C441" s="8" t="n"/>
      <c r="D441" s="8" t="inlineStr">
        <is>
          <t>N-H</t>
        </is>
      </c>
      <c r="E441" s="11" t="n">
        <v>-1.2849</v>
      </c>
      <c r="F441" s="12" t="inlineStr">
        <is>
          <t>[40.2, 45.1, 68.9, 81.9, 98.4]</t>
        </is>
      </c>
      <c r="G441" s="8" t="inlineStr">
        <is>
          <t>136</t>
        </is>
      </c>
      <c r="H441" s="8" t="n">
        <v>0.25</v>
      </c>
      <c r="I441" s="8" t="n"/>
    </row>
    <row r="442">
      <c r="A442" s="8" t="inlineStr">
        <is>
          <t>W</t>
        </is>
      </c>
      <c r="B442" s="8" t="inlineStr">
        <is>
          <t>confined_site</t>
        </is>
      </c>
      <c r="C442" s="8" t="n"/>
      <c r="D442" s="8" t="inlineStr">
        <is>
          <t>N-N</t>
        </is>
      </c>
      <c r="E442" s="11" t="n">
        <v>-1.8006</v>
      </c>
      <c r="F442" s="12" t="inlineStr">
        <is>
          <t>[43.3, 48.0, 49.0, 51.6, 65.9]</t>
        </is>
      </c>
      <c r="G442" s="8" t="inlineStr">
        <is>
          <t>150</t>
        </is>
      </c>
      <c r="H442" s="8" t="n">
        <v>0.25</v>
      </c>
      <c r="I442" s="8" t="n"/>
    </row>
    <row r="443">
      <c r="A443" s="8" t="inlineStr">
        <is>
          <t>W</t>
        </is>
      </c>
      <c r="B443" s="8" t="inlineStr">
        <is>
          <t>confined_site</t>
        </is>
      </c>
      <c r="C443" s="8" t="n"/>
      <c r="D443" s="8" t="inlineStr">
        <is>
          <t>N2</t>
        </is>
      </c>
      <c r="E443" s="11" t="n">
        <v>-2.2887</v>
      </c>
      <c r="F443" s="7" t="inlineStr">
        <is>
          <t>[35.1, 41.9, 49.6, 54.8, 66.6, 116.6]</t>
        </is>
      </c>
      <c r="G443" s="8" t="inlineStr">
        <is>
          <t>82</t>
        </is>
      </c>
      <c r="H443" s="8" t="n">
        <v>0.25</v>
      </c>
      <c r="I443" s="8" t="n"/>
    </row>
    <row r="444">
      <c r="A444" s="8" t="inlineStr">
        <is>
          <t>W</t>
        </is>
      </c>
      <c r="B444" s="8" t="inlineStr">
        <is>
          <t>confined_site</t>
        </is>
      </c>
      <c r="C444" s="8" t="n"/>
      <c r="D444" s="8" t="inlineStr">
        <is>
          <t>NH</t>
        </is>
      </c>
      <c r="E444" s="11" t="n">
        <v>-1.6651</v>
      </c>
      <c r="F444" s="7" t="inlineStr">
        <is>
          <t>[41.1, 46.7, 70.6, 88.5, 97.0, 354.0]</t>
        </is>
      </c>
      <c r="G444" s="8" t="inlineStr">
        <is>
          <t>53</t>
        </is>
      </c>
      <c r="H444" s="8" t="n">
        <v>0.25</v>
      </c>
      <c r="I444" s="8" t="n"/>
    </row>
    <row r="445">
      <c r="A445" s="8" t="inlineStr">
        <is>
          <t>W</t>
        </is>
      </c>
      <c r="B445" s="8" t="inlineStr">
        <is>
          <t>confined_site</t>
        </is>
      </c>
      <c r="C445" s="8" t="n"/>
      <c r="D445" s="8" t="inlineStr">
        <is>
          <t>NH-H</t>
        </is>
      </c>
      <c r="E445" s="11" t="n">
        <v>-0.8135</v>
      </c>
      <c r="F445" s="7" t="inlineStr">
        <is>
          <t>[18.9, 43.2, 62.3, 88.5, 97.2, 112.7, 147.9, 380.5]</t>
        </is>
      </c>
      <c r="G445" s="8" t="inlineStr">
        <is>
          <t>106</t>
        </is>
      </c>
      <c r="H445" s="8" t="n">
        <v>0.25</v>
      </c>
      <c r="I445" s="8" t="n"/>
    </row>
    <row r="446">
      <c r="A446" s="8" t="inlineStr">
        <is>
          <t>W</t>
        </is>
      </c>
      <c r="B446" s="8" t="inlineStr">
        <is>
          <t>confined_site</t>
        </is>
      </c>
      <c r="C446" s="8" t="n"/>
      <c r="D446" s="8" t="inlineStr">
        <is>
          <t>NH2</t>
        </is>
      </c>
      <c r="E446" s="11" t="n">
        <v>-1.1354</v>
      </c>
      <c r="F446" s="7" t="inlineStr">
        <is>
          <t>[19.0, 39.8, 60.9, 80.3, 91.6, 93.6, 176.5, 367.0, 376.7]</t>
        </is>
      </c>
      <c r="G446" s="8" t="inlineStr">
        <is>
          <t>100</t>
        </is>
      </c>
      <c r="H446" s="8" t="n">
        <v>0.25</v>
      </c>
      <c r="I446" s="8" t="n"/>
    </row>
    <row r="447">
      <c r="A447" s="8" t="inlineStr">
        <is>
          <t>W</t>
        </is>
      </c>
      <c r="B447" s="8" t="inlineStr">
        <is>
          <t>confined_site</t>
        </is>
      </c>
      <c r="C447" s="8" t="n"/>
      <c r="D447" s="8" t="inlineStr">
        <is>
          <t>NH2-H</t>
        </is>
      </c>
      <c r="E447" s="11" t="n">
        <v>-0.0204</v>
      </c>
      <c r="F447" s="7" t="inlineStr">
        <is>
          <t>[17.3, 24.4, 27.1, 65.7, 82.2, 92.8, 110.5, 162.3, 176.4, 375.2, 395.9]</t>
        </is>
      </c>
      <c r="G447" s="8" t="inlineStr">
        <is>
          <t>121</t>
        </is>
      </c>
      <c r="H447" s="8" t="n">
        <v>0.25</v>
      </c>
      <c r="I447" s="8" t="n"/>
    </row>
    <row r="448">
      <c r="A448" s="8" t="inlineStr">
        <is>
          <t>W</t>
        </is>
      </c>
      <c r="B448" s="8" t="inlineStr">
        <is>
          <t>confined_site</t>
        </is>
      </c>
      <c r="C448" s="8" t="n"/>
      <c r="D448" s="8" t="inlineStr">
        <is>
          <t>NH3</t>
        </is>
      </c>
      <c r="E448" s="11" t="n">
        <v>-0.2794</v>
      </c>
      <c r="F448" s="7" t="inlineStr">
        <is>
          <t>[5.7, 18.9, 24.9, 65.4, 81.5, 88.8, 106.4, 171.7, 173.8, 362.9, 378.9, 385.2]</t>
        </is>
      </c>
      <c r="G448" s="8" t="inlineStr">
        <is>
          <t>65</t>
        </is>
      </c>
      <c r="H448" s="8" t="n">
        <v>0.25</v>
      </c>
      <c r="I448" s="8" t="n"/>
    </row>
  </sheetData>
  <autoFilter ref="A4:I448"/>
  <mergeCells count="2">
    <mergeCell ref="A1:I1"/>
    <mergeCell ref="A2:I2"/>
  </mergeCells>
  <pageMargins left="0.25" right="0.25" top="0.5" bottom="0.5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2" customWidth="1" min="4" max="4"/>
    <col width="15" customWidth="1" min="5" max="5"/>
    <col width="11" customWidth="1" min="6" max="6"/>
    <col width="15" customWidth="1" min="7" max="7"/>
    <col width="16" customWidth="1" min="8" max="8"/>
    <col width="12" customWidth="1" min="9" max="9"/>
    <col width="17" customWidth="1" min="10" max="10"/>
    <col width="12" customWidth="1" min="11" max="11"/>
  </cols>
  <sheetData>
    <row r="1" ht="27" customHeight="1">
      <c r="A1" s="1" t="inlineStr">
        <is>
          <t>Raw S1 step-site energetics — 14 metals</t>
        </is>
      </c>
    </row>
    <row r="2" ht="32" customHeight="1">
      <c r="A2" s="2" t="inlineStr">
        <is>
          <t>These are the step-site rows available directly in Dataset S1. Fe is intentionally absent here.</t>
        </is>
      </c>
    </row>
    <row r="3"/>
    <row r="4" ht="32" customHeight="1">
      <c r="A4" s="10" t="inlineStr">
        <is>
          <t>Metal</t>
        </is>
      </c>
      <c r="B4" s="10" t="inlineStr">
        <is>
          <t>E_N (eV)</t>
        </is>
      </c>
      <c r="C4" s="10" t="inlineStr">
        <is>
          <t>E_H (eV)</t>
        </is>
      </c>
      <c r="D4" s="10" t="inlineStr">
        <is>
          <t>E_N2* (eV)</t>
        </is>
      </c>
      <c r="E4" s="10" t="inlineStr">
        <is>
          <t>E_N-N^TS (eV)</t>
        </is>
      </c>
      <c r="F4" s="10" t="inlineStr">
        <is>
          <t>E_NH (eV)</t>
        </is>
      </c>
      <c r="G4" s="10" t="inlineStr">
        <is>
          <t>E_N-H^TS (eV)</t>
        </is>
      </c>
      <c r="H4" s="10" t="inlineStr">
        <is>
          <t>E_NH-H^TS (eV)</t>
        </is>
      </c>
      <c r="I4" s="10" t="inlineStr">
        <is>
          <t>E_NH2 (eV)</t>
        </is>
      </c>
      <c r="J4" s="10" t="inlineStr">
        <is>
          <t>E_NH2-H^TS (eV)</t>
        </is>
      </c>
      <c r="K4" s="10" t="inlineStr">
        <is>
          <t>E_NH3 (eV)</t>
        </is>
      </c>
    </row>
    <row r="5">
      <c r="A5" s="8" t="inlineStr">
        <is>
          <t>Ag</t>
        </is>
      </c>
      <c r="B5" s="11" t="n">
        <v>2.911</v>
      </c>
      <c r="C5" s="11" t="n">
        <v>0.381</v>
      </c>
      <c r="D5" s="11" t="n">
        <v>-0.1139</v>
      </c>
      <c r="E5" s="11" t="n">
        <v>7.5906</v>
      </c>
      <c r="F5" s="11" t="n">
        <v>1.2516</v>
      </c>
      <c r="G5" s="11" t="n">
        <v>4.0242</v>
      </c>
      <c r="H5" s="11" t="n">
        <v>2.4547</v>
      </c>
      <c r="I5" s="11" t="n">
        <v>-0.3377</v>
      </c>
      <c r="J5" s="11" t="n">
        <v>1.2286</v>
      </c>
      <c r="K5" s="11" t="n">
        <v>-1.1523</v>
      </c>
    </row>
    <row r="6">
      <c r="A6" s="8" t="inlineStr">
        <is>
          <t>Au</t>
        </is>
      </c>
      <c r="B6" s="11" t="n">
        <v>3.0029</v>
      </c>
      <c r="C6" s="11" t="n">
        <v>0.2992</v>
      </c>
      <c r="D6" s="11" t="n">
        <v>-0.1306</v>
      </c>
      <c r="E6" s="11" t="n">
        <v>8.978400000000001</v>
      </c>
      <c r="F6" s="11" t="n">
        <v>1.3889</v>
      </c>
      <c r="G6" s="11" t="n">
        <v>3.8511</v>
      </c>
      <c r="H6" s="11" t="n">
        <v>2.514</v>
      </c>
      <c r="I6" s="11" t="n">
        <v>-0.2835</v>
      </c>
      <c r="J6" s="11" t="n">
        <v>0.9417</v>
      </c>
      <c r="K6" s="11" t="n">
        <v>-1.2005</v>
      </c>
    </row>
    <row r="7">
      <c r="A7" s="8" t="inlineStr">
        <is>
          <t>Co</t>
        </is>
      </c>
      <c r="B7" s="11" t="n">
        <v>-0.2701</v>
      </c>
      <c r="C7" s="11" t="n">
        <v>-0.2591</v>
      </c>
      <c r="D7" s="11" t="n">
        <v>-0.6564</v>
      </c>
      <c r="E7" s="11" t="n">
        <v>1.9503</v>
      </c>
      <c r="F7" s="11" t="n">
        <v>-0.9479</v>
      </c>
      <c r="G7" s="11" t="n">
        <v>0.3919</v>
      </c>
      <c r="H7" s="11" t="n">
        <v>0.0269</v>
      </c>
      <c r="I7" s="11" t="n">
        <v>-1.4836</v>
      </c>
      <c r="J7" s="11" t="n">
        <v>-0.7213000000000001</v>
      </c>
      <c r="K7" s="11" t="n">
        <v>-1.6416</v>
      </c>
    </row>
    <row r="8">
      <c r="A8" s="8" t="inlineStr">
        <is>
          <t>Cu</t>
        </is>
      </c>
      <c r="B8" s="11" t="n">
        <v>1.2491</v>
      </c>
      <c r="C8" s="11" t="n">
        <v>-0.0452</v>
      </c>
      <c r="D8" s="11" t="n">
        <v>-0.1261</v>
      </c>
      <c r="E8" s="11" t="n">
        <v>4.4172</v>
      </c>
      <c r="F8" s="11" t="n">
        <v>0.0893</v>
      </c>
      <c r="G8" s="11" t="n">
        <v>2.2882</v>
      </c>
      <c r="H8" s="11" t="n">
        <v>1.3546</v>
      </c>
      <c r="I8" s="11" t="n">
        <v>-1.0541</v>
      </c>
      <c r="J8" s="11" t="n">
        <v>0.2595</v>
      </c>
      <c r="K8" s="11" t="n">
        <v>-1.3796</v>
      </c>
    </row>
    <row r="9">
      <c r="A9" s="8" t="inlineStr">
        <is>
          <t>Ir</t>
        </is>
      </c>
      <c r="B9" s="11" t="n">
        <v>-0.4407</v>
      </c>
      <c r="C9" s="11" t="n">
        <v>-0.5867</v>
      </c>
      <c r="D9" s="11" t="n">
        <v>-0.7954</v>
      </c>
      <c r="E9" s="11" t="n">
        <v>1.099</v>
      </c>
      <c r="F9" s="11" t="n">
        <v>-0.9685</v>
      </c>
      <c r="G9" s="11" t="n">
        <v>0.7265</v>
      </c>
      <c r="H9" s="11" t="n">
        <v>-0.2354</v>
      </c>
      <c r="I9" s="11" t="n">
        <v>-1.7381</v>
      </c>
      <c r="J9" s="11" t="n">
        <v>-0.7487</v>
      </c>
      <c r="K9" s="11" t="n">
        <v>-1.937</v>
      </c>
    </row>
    <row r="10">
      <c r="A10" s="8" t="inlineStr">
        <is>
          <t>Mo</t>
        </is>
      </c>
      <c r="B10" s="11" t="n">
        <v>-1.8417</v>
      </c>
      <c r="C10" s="11" t="n">
        <v>-0.7187</v>
      </c>
      <c r="D10" s="11" t="n">
        <v>-1.5107</v>
      </c>
      <c r="E10" s="11" t="n">
        <v>-0.9147</v>
      </c>
      <c r="F10" s="11" t="n">
        <v>-2.088</v>
      </c>
      <c r="G10" s="11" t="n">
        <v>-0.6237</v>
      </c>
      <c r="H10" s="11" t="n">
        <v>-0.714</v>
      </c>
      <c r="I10" s="11" t="n">
        <v>-2.1565</v>
      </c>
      <c r="J10" s="11" t="n">
        <v>-0.7779</v>
      </c>
      <c r="K10" s="11" t="n">
        <v>-1.9302</v>
      </c>
    </row>
    <row r="11">
      <c r="A11" s="8" t="inlineStr">
        <is>
          <t>Ni</t>
        </is>
      </c>
      <c r="B11" s="11" t="n">
        <v>-0.09279999999999999</v>
      </c>
      <c r="C11" s="11" t="n">
        <v>-0.3841</v>
      </c>
      <c r="D11" s="11" t="n">
        <v>-0.6225000000000001</v>
      </c>
      <c r="E11" s="11" t="n">
        <v>1.4944</v>
      </c>
      <c r="F11" s="11" t="n">
        <v>-0.6889</v>
      </c>
      <c r="G11" s="11" t="n">
        <v>0.8989</v>
      </c>
      <c r="H11" s="11" t="n">
        <v>0.1945</v>
      </c>
      <c r="I11" s="11" t="n">
        <v>-1.5053</v>
      </c>
      <c r="J11" s="11" t="n">
        <v>-0.6018</v>
      </c>
      <c r="K11" s="11" t="n">
        <v>-1.6489</v>
      </c>
    </row>
    <row r="12">
      <c r="A12" s="8" t="inlineStr">
        <is>
          <t>Os</t>
        </is>
      </c>
      <c r="B12" s="11" t="n">
        <v>-1.1095</v>
      </c>
      <c r="C12" s="11" t="n">
        <v>-0.7121</v>
      </c>
      <c r="D12" s="11" t="n">
        <v>-0.8328</v>
      </c>
      <c r="E12" s="11" t="n">
        <v>0.1851</v>
      </c>
      <c r="F12" s="11" t="n">
        <v>-1.488</v>
      </c>
      <c r="G12" s="11" t="n">
        <v>-0.0587</v>
      </c>
      <c r="H12" s="11" t="n">
        <v>-0.7034</v>
      </c>
      <c r="I12" s="11" t="n">
        <v>-2.0477</v>
      </c>
      <c r="J12" s="11" t="n">
        <v>-0.8323</v>
      </c>
      <c r="K12" s="11" t="n">
        <v>-2.0462</v>
      </c>
    </row>
    <row r="13">
      <c r="A13" s="8" t="inlineStr">
        <is>
          <t>Pd</t>
        </is>
      </c>
      <c r="B13" s="11" t="n">
        <v>0.5637</v>
      </c>
      <c r="C13" s="11" t="n">
        <v>-0.3509</v>
      </c>
      <c r="D13" s="11" t="n">
        <v>-0.3902</v>
      </c>
      <c r="E13" s="11" t="n">
        <v>4.2523</v>
      </c>
      <c r="F13" s="11" t="n">
        <v>0.0039</v>
      </c>
      <c r="G13" s="11" t="n">
        <v>1.4136</v>
      </c>
      <c r="H13" s="11" t="n">
        <v>1.0455</v>
      </c>
      <c r="I13" s="11" t="n">
        <v>-0.9298999999999999</v>
      </c>
      <c r="J13" s="11" t="n">
        <v>-0.1422</v>
      </c>
      <c r="K13" s="11" t="n">
        <v>-1.5221</v>
      </c>
    </row>
    <row r="14">
      <c r="A14" s="8" t="inlineStr">
        <is>
          <t>Pt</t>
        </is>
      </c>
      <c r="B14" s="11" t="n">
        <v>0.5895</v>
      </c>
      <c r="C14" s="11" t="n">
        <v>-0.4717</v>
      </c>
      <c r="D14" s="11" t="n">
        <v>-0.4476</v>
      </c>
      <c r="E14" s="11" t="n">
        <v>2.4704</v>
      </c>
      <c r="F14" s="11" t="n">
        <v>-0.0476</v>
      </c>
      <c r="G14" s="11" t="n">
        <v>1.34</v>
      </c>
      <c r="H14" s="11" t="n">
        <v>0.8868</v>
      </c>
      <c r="I14" s="11" t="n">
        <v>-1.3007</v>
      </c>
      <c r="J14" s="11" t="n">
        <v>-0.4052</v>
      </c>
      <c r="K14" s="11" t="n">
        <v>-1.8103</v>
      </c>
    </row>
    <row r="15">
      <c r="A15" s="8" t="inlineStr">
        <is>
          <t>Re</t>
        </is>
      </c>
      <c r="B15" s="11" t="n">
        <v>-1.8252</v>
      </c>
      <c r="C15" s="11" t="n">
        <v>-0.8013</v>
      </c>
      <c r="D15" s="11" t="n">
        <v>-1.0229</v>
      </c>
      <c r="E15" s="11" t="n">
        <v>-0.7695</v>
      </c>
      <c r="F15" s="11" t="n">
        <v>-1.9945</v>
      </c>
      <c r="G15" s="11" t="n">
        <v>-0.3796</v>
      </c>
      <c r="H15" s="11" t="n">
        <v>-1.212</v>
      </c>
      <c r="I15" s="11" t="n">
        <v>-2.3639</v>
      </c>
      <c r="J15" s="11" t="n">
        <v>-0.9116</v>
      </c>
      <c r="K15" s="11" t="n">
        <v>-1.9839</v>
      </c>
    </row>
    <row r="16">
      <c r="A16" s="8" t="inlineStr">
        <is>
          <t>Rh</t>
        </is>
      </c>
      <c r="B16" s="11" t="n">
        <v>-0.458</v>
      </c>
      <c r="C16" s="11" t="n">
        <v>-0.4059</v>
      </c>
      <c r="D16" s="11" t="n">
        <v>-0.6357</v>
      </c>
      <c r="E16" s="11" t="n">
        <v>0.9569</v>
      </c>
      <c r="F16" s="11" t="n">
        <v>-0.7745</v>
      </c>
      <c r="G16" s="11" t="n">
        <v>0.5994</v>
      </c>
      <c r="H16" s="11" t="n">
        <v>-0.0044</v>
      </c>
      <c r="I16" s="11" t="n">
        <v>-1.4622</v>
      </c>
      <c r="J16" s="11" t="n">
        <v>-0.628</v>
      </c>
      <c r="K16" s="11" t="n">
        <v>-1.6682</v>
      </c>
    </row>
    <row r="17">
      <c r="A17" s="8" t="inlineStr">
        <is>
          <t>Ru</t>
        </is>
      </c>
      <c r="B17" s="11" t="n">
        <v>-1.1333</v>
      </c>
      <c r="C17" s="11" t="n">
        <v>-0.4897</v>
      </c>
      <c r="D17" s="11" t="n">
        <v>-0.7234</v>
      </c>
      <c r="E17" s="11" t="n">
        <v>0.2718</v>
      </c>
      <c r="F17" s="11" t="n">
        <v>-1.343</v>
      </c>
      <c r="G17" s="11" t="n">
        <v>0.0089</v>
      </c>
      <c r="H17" s="11" t="n">
        <v>-0.2801</v>
      </c>
      <c r="I17" s="11" t="n">
        <v>-1.7391</v>
      </c>
      <c r="J17" s="11" t="n">
        <v>-0.7754</v>
      </c>
      <c r="K17" s="11" t="n">
        <v>-1.8005</v>
      </c>
    </row>
    <row r="18">
      <c r="A18" s="8" t="inlineStr">
        <is>
          <t>W</t>
        </is>
      </c>
      <c r="B18" s="11" t="n">
        <v>-2.161</v>
      </c>
      <c r="C18" s="11" t="n">
        <v>-0.6777</v>
      </c>
      <c r="D18" s="11" t="n">
        <v>-1.5111</v>
      </c>
      <c r="E18" s="11" t="n">
        <v>-0.8249</v>
      </c>
      <c r="F18" s="11" t="n">
        <v>-2.4101</v>
      </c>
      <c r="G18" s="11" t="n">
        <v>-0.5697</v>
      </c>
      <c r="H18" s="11" t="n">
        <v>-1.3387</v>
      </c>
      <c r="I18" s="11" t="n">
        <v>-2.4821</v>
      </c>
      <c r="J18" s="11" t="n">
        <v>-1.017</v>
      </c>
      <c r="K18" s="11" t="n">
        <v>-2.1039</v>
      </c>
    </row>
  </sheetData>
  <mergeCells count="2">
    <mergeCell ref="A2:K2"/>
    <mergeCell ref="A1:K1"/>
  </mergeCells>
  <pageMargins left="0.25" right="0.25" top="0.5" bottom="0.5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I20"/>
  <ns0:sheetViews>
    <ns0:sheetView showGridLines="0" workbookViewId="0">
      <ns0:pane ySplit="4" topLeftCell="A5" activePane="bottomLeft" state="frozen"/>
      <ns0:selection pane="bottomLeft" activeCell="A1" sqref="A1"/>
    </ns0:sheetView>
  </ns0:sheetViews>
  <ns0:sheetFormatPr baseColWidth="8" defaultRowHeight="15"/>
  <ns0:cols>
    <ns0:col width="33" customWidth="1" min="1" max="1"/>
    <ns0:col width="18" customWidth="1" min="2" max="2"/>
    <ns0:col width="16" customWidth="1" min="3" max="3"/>
    <ns0:col width="22" customWidth="1" min="4" max="4"/>
    <ns0:col width="10" customWidth="1" min="5" max="5"/>
    <ns0:col width="10" customWidth="1" min="6" max="6"/>
    <ns0:col width="11" customWidth="1" min="7" max="7"/>
    <ns0:col width="27" customWidth="1" min="8" max="8"/>
    <ns0:col width="33" customWidth="1" min="9" max="9"/>
  </ns0:cols>
  <ns0:sheetData>
    <ns0:row r="1" ht="27" customHeight="1">
      <ns0:c r="A1" s="1" t="inlineStr">
        <ns0:is>
          <ns0:t>Fe step descriptor bridge</ns0:t>
        </ns0:is>
      </ns0:c>
    </ns0:row>
    <ns0:row r="2" ht="32" customHeight="1">
      <ns0:c r="A2" s="2" t="inlineStr">
        <ns0:is>
          <ns0:t>Regression of step-site E_N against terrace E_N for the 14 metals with both values. Fe terrace E_N is raw S1; Fe step E_N is the regression prediction.</ns0:t>
        </ns0:is>
      </ns0:c>
    </ns0:row>
    <ns0:row r="3"/>
    <ns0:row r="4" ht="32" customHeight="1">
      <ns0:c r="A4" s="10" t="inlineStr">
        <ns0:is>
          <ns0:t>Metal</ns0:t>
        </ns0:is>
      </ns0:c>
      <ns0:c r="B4" s="10" t="inlineStr">
        <ns0:is>
          <ns0:t>Terrace E_N (eV)</ns0:t>
        </ns0:is>
      </ns0:c>
      <ns0:c r="C4" s="10" t="inlineStr">
        <ns0:is>
          <ns0:t>Step E_N (eV)</ns0:t>
        </ns0:is>
      </ns0:c>
      <ns0:c r="D4" s="10" t="inlineStr">
        <ns0:is>
          <ns0:t>Residual (eV)</ns0:t>
        </ns0:is>
      </ns0:c>
      <ns0:c r="E4" s="10" t="inlineStr"/>
      <ns0:c r="F4" s="10" t="inlineStr"/>
      <ns0:c r="G4" s="10" t="inlineStr">
        <ns0:is>
          <ns0:t>Control</ns0:t>
        </ns0:is>
      </ns0:c>
      <ns0:c r="H4" s="10" t="inlineStr">
        <ns0:is>
          <ns0:t>Value</ns0:t>
        </ns0:is>
      </ns0:c>
      <ns0:c r="I4" s="10" t="inlineStr">
        <ns0:is>
          <ns0:t>Meaning</ns0:t>
        </ns0:is>
      </ns0:c>
    </ns0:row>
    <ns0:row r="5">
      <ns0:c r="A5" s="8" t="inlineStr">
        <ns0:is>
          <ns0:t>Ag</ns0:t>
        </ns0:is>
      </ns0:c>
      <ns0:c r="B5" s="11" t="n">
        <ns0:v>2.9765</ns0:v>
      </ns0:c>
      <ns0:c r="C5" s="11" t="n">
        <ns0:v>2.911</ns0:v>
      </ns0:c>
      <ns0:c r="D5" s="13">
        <ns0:f>C5-($H$5*B5+$H$6)</ns0:f>
        <ns0:v>-0.356039009816552</ns0:v>
      </ns0:c>
      <ns0:c r="G5" s="14" t="inlineStr">
        <ns0:is>
          <ns0:t>Slope</ns0:t>
        </ns0:is>
      </ns0:c>
      <ns0:c r="H5" s="13">
        <ns0:f>SLOPE(C5:C18,B5:B18)</ns0:f>
        <ns0:v>1.15474363873408</ns0:v>
      </ns0:c>
      <ns0:c r="I5" s="15" t="inlineStr">
        <ns0:is>
          <ns0:t>step E_N = slope × terrace E_N + intercept</ns0:t>
        </ns0:is>
      </ns0:c>
    </ns0:row>
    <ns0:row r="6">
      <ns0:c r="A6" s="8" t="inlineStr">
        <ns0:is>
          <ns0:t>Au</ns0:t>
        </ns0:is>
      </ns0:c>
      <ns0:c r="B6" s="11" t="n">
        <ns0:v>2.3914</ns0:v>
      </ns0:c>
      <ns0:c r="C6" s="11" t="n">
        <ns0:v>3.0029</ns0:v>
      </ns0:c>
      <ns0:c r="D6" s="13">
        <ns0:f>C6-($H$5*B6+$H$6)</ns0:f>
        <ns0:v>0.411501493206755</ns0:v>
      </ns0:c>
      <ns0:c r="G6" s="14" t="inlineStr">
        <ns0:is>
          <ns0:t>Intercept</ns0:t>
        </ns0:is>
      </ns0:c>
      <ns0:c r="H6" s="13">
        <ns0:f>INTERCEPT(C5:C18,B5:B18)</ns0:f>
        <ns0:v>-0.170055430875424</ns0:v>
      </ns0:c>
      <ns0:c r="I6" t="inlineStr">
        <ns0:is>
          <ns0:t>eV</ns0:t>
        </ns0:is>
      </ns0:c>
    </ns0:row>
    <ns0:row r="7">
      <ns0:c r="A7" s="8" t="inlineStr">
        <ns0:is>
          <ns0:t>Co</ns0:t>
        </ns0:is>
      </ns0:c>
      <ns0:c r="B7" s="11" t="n">
        <ns0:v>-0.09859999999999999</ns0:v>
      </ns0:c>
      <ns0:c r="C7" s="11" t="n">
        <ns0:v>-0.2701</ns0:v>
      </ns0:c>
      <ns0:c r="D7" s="13">
        <ns0:f>C7-($H$5*B7+$H$6)</ns0:f>
        <ns0:v>0.0138131536546034</ns0:v>
      </ns0:c>
      <ns0:c r="G7" s="14" t="inlineStr">
        <ns0:is>
          <ns0:t>R²</ns0:t>
        </ns0:is>
      </ns0:c>
      <ns0:c r="H7" s="13">
        <ns0:f>RSQ(C5:C18,B5:B18)</ns0:f>
        <ns0:v>0.981812995510093</ns0:v>
      </ns0:c>
      <ns0:c r="I7" t="inlineStr">
        <ns0:is>
          <ns0:t>fit quality</ns0:t>
        </ns0:is>
      </ns0:c>
    </ns0:row>
    <ns0:row r="8">
      <ns0:c r="A8" s="8" t="inlineStr">
        <ns0:is>
          <ns0:t>Cu</ns0:t>
        </ns0:is>
      </ns0:c>
      <ns0:c r="B8" s="11" t="n">
        <ns0:v>1.0619</ns0:v>
      </ns0:c>
      <ns0:c r="C8" s="11" t="n">
        <ns0:v>1.2491</ns0:v>
      </ns0:c>
      <ns0:c r="D8" s="13">
        <ns0:f>C8-($H$5*B8+$H$6)</ns0:f>
        <ns0:v>0.192933160903709</ns0:v>
      </ns0:c>
    </ns0:row>
    <ns0:row r="9">
      <ns0:c r="A9" s="8" t="inlineStr">
        <ns0:is>
          <ns0:t>Ir</ns0:t>
        </ns0:is>
      </ns0:c>
      <ns0:c r="B9" s="11" t="n">
        <ns0:v>-0.09130000000000001</ns0:v>
      </ns0:c>
      <ns0:c r="C9" s="11" t="n">
        <ns0:v>-0.4407</ns0:v>
      </ns0:c>
      <ns0:c r="D9" s="13">
        <ns0:f>C9-($H$5*B9+$H$6)</ns0:f>
        <ns0:v>-0.165216474908155</ns0:v>
      </ns0:c>
    </ns0:row>
    <ns0:row r="10">
      <ns0:c r="A10" s="8" t="inlineStr">
        <ns0:is>
          <ns0:t>Mo</ns0:t>
        </ns0:is>
      </ns0:c>
      <ns0:c r="B10" s="11" t="n">
        <ns0:v>-1.5343</ns0:v>
      </ns0:c>
      <ns0:c r="C10" s="11" t="n">
        <ns0:v>-1.8417</ns0:v>
      </ns0:c>
      <ns0:c r="D10" s="13">
        <ns0:f>C10-($H$5*B10+$H$6)</ns0:f>
        <ns0:v>0.100078595785116</ns0:v>
      </ns0:c>
    </ns0:row>
    <ns0:row r="11">
      <ns0:c r="A11" s="8" t="inlineStr">
        <ns0:is>
          <ns0:t>Ni</ns0:t>
        </ns0:is>
      </ns0:c>
      <ns0:c r="B11" s="11" t="n">
        <ns0:v>0.09959999999999999</ns0:v>
      </ns0:c>
      <ns0:c r="C11" s="11" t="n">
        <ns0:v>-0.09279999999999999</ns0:v>
      </ns0:c>
      <ns0:c r="D11" s="13">
        <ns0:f>C11-($H$5*B11+$H$6)</ns0:f>
        <ns0:v>-0.0377570355424903</ns0:v>
      </ns0:c>
    </ns0:row>
    <ns0:row r="12">
      <ns0:c r="A12" s="8" t="inlineStr">
        <ns0:is>
          <ns0:t>Os</ns0:t>
        </ns0:is>
      </ns0:c>
      <ns0:c r="B12" s="11" t="n">
        <ns0:v>-0.7403999999999999</ns0:v>
      </ns0:c>
      <ns0:c r="C12" s="11" t="n">
        <ns0:v>-1.1095</ns0:v>
      </ns0:c>
      <ns0:c r="D12" s="13">
        <ns0:f>C12-($H$5*B12+$H$6)</ns0:f>
        <ns0:v>-0.0844723790058668</ns0:v>
      </ns0:c>
    </ns0:row>
    <ns0:row r="13">
      <ns0:c r="A13" s="8" t="inlineStr">
        <ns0:is>
          <ns0:t>Pd</ns0:t>
        </ns0:is>
      </ns0:c>
      <ns0:c r="B13" s="11" t="n">
        <ns0:v>0.8054</ns0:v>
      </ns0:c>
      <ns0:c r="C13" s="11" t="n">
        <ns0:v>0.5637</ns0:v>
      </ns0:c>
      <ns0:c r="D13" s="13">
        <ns0:f>C13-($H$5*B13+$H$6)</ns0:f>
        <ns0:v>-0.196275095761001</ns0:v>
      </ns0:c>
    </ns0:row>
    <ns0:row r="14">
      <ns0:c r="A14" s="8" t="inlineStr">
        <ns0:is>
          <ns0:t>Pt</ns0:t>
        </ns0:is>
      </ns0:c>
      <ns0:c r="B14" s="11" t="n">
        <ns0:v>0.334</ns0:v>
      </ns0:c>
      <ns0:c r="C14" s="11" t="n">
        <ns0:v>0.5895</ns0:v>
      </ns0:c>
      <ns0:c r="D14" s="13">
        <ns0:f>C14-($H$5*B14+$H$6)</ns0:f>
        <ns0:v>0.373871055538242</ns0:v>
      </ns0:c>
    </ns0:row>
    <ns0:row r="15">
      <ns0:c r="A15" s="8" t="inlineStr">
        <ns0:is>
          <ns0:t>Re</ns0:t>
        </ns0:is>
      </ns0:c>
      <ns0:c r="B15" s="11" t="n">
        <ns0:v>-1.4205</ns0:v>
      </ns0:c>
      <ns0:c r="C15" s="11" t="n">
        <ns0:v>-1.8252</ns0:v>
      </ns0:c>
      <ns0:c r="D15" s="13">
        <ns0:f>C15-($H$5*B15+$H$6)</ns0:f>
        <ns0:v>-0.014831230302822</ns0:v>
      </ns0:c>
    </ns0:row>
    <ns0:row r="16">
      <ns0:c r="A16" s="8" t="inlineStr">
        <ns0:is>
          <ns0:t>Rh</ns0:t>
        </ns0:is>
      </ns0:c>
      <ns0:c r="B16" s="11" t="n">
        <ns0:v>-0.0431</ns0:v>
      </ns0:c>
      <ns0:c r="C16" s="11" t="n">
        <ns0:v>-0.458</ns0:v>
      </ns0:c>
      <ns0:c r="D16" s="13">
        <ns0:f>C16-($H$5*B16+$H$6)</ns0:f>
        <ns0:v>-0.238175118295138</ns0:v>
      </ns0:c>
    </ns0:row>
    <ns0:row r="17">
      <ns0:c r="A17" s="8" t="inlineStr">
        <ns0:is>
          <ns0:t>Ru</ns0:t>
        </ns0:is>
      </ns0:c>
      <ns0:c r="B17" s="11" t="n">
        <ns0:v>-0.7938</ns0:v>
      </ns0:c>
      <ns0:c r="C17" s="11" t="n">
        <ns0:v>-1.1333</ns0:v>
      </ns0:c>
      <ns0:c r="D17" s="13">
        <ns0:f>C17-($H$5*B17+$H$6)</ns0:f>
        <ns0:v>-0.0466090686974672</ns0:v>
      </ns0:c>
    </ns0:row>
    <ns0:row r="18">
      <ns0:c r="A18" s="8" t="inlineStr">
        <ns0:is>
          <ns0:t>W</ns0:t>
        </ns0:is>
      </ns0:c>
      <ns0:c r="B18" s="11" t="n">
        <ns0:v>-1.765</ns0:v>
      </ns0:c>
      <ns0:c r="C18" s="11" t="n">
        <ns0:v>-2.161</ns0:v>
      </ns0:c>
      <ns0:c r="D18" s="13">
        <ns0:f>C18-($H$5*B18+$H$6)</ns0:f>
        <ns0:v>0.0471779532410666</ns0:v>
      </ns0:c>
    </ns0:row>
    <ns0:row r="19"/>
    <ns0:row r="20">
      <ns0:c r="A20" t="inlineStr">
        <ns0:is>
          <ns0:t>Fe</ns0:t>
        </ns0:is>
      </ns0:c>
      <ns0:c r="B20" s="11" t="n">
        <ns0:v>-1.0583</ns0:v>
      </ns0:c>
      <ns0:c r="C20" s="13">
        <ns0:f>$H$5*B20+$H$6</ns0:f>
        <ns0:v>-1.3921206237477</ns0:v>
      </ns0:c>
      <ns0:c r="D20" s="5" t="inlineStr">
        <ns0:is>
          <ns0:t>Estimated step E_N</ns0:t>
        </ns0:is>
      </ns0:c>
    </ns0:row>
  </ns0:sheetData>
  <ns0:mergeCells count="2">
    <ns0:mergeCell ref="A1:I1"/>
    <ns0:mergeCell ref="A2:I2"/>
  </ns0:mergeCells>
  <ns0:pageMargins left="0.25" right="0.25" top="0.5" bottom="0.5" header="0.5" footer="0.5"/>
  <ns0:pageSetup fitToHeight="0" fitToWidth="1"/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M19"/>
  <ns0:sheetViews>
    <ns0:sheetView showGridLines="0" workbookViewId="0">
      <ns0:pane ySplit="4" topLeftCell="A5" activePane="bottomLeft" state="frozen"/>
      <ns0:selection pane="bottomLeft" activeCell="A1" sqref="A1"/>
    </ns0:sheetView>
  </ns0:sheetViews>
  <ns0:sheetFormatPr baseColWidth="8" defaultRowHeight="15"/>
  <ns0:cols>
    <ns0:col width="35" customWidth="1" min="1" max="1"/>
    <ns0:col width="18" customWidth="1" min="2" max="2"/>
    <ns0:col width="23" customWidth="1" min="3" max="3"/>
    <ns0:col width="35" customWidth="1" min="4" max="4"/>
    <ns0:col width="35" customWidth="1" min="5" max="5"/>
    <ns0:col width="35" customWidth="1" min="6" max="6"/>
    <ns0:col width="35" customWidth="1" min="7" max="7"/>
    <ns0:col width="35" customWidth="1" min="8" max="8"/>
    <ns0:col width="35" customWidth="1" min="9" max="9"/>
    <ns0:col width="35" customWidth="1" min="10" max="10"/>
    <ns0:col width="35" customWidth="1" min="11" max="11"/>
    <ns0:col width="35" customWidth="1" min="12" max="12"/>
    <ns0:col width="52" customWidth="1" min="13" max="13"/>
  </ns0:cols>
  <ns0:sheetData>
    <ns0:row r="1" ht="27" customHeight="1">
      <ns0:c r="A1" s="1" t="inlineStr">
        <ns0:is>
          <ns0:t>15-metal step-site energetics table</ns0:t>
        </ns0:is>
      </ns0:c>
    </ns0:row>
    <ns0:row r="2" ht="32" customHeight="1">
      <ns0:c r="A2" s="2" t="inlineStr">
        <ns0:is>
          <ns0:t>14 metals are raw Dataset S1 step energies. Fe is explicitly scaling-estimated because the uploaded S1 contains no Fe step_site rows.</ns0:t>
        </ns0:is>
      </ns0:c>
    </ns0:row>
    <ns0:row r="3"/>
    <ns0:row r="4" ht="32" customHeight="1">
      <ns0:c r="A4" s="10" t="inlineStr">
        <ns0:is>
          <ns0:t>Metal</ns0:t>
        </ns0:is>
      </ns0:c>
      <ns0:c r="B4" s="10" t="inlineStr">
        <ns0:is>
          <ns0:t>Source method</ns0:t>
        </ns0:is>
      </ns0:c>
      <ns0:c r="C4" s="10" t="inlineStr">
        <ns0:is>
          <ns0:t>E_N (eV)</ns0:t>
        </ns0:is>
      </ns0:c>
      <ns0:c r="D4" s="10" t="inlineStr">
        <ns0:is>
          <ns0:t>E_H (eV)</ns0:t>
        </ns0:is>
      </ns0:c>
      <ns0:c r="E4" s="10" t="inlineStr">
        <ns0:is>
          <ns0:t>E_N2* (eV)</ns0:t>
        </ns0:is>
      </ns0:c>
      <ns0:c r="F4" s="10" t="inlineStr">
        <ns0:is>
          <ns0:t>E_N-N^TS (eV)</ns0:t>
        </ns0:is>
      </ns0:c>
      <ns0:c r="G4" s="10" t="inlineStr">
        <ns0:is>
          <ns0:t>E_NH (eV)</ns0:t>
        </ns0:is>
      </ns0:c>
      <ns0:c r="H4" s="10" t="inlineStr">
        <ns0:is>
          <ns0:t>E_N-H^TS (eV)</ns0:t>
        </ns0:is>
      </ns0:c>
      <ns0:c r="I4" s="10" t="inlineStr">
        <ns0:is>
          <ns0:t>E_NH-H^TS (eV)</ns0:t>
        </ns0:is>
      </ns0:c>
      <ns0:c r="J4" s="10" t="inlineStr">
        <ns0:is>
          <ns0:t>E_NH2 (eV)</ns0:t>
        </ns0:is>
      </ns0:c>
      <ns0:c r="K4" s="10" t="inlineStr">
        <ns0:is>
          <ns0:t>E_NH2-H^TS (eV)</ns0:t>
        </ns0:is>
      </ns0:c>
      <ns0:c r="L4" s="10" t="inlineStr">
        <ns0:is>
          <ns0:t>E_NH3 (eV)</ns0:t>
        </ns0:is>
      </ns0:c>
      <ns0:c r="M4" s="10" t="inlineStr">
        <ns0:is>
          <ns0:t>Note</ns0:t>
        </ns0:is>
      </ns0:c>
    </ns0:row>
    <ns0:row r="5">
      <ns0:c r="A5" t="inlineStr">
        <ns0:is>
          <ns0:t>Ag</ns0:t>
        </ns0:is>
      </ns0:c>
      <ns0:c r="B5" s="8" t="inlineStr">
        <ns0:is>
          <ns0:t>S1 raw step_site</ns0:t>
        </ns0:is>
      </ns0:c>
      <ns0:c r="C5" s="11" t="n">
        <ns0:v>2.911</ns0:v>
      </ns0:c>
      <ns0:c r="D5" s="11" t="n">
        <ns0:v>0.381</ns0:v>
      </ns0:c>
      <ns0:c r="E5" s="11" t="n">
        <ns0:v>-0.1139</ns0:v>
      </ns0:c>
      <ns0:c r="F5" s="11" t="n">
        <ns0:v>7.5906</ns0:v>
      </ns0:c>
      <ns0:c r="G5" s="11" t="n">
        <ns0:v>1.2516</ns0:v>
      </ns0:c>
      <ns0:c r="H5" s="11" t="n">
        <ns0:v>4.0242</ns0:v>
      </ns0:c>
      <ns0:c r="I5" s="11" t="n">
        <ns0:v>2.4547</ns0:v>
      </ns0:c>
      <ns0:c r="J5" s="11" t="n">
        <ns0:v>-0.3377</ns0:v>
      </ns0:c>
      <ns0:c r="K5" s="11" t="n">
        <ns0:v>1.2286</ns0:v>
      </ns0:c>
      <ns0:c r="L5" s="11" t="n">
        <ns0:v>-1.1523</ns0:v>
      </ns0:c>
      <ns0:c r="M5" s="9" t="inlineStr">
        <ns0:is>
          <ns0:t>Raw S1 step-site formation energies</ns0:t>
        </ns0:is>
      </ns0:c>
    </ns0:row>
    <ns0:row r="6">
      <ns0:c r="A6" t="inlineStr">
        <ns0:is>
          <ns0:t>Au</ns0:t>
        </ns0:is>
      </ns0:c>
      <ns0:c r="B6" s="8" t="inlineStr">
        <ns0:is>
          <ns0:t>S1 raw step_site</ns0:t>
        </ns0:is>
      </ns0:c>
      <ns0:c r="C6" s="11" t="n">
        <ns0:v>3.0029</ns0:v>
      </ns0:c>
      <ns0:c r="D6" s="11" t="n">
        <ns0:v>0.2992</ns0:v>
      </ns0:c>
      <ns0:c r="E6" s="11" t="n">
        <ns0:v>-0.1306</ns0:v>
      </ns0:c>
      <ns0:c r="F6" s="11" t="n">
        <ns0:v>8.978400000000001</ns0:v>
      </ns0:c>
      <ns0:c r="G6" s="11" t="n">
        <ns0:v>1.3889</ns0:v>
      </ns0:c>
      <ns0:c r="H6" s="11" t="n">
        <ns0:v>3.8511</ns0:v>
      </ns0:c>
      <ns0:c r="I6" s="11" t="n">
        <ns0:v>2.514</ns0:v>
      </ns0:c>
      <ns0:c r="J6" s="11" t="n">
        <ns0:v>-0.2835</ns0:v>
      </ns0:c>
      <ns0:c r="K6" s="11" t="n">
        <ns0:v>0.9417</ns0:v>
      </ns0:c>
      <ns0:c r="L6" s="11" t="n">
        <ns0:v>-1.2005</ns0:v>
      </ns0:c>
      <ns0:c r="M6" s="9" t="inlineStr">
        <ns0:is>
          <ns0:t>Raw S1 step-site formation energies</ns0:t>
        </ns0:is>
      </ns0:c>
    </ns0:row>
    <ns0:row r="7">
      <ns0:c r="A7" t="inlineStr">
        <ns0:is>
          <ns0:t>Co</ns0:t>
        </ns0:is>
      </ns0:c>
      <ns0:c r="B7" s="8" t="inlineStr">
        <ns0:is>
          <ns0:t>S1 raw step_site</ns0:t>
        </ns0:is>
      </ns0:c>
      <ns0:c r="C7" s="11" t="n">
        <ns0:v>-0.2701</ns0:v>
      </ns0:c>
      <ns0:c r="D7" s="11" t="n">
        <ns0:v>-0.2591</ns0:v>
      </ns0:c>
      <ns0:c r="E7" s="11" t="n">
        <ns0:v>-0.6564</ns0:v>
      </ns0:c>
      <ns0:c r="F7" s="11" t="n">
        <ns0:v>1.9503</ns0:v>
      </ns0:c>
      <ns0:c r="G7" s="11" t="n">
        <ns0:v>-0.9479</ns0:v>
      </ns0:c>
      <ns0:c r="H7" s="11" t="n">
        <ns0:v>0.3919</ns0:v>
      </ns0:c>
      <ns0:c r="I7" s="11" t="n">
        <ns0:v>0.0269</ns0:v>
      </ns0:c>
      <ns0:c r="J7" s="11" t="n">
        <ns0:v>-1.4836</ns0:v>
      </ns0:c>
      <ns0:c r="K7" s="11" t="n">
        <ns0:v>-0.7213000000000001</ns0:v>
      </ns0:c>
      <ns0:c r="L7" s="11" t="n">
        <ns0:v>-1.6416</ns0:v>
      </ns0:c>
      <ns0:c r="M7" s="9" t="inlineStr">
        <ns0:is>
          <ns0:t>Raw S1 step-site formation energies</ns0:t>
        </ns0:is>
      </ns0:c>
    </ns0:row>
    <ns0:row r="8">
      <ns0:c r="A8" t="inlineStr">
        <ns0:is>
          <ns0:t>Cu</ns0:t>
        </ns0:is>
      </ns0:c>
      <ns0:c r="B8" s="8" t="inlineStr">
        <ns0:is>
          <ns0:t>S1 raw step_site</ns0:t>
        </ns0:is>
      </ns0:c>
      <ns0:c r="C8" s="11" t="n">
        <ns0:v>1.2491</ns0:v>
      </ns0:c>
      <ns0:c r="D8" s="11" t="n">
        <ns0:v>-0.0452</ns0:v>
      </ns0:c>
      <ns0:c r="E8" s="11" t="n">
        <ns0:v>-0.1261</ns0:v>
      </ns0:c>
      <ns0:c r="F8" s="11" t="n">
        <ns0:v>4.4172</ns0:v>
      </ns0:c>
      <ns0:c r="G8" s="11" t="n">
        <ns0:v>0.0893</ns0:v>
      </ns0:c>
      <ns0:c r="H8" s="11" t="n">
        <ns0:v>2.2882</ns0:v>
      </ns0:c>
      <ns0:c r="I8" s="11" t="n">
        <ns0:v>1.3546</ns0:v>
      </ns0:c>
      <ns0:c r="J8" s="11" t="n">
        <ns0:v>-1.0541</ns0:v>
      </ns0:c>
      <ns0:c r="K8" s="11" t="n">
        <ns0:v>0.2595</ns0:v>
      </ns0:c>
      <ns0:c r="L8" s="11" t="n">
        <ns0:v>-1.3796</ns0:v>
      </ns0:c>
      <ns0:c r="M8" s="9" t="inlineStr">
        <ns0:is>
          <ns0:t>Raw S1 step-site formation energies</ns0:t>
        </ns0:is>
      </ns0:c>
    </ns0:row>
    <ns0:row r="9">
      <ns0:c r="A9" t="inlineStr">
        <ns0:is>
          <ns0:t>Fe</ns0:t>
        </ns0:is>
      </ns0:c>
      <ns0:c r="B9" s="5" t="inlineStr">
        <ns0:is>
          <ns0:t>Scaling estimate</ns0:t>
        </ns0:is>
      </ns0:c>
      <ns0:c r="C9" s="13">
        <ns0:f>'Terrace_Step_N'!C20</ns0:f>
        <ns0:v>-1.3921206237477</ns0:v>
      </ns0:c>
      <ns0:c r="D9" s="16">
        <ns0:f>'Scaling_Fits'!$C$5*$C9+'Scaling_Fits'!$D$5</ns0:f>
        <ns0:v>-0.65381895101137</ns0:v>
      </ns0:c>
      <ns0:c r="E9" s="16">
        <ns0:f>'Scaling_Fits'!$C$7*$C9+'Scaling_Fits'!$D$7</ns0:f>
        <ns0:v>-1.00867459669818</ns0:v>
      </ns0:c>
      <ns0:c r="F9" s="16">
        <ns0:f>'Scaling_Fits'!$C$8*$C9+'Scaling_Fits'!$D$8</ns0:f>
        <ns0:v>-0.234674820518022</ns0:v>
      </ns0:c>
      <ns0:c r="G9" s="16">
        <ns0:f>'Scaling_Fits'!$C$9*$C9+'Scaling_Fits'!$D$9</ns0:f>
        <ns0:v>-1.65142391993459</ns0:v>
      </ns0:c>
      <ns0:c r="H9" s="16">
        <ns0:f>'Scaling_Fits'!$C$10*$C9+'Scaling_Fits'!$D$10</ns0:f>
        <ns0:v>-0.211150403555865</ns0:v>
      </ns0:c>
      <ns0:c r="I9" s="16">
        <ns0:f>'Scaling_Fits'!$C$11*$C9+'Scaling_Fits'!$D$11</ns0:f>
        <ns0:v>-0.699264711102148</ns0:v>
      </ns0:c>
      <ns0:c r="J9" s="16">
        <ns0:f>'Scaling_Fits'!$C$12*$C9+'Scaling_Fits'!$D$12</ns0:f>
        <ns0:v>-2.03104861044181</ns0:v>
      </ns0:c>
      <ns0:c r="K9" s="16">
        <ns0:f>'Scaling_Fits'!$C$13*$C9+'Scaling_Fits'!$D$13</ns0:f>
        <ns0:v>-0.909354808714069</ns0:v>
      </ns0:c>
      <ns0:c r="L9" s="16">
        <ns0:f>'Scaling_Fits'!$C$14*$C9+'Scaling_Fits'!$D$14</ns0:f>
        <ns0:v>-1.93092798379471</ns0:v>
      </ns0:c>
      <ns0:c r="M9" s="5" t="inlineStr">
        <ns0:is>
          <ns0:t>Fe step rows are absent in S1; do not cite these as raw DFT values.</ns0:t>
        </ns0:is>
      </ns0:c>
    </ns0:row>
    <ns0:row r="10">
      <ns0:c r="A10" t="inlineStr">
        <ns0:is>
          <ns0:t>Ir</ns0:t>
        </ns0:is>
      </ns0:c>
      <ns0:c r="B10" s="8" t="inlineStr">
        <ns0:is>
          <ns0:t>S1 raw step_site</ns0:t>
        </ns0:is>
      </ns0:c>
      <ns0:c r="C10" s="11" t="n">
        <ns0:v>-0.4407</ns0:v>
      </ns0:c>
      <ns0:c r="D10" s="11" t="n">
        <ns0:v>-0.5867</ns0:v>
      </ns0:c>
      <ns0:c r="E10" s="11" t="n">
        <ns0:v>-0.7954</ns0:v>
      </ns0:c>
      <ns0:c r="F10" s="11" t="n">
        <ns0:v>1.099</ns0:v>
      </ns0:c>
      <ns0:c r="G10" s="11" t="n">
        <ns0:v>-0.9685</ns0:v>
      </ns0:c>
      <ns0:c r="H10" s="11" t="n">
        <ns0:v>0.7265</ns0:v>
      </ns0:c>
      <ns0:c r="I10" s="11" t="n">
        <ns0:v>-0.2354</ns0:v>
      </ns0:c>
      <ns0:c r="J10" s="11" t="n">
        <ns0:v>-1.7381</ns0:v>
      </ns0:c>
      <ns0:c r="K10" s="11" t="n">
        <ns0:v>-0.7487</ns0:v>
      </ns0:c>
      <ns0:c r="L10" s="11" t="n">
        <ns0:v>-1.937</ns0:v>
      </ns0:c>
      <ns0:c r="M10" s="9" t="inlineStr">
        <ns0:is>
          <ns0:t>Raw S1 step-site formation energies</ns0:t>
        </ns0:is>
      </ns0:c>
    </ns0:row>
    <ns0:row r="11">
      <ns0:c r="A11" t="inlineStr">
        <ns0:is>
          <ns0:t>Mo</ns0:t>
        </ns0:is>
      </ns0:c>
      <ns0:c r="B11" s="8" t="inlineStr">
        <ns0:is>
          <ns0:t>S1 raw step_site</ns0:t>
        </ns0:is>
      </ns0:c>
      <ns0:c r="C11" s="11" t="n">
        <ns0:v>-1.8417</ns0:v>
      </ns0:c>
      <ns0:c r="D11" s="11" t="n">
        <ns0:v>-0.7187</ns0:v>
      </ns0:c>
      <ns0:c r="E11" s="11" t="n">
        <ns0:v>-1.5107</ns0:v>
      </ns0:c>
      <ns0:c r="F11" s="11" t="n">
        <ns0:v>-0.9147</ns0:v>
      </ns0:c>
      <ns0:c r="G11" s="11" t="n">
        <ns0:v>-2.088</ns0:v>
      </ns0:c>
      <ns0:c r="H11" s="11" t="n">
        <ns0:v>-0.6237</ns0:v>
      </ns0:c>
      <ns0:c r="I11" s="11" t="n">
        <ns0:v>-0.714</ns0:v>
      </ns0:c>
      <ns0:c r="J11" s="11" t="n">
        <ns0:v>-2.1565</ns0:v>
      </ns0:c>
      <ns0:c r="K11" s="11" t="n">
        <ns0:v>-0.7779</ns0:v>
      </ns0:c>
      <ns0:c r="L11" s="11" t="n">
        <ns0:v>-1.9302</ns0:v>
      </ns0:c>
      <ns0:c r="M11" s="9" t="inlineStr">
        <ns0:is>
          <ns0:t>Raw S1 step-site formation energies</ns0:t>
        </ns0:is>
      </ns0:c>
    </ns0:row>
    <ns0:row r="12">
      <ns0:c r="A12" t="inlineStr">
        <ns0:is>
          <ns0:t>Ni</ns0:t>
        </ns0:is>
      </ns0:c>
      <ns0:c r="B12" s="8" t="inlineStr">
        <ns0:is>
          <ns0:t>S1 raw step_site</ns0:t>
        </ns0:is>
      </ns0:c>
      <ns0:c r="C12" s="11" t="n">
        <ns0:v>-0.09279999999999999</ns0:v>
      </ns0:c>
      <ns0:c r="D12" s="11" t="n">
        <ns0:v>-0.3841</ns0:v>
      </ns0:c>
      <ns0:c r="E12" s="11" t="n">
        <ns0:v>-0.6225000000000001</ns0:v>
      </ns0:c>
      <ns0:c r="F12" s="11" t="n">
        <ns0:v>1.4944</ns0:v>
      </ns0:c>
      <ns0:c r="G12" s="11" t="n">
        <ns0:v>-0.6889</ns0:v>
      </ns0:c>
      <ns0:c r="H12" s="11" t="n">
        <ns0:v>0.8989</ns0:v>
      </ns0:c>
      <ns0:c r="I12" s="11" t="n">
        <ns0:v>0.1945</ns0:v>
      </ns0:c>
      <ns0:c r="J12" s="11" t="n">
        <ns0:v>-1.5053</ns0:v>
      </ns0:c>
      <ns0:c r="K12" s="11" t="n">
        <ns0:v>-0.6018</ns0:v>
      </ns0:c>
      <ns0:c r="L12" s="11" t="n">
        <ns0:v>-1.6489</ns0:v>
      </ns0:c>
      <ns0:c r="M12" s="9" t="inlineStr">
        <ns0:is>
          <ns0:t>Raw S1 step-site formation energies</ns0:t>
        </ns0:is>
      </ns0:c>
    </ns0:row>
    <ns0:row r="13">
      <ns0:c r="A13" t="inlineStr">
        <ns0:is>
          <ns0:t>Os</ns0:t>
        </ns0:is>
      </ns0:c>
      <ns0:c r="B13" s="8" t="inlineStr">
        <ns0:is>
          <ns0:t>S1 raw step_site</ns0:t>
        </ns0:is>
      </ns0:c>
      <ns0:c r="C13" s="11" t="n">
        <ns0:v>-1.1095</ns0:v>
      </ns0:c>
      <ns0:c r="D13" s="11" t="n">
        <ns0:v>-0.7121</ns0:v>
      </ns0:c>
      <ns0:c r="E13" s="11" t="n">
        <ns0:v>-0.8328</ns0:v>
      </ns0:c>
      <ns0:c r="F13" s="11" t="n">
        <ns0:v>0.1851</ns0:v>
      </ns0:c>
      <ns0:c r="G13" s="11" t="n">
        <ns0:v>-1.488</ns0:v>
      </ns0:c>
      <ns0:c r="H13" s="11" t="n">
        <ns0:v>-0.0587</ns0:v>
      </ns0:c>
      <ns0:c r="I13" s="11" t="n">
        <ns0:v>-0.7034</ns0:v>
      </ns0:c>
      <ns0:c r="J13" s="11" t="n">
        <ns0:v>-2.0477</ns0:v>
      </ns0:c>
      <ns0:c r="K13" s="11" t="n">
        <ns0:v>-0.8323</ns0:v>
      </ns0:c>
      <ns0:c r="L13" s="11" t="n">
        <ns0:v>-2.0462</ns0:v>
      </ns0:c>
      <ns0:c r="M13" s="9" t="inlineStr">
        <ns0:is>
          <ns0:t>Raw S1 step-site formation energies</ns0:t>
        </ns0:is>
      </ns0:c>
    </ns0:row>
    <ns0:row r="14">
      <ns0:c r="A14" t="inlineStr">
        <ns0:is>
          <ns0:t>Pd</ns0:t>
        </ns0:is>
      </ns0:c>
      <ns0:c r="B14" s="8" t="inlineStr">
        <ns0:is>
          <ns0:t>S1 raw step_site</ns0:t>
        </ns0:is>
      </ns0:c>
      <ns0:c r="C14" s="11" t="n">
        <ns0:v>0.5637</ns0:v>
      </ns0:c>
      <ns0:c r="D14" s="11" t="n">
        <ns0:v>-0.3509</ns0:v>
      </ns0:c>
      <ns0:c r="E14" s="11" t="n">
        <ns0:v>-0.3902</ns0:v>
      </ns0:c>
      <ns0:c r="F14" s="11" t="n">
        <ns0:v>4.2523</ns0:v>
      </ns0:c>
      <ns0:c r="G14" s="11" t="n">
        <ns0:v>0.0039</ns0:v>
      </ns0:c>
      <ns0:c r="H14" s="11" t="n">
        <ns0:v>1.4136</ns0:v>
      </ns0:c>
      <ns0:c r="I14" s="11" t="n">
        <ns0:v>1.0455</ns0:v>
      </ns0:c>
      <ns0:c r="J14" s="11" t="n">
        <ns0:v>-0.9298999999999999</ns0:v>
      </ns0:c>
      <ns0:c r="K14" s="11" t="n">
        <ns0:v>-0.1422</ns0:v>
      </ns0:c>
      <ns0:c r="L14" s="11" t="n">
        <ns0:v>-1.5221</ns0:v>
      </ns0:c>
      <ns0:c r="M14" s="9" t="inlineStr">
        <ns0:is>
          <ns0:t>Raw S1 step-site formation energies</ns0:t>
        </ns0:is>
      </ns0:c>
    </ns0:row>
    <ns0:row r="15">
      <ns0:c r="A15" t="inlineStr">
        <ns0:is>
          <ns0:t>Pt</ns0:t>
        </ns0:is>
      </ns0:c>
      <ns0:c r="B15" s="8" t="inlineStr">
        <ns0:is>
          <ns0:t>S1 raw step_site</ns0:t>
        </ns0:is>
      </ns0:c>
      <ns0:c r="C15" s="11" t="n">
        <ns0:v>0.5895</ns0:v>
      </ns0:c>
      <ns0:c r="D15" s="11" t="n">
        <ns0:v>-0.4717</ns0:v>
      </ns0:c>
      <ns0:c r="E15" s="11" t="n">
        <ns0:v>-0.4476</ns0:v>
      </ns0:c>
      <ns0:c r="F15" s="11" t="n">
        <ns0:v>2.4704</ns0:v>
      </ns0:c>
      <ns0:c r="G15" s="11" t="n">
        <ns0:v>-0.0476</ns0:v>
      </ns0:c>
      <ns0:c r="H15" s="11" t="n">
        <ns0:v>1.34</ns0:v>
      </ns0:c>
      <ns0:c r="I15" s="11" t="n">
        <ns0:v>0.8868</ns0:v>
      </ns0:c>
      <ns0:c r="J15" s="11" t="n">
        <ns0:v>-1.3007</ns0:v>
      </ns0:c>
      <ns0:c r="K15" s="11" t="n">
        <ns0:v>-0.4052</ns0:v>
      </ns0:c>
      <ns0:c r="L15" s="11" t="n">
        <ns0:v>-1.8103</ns0:v>
      </ns0:c>
      <ns0:c r="M15" s="9" t="inlineStr">
        <ns0:is>
          <ns0:t>Raw S1 step-site formation energies</ns0:t>
        </ns0:is>
      </ns0:c>
    </ns0:row>
    <ns0:row r="16">
      <ns0:c r="A16" t="inlineStr">
        <ns0:is>
          <ns0:t>Re</ns0:t>
        </ns0:is>
      </ns0:c>
      <ns0:c r="B16" s="8" t="inlineStr">
        <ns0:is>
          <ns0:t>S1 raw step_site</ns0:t>
        </ns0:is>
      </ns0:c>
      <ns0:c r="C16" s="11" t="n">
        <ns0:v>-1.8252</ns0:v>
      </ns0:c>
      <ns0:c r="D16" s="11" t="n">
        <ns0:v>-0.8013</ns0:v>
      </ns0:c>
      <ns0:c r="E16" s="11" t="n">
        <ns0:v>-1.0229</ns0:v>
      </ns0:c>
      <ns0:c r="F16" s="11" t="n">
        <ns0:v>-0.7695</ns0:v>
      </ns0:c>
      <ns0:c r="G16" s="11" t="n">
        <ns0:v>-1.9945</ns0:v>
      </ns0:c>
      <ns0:c r="H16" s="11" t="n">
        <ns0:v>-0.3796</ns0:v>
      </ns0:c>
      <ns0:c r="I16" s="11" t="n">
        <ns0:v>-1.212</ns0:v>
      </ns0:c>
      <ns0:c r="J16" s="11" t="n">
        <ns0:v>-2.3639</ns0:v>
      </ns0:c>
      <ns0:c r="K16" s="11" t="n">
        <ns0:v>-0.9116</ns0:v>
      </ns0:c>
      <ns0:c r="L16" s="11" t="n">
        <ns0:v>-1.9839</ns0:v>
      </ns0:c>
      <ns0:c r="M16" s="9" t="inlineStr">
        <ns0:is>
          <ns0:t>Raw S1 step-site formation energies</ns0:t>
        </ns0:is>
      </ns0:c>
    </ns0:row>
    <ns0:row r="17">
      <ns0:c r="A17" t="inlineStr">
        <ns0:is>
          <ns0:t>Rh</ns0:t>
        </ns0:is>
      </ns0:c>
      <ns0:c r="B17" s="8" t="inlineStr">
        <ns0:is>
          <ns0:t>S1 raw step_site</ns0:t>
        </ns0:is>
      </ns0:c>
      <ns0:c r="C17" s="11" t="n">
        <ns0:v>-0.458</ns0:v>
      </ns0:c>
      <ns0:c r="D17" s="11" t="n">
        <ns0:v>-0.4059</ns0:v>
      </ns0:c>
      <ns0:c r="E17" s="11" t="n">
        <ns0:v>-0.6357</ns0:v>
      </ns0:c>
      <ns0:c r="F17" s="11" t="n">
        <ns0:v>0.9569</ns0:v>
      </ns0:c>
      <ns0:c r="G17" s="11" t="n">
        <ns0:v>-0.7745</ns0:v>
      </ns0:c>
      <ns0:c r="H17" s="11" t="n">
        <ns0:v>0.5994</ns0:v>
      </ns0:c>
      <ns0:c r="I17" s="11" t="n">
        <ns0:v>-0.0044</ns0:v>
      </ns0:c>
      <ns0:c r="J17" s="11" t="n">
        <ns0:v>-1.4622</ns0:v>
      </ns0:c>
      <ns0:c r="K17" s="11" t="n">
        <ns0:v>-0.628</ns0:v>
      </ns0:c>
      <ns0:c r="L17" s="11" t="n">
        <ns0:v>-1.6682</ns0:v>
      </ns0:c>
      <ns0:c r="M17" s="9" t="inlineStr">
        <ns0:is>
          <ns0:t>Raw S1 step-site formation energies</ns0:t>
        </ns0:is>
      </ns0:c>
    </ns0:row>
    <ns0:row r="18">
      <ns0:c r="A18" t="inlineStr">
        <ns0:is>
          <ns0:t>Ru</ns0:t>
        </ns0:is>
      </ns0:c>
      <ns0:c r="B18" s="8" t="inlineStr">
        <ns0:is>
          <ns0:t>S1 raw step_site</ns0:t>
        </ns0:is>
      </ns0:c>
      <ns0:c r="C18" s="11" t="n">
        <ns0:v>-1.1333</ns0:v>
      </ns0:c>
      <ns0:c r="D18" s="11" t="n">
        <ns0:v>-0.4897</ns0:v>
      </ns0:c>
      <ns0:c r="E18" s="11" t="n">
        <ns0:v>-0.7234</ns0:v>
      </ns0:c>
      <ns0:c r="F18" s="11" t="n">
        <ns0:v>0.2718</ns0:v>
      </ns0:c>
      <ns0:c r="G18" s="11" t="n">
        <ns0:v>-1.343</ns0:v>
      </ns0:c>
      <ns0:c r="H18" s="11" t="n">
        <ns0:v>0.0089</ns0:v>
      </ns0:c>
      <ns0:c r="I18" s="11" t="n">
        <ns0:v>-0.2801</ns0:v>
      </ns0:c>
      <ns0:c r="J18" s="11" t="n">
        <ns0:v>-1.7391</ns0:v>
      </ns0:c>
      <ns0:c r="K18" s="11" t="n">
        <ns0:v>-0.7754</ns0:v>
      </ns0:c>
      <ns0:c r="L18" s="11" t="n">
        <ns0:v>-1.8005</ns0:v>
      </ns0:c>
      <ns0:c r="M18" s="9" t="inlineStr">
        <ns0:is>
          <ns0:t>Raw S1 step-site formation energies</ns0:t>
        </ns0:is>
      </ns0:c>
    </ns0:row>
    <ns0:row r="19">
      <ns0:c r="A19" t="inlineStr">
        <ns0:is>
          <ns0:t>W</ns0:t>
        </ns0:is>
      </ns0:c>
      <ns0:c r="B19" s="8" t="inlineStr">
        <ns0:is>
          <ns0:t>S1 raw step_site</ns0:t>
        </ns0:is>
      </ns0:c>
      <ns0:c r="C19" s="11" t="n">
        <ns0:v>-2.161</ns0:v>
      </ns0:c>
      <ns0:c r="D19" s="11" t="n">
        <ns0:v>-0.6777</ns0:v>
      </ns0:c>
      <ns0:c r="E19" s="11" t="n">
        <ns0:v>-1.5111</ns0:v>
      </ns0:c>
      <ns0:c r="F19" s="11" t="n">
        <ns0:v>-0.8249</ns0:v>
      </ns0:c>
      <ns0:c r="G19" s="11" t="n">
        <ns0:v>-2.4101</ns0:v>
      </ns0:c>
      <ns0:c r="H19" s="11" t="n">
        <ns0:v>-0.5697</ns0:v>
      </ns0:c>
      <ns0:c r="I19" s="11" t="n">
        <ns0:v>-1.3387</ns0:v>
      </ns0:c>
      <ns0:c r="J19" s="11" t="n">
        <ns0:v>-2.4821</ns0:v>
      </ns0:c>
      <ns0:c r="K19" s="11" t="n">
        <ns0:v>-1.017</ns0:v>
      </ns0:c>
      <ns0:c r="L19" s="11" t="n">
        <ns0:v>-2.1039</ns0:v>
      </ns0:c>
      <ns0:c r="M19" s="9" t="inlineStr">
        <ns0:is>
          <ns0:t>Raw S1 step-site formation energies</ns0:t>
        </ns0:is>
      </ns0:c>
    </ns0:row>
  </ns0:sheetData>
  <ns0:mergeCells count="2">
    <ns0:mergeCell ref="A2:M2"/>
    <ns0:mergeCell ref="A1:M1"/>
  </ns0:mergeCells>
  <ns0:pageMargins left="0.25" right="0.25" top="0.5" bottom="0.5" header="0.5" footer="0.5"/>
  <ns0:pageSetup fitToHeight="0" fitToWidth="1"/>
  <ns0:legacyDrawing ns1:id="anysvml"/>
  <ns0:tableParts count="1">
    <ns0:tablePart ns1:id="rId1"/>
  </ns0:tableParts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H14"/>
  <ns0:sheetViews>
    <ns0:sheetView showGridLines="0" workbookViewId="0">
      <ns0:pane ySplit="4" topLeftCell="A5" activePane="bottomLeft" state="frozen"/>
      <ns0:selection pane="bottomLeft" activeCell="A1" sqref="A1"/>
    </ns0:sheetView>
  </ns0:sheetViews>
  <ns0:sheetFormatPr baseColWidth="8" defaultRowHeight="15"/>
  <ns0:cols>
    <ns0:col width="36" customWidth="1" min="1" max="1"/>
    <ns0:col width="36" customWidth="1" min="2" max="2"/>
    <ns0:col width="36" customWidth="1" min="3" max="3"/>
    <ns0:col width="36" customWidth="1" min="4" max="4"/>
    <ns0:col width="10" customWidth="1" min="5" max="5"/>
    <ns0:col width="24" customWidth="1" min="6" max="6"/>
    <ns0:col width="22" customWidth="1" min="7" max="7"/>
    <ns0:col width="52" customWidth="1" min="8" max="8"/>
  </ns0:cols>
  <ns0:sheetData>
    <ns0:row r="1" ht="27" customHeight="1">
      <ns0:c r="A1" s="1" t="inlineStr">
        <ns0:is>
          <ns0:t>Step-site scaling / transition-state relations</ns0:t>
        </ns0:is>
      </ns0:c>
    </ns0:row>
    <ns0:row r="2" ht="32" customHeight="1">
      <ns0:c r="A2" s="2" t="inlineStr">
        <ns0:is>
          <ns0:t>Linear fits across the 14 raw S1 step-site metals. Predictor is E_N. These relations generate the 1D descriptor volcano.</ns0:t>
        </ns0:is>
      </ns0:c>
    </ns0:row>
    <ns0:row r="3"/>
    <ns0:row r="4" ht="32" customHeight="1">
      <ns0:c r="A4" s="10" t="inlineStr">
        <ns0:is>
          <ns0:t>Species / state</ns0:t>
        </ns0:is>
      </ns0:c>
      <ns0:c r="B4" s="10" t="inlineStr">
        <ns0:is>
          <ns0:t>Slope a</ns0:t>
        </ns0:is>
      </ns0:c>
      <ns0:c r="C4" s="10" t="inlineStr">
        <ns0:is>
          <ns0:t>Intercept b (eV)</ns0:t>
        </ns0:is>
      </ns0:c>
      <ns0:c r="D4" s="10" t="inlineStr">
        <ns0:is>
          <ns0:t>R²</ns0:t>
        </ns0:is>
      </ns0:c>
      <ns0:c r="E4" s="10" t="inlineStr">
        <ns0:is>
          <ns0:t>n</ns0:t>
        </ns0:is>
      </ns0:c>
      <ns0:c r="F4" s="10" t="inlineStr">
        <ns0:is>
          <ns0:t>Relation</ns0:t>
        </ns0:is>
      </ns0:c>
      <ns0:c r="G4" s="10" t="inlineStr">
        <ns0:is>
          <ns0:t>Role</ns0:t>
        </ns0:is>
      </ns0:c>
      <ns0:c r="H4" s="10" t="inlineStr">
        <ns0:is>
          <ns0:t>Comment</ns0:t>
        </ns0:is>
      </ns0:c>
    </ns0:row>
    <ns0:row r="5">
      <ns0:c r="A5" t="inlineStr">
        <ns0:is>
          <ns0:t>H</ns0:t>
        </ns0:is>
      </ns0:c>
      <ns0:c r="B5" s="16">
        <ns0:f>SLOPE('Step_Raw14'!C5:C18,'Step_Raw14'!$B$5:$B$18)</ns0:f>
        <ns0:v>0.212766743434703</ns0:v>
      </ns0:c>
      <ns0:c r="C5" s="16">
        <ns0:f>INTERCEPT('Step_Raw14'!C5:C18,'Step_Raw14'!$B$5:$B$18)</ns0:f>
        <ns0:v>-0.357621979428286</ns0:v>
      </ns0:c>
      <ns0:c r="D5" s="16">
        <ns0:f>RSQ('Step_Raw14'!C5:C18,'Step_Raw14'!$B$5:$B$18)</ns0:f>
        <ns0:v>0.894648470280481</ns0:v>
      </ns0:c>
      <ns0:c r="E5" s="9" t="n">
        <ns0:v>14</ns0:v>
      </ns0:c>
      <ns0:c r="F5" s="9" t="inlineStr">
        <ns0:is>
          <ns0:t>E(H) = a × E_N + b</ns0:t>
        </ns0:is>
      </ns0:c>
      <ns0:c r="G5" s="9" t="inlineStr">
        <ns0:is>
          <ns0:t>thermochemistry</ns0:t>
        </ns0:is>
      </ns0:c>
      <ns0:c r="H5" s="4" t="inlineStr">
        <ns0:is>
          <ns0:t>Electronic formation-energy scaling from Dataset S1 step-site rows</ns0:t>
        </ns0:is>
      </ns0:c>
    </ns0:row>
    <ns0:row r="6">
      <ns0:c r="A6" t="inlineStr">
        <ns0:is>
          <ns0:t>N</ns0:t>
        </ns0:is>
      </ns0:c>
      <ns0:c r="B6" s="16">
        <ns0:f>SLOPE('Step_Raw14'!B5:B18,'Step_Raw14'!$B$5:$B$18)</ns0:f>
        <ns0:v>1</ns0:v>
      </ns0:c>
      <ns0:c r="C6" s="16">
        <ns0:f>INTERCEPT('Step_Raw14'!B5:B18,'Step_Raw14'!$B$5:$B$18)</ns0:f>
        <ns0:v>0</ns0:v>
      </ns0:c>
      <ns0:c r="D6" s="16">
        <ns0:f>RSQ('Step_Raw14'!B5:B18,'Step_Raw14'!$B$5:$B$18)</ns0:f>
        <ns0:v>1</ns0:v>
      </ns0:c>
      <ns0:c r="E6" s="9" t="n">
        <ns0:v>14</ns0:v>
      </ns0:c>
      <ns0:c r="F6" s="9" t="inlineStr">
        <ns0:is>
          <ns0:t>E(N) = a × E_N + b</ns0:t>
        </ns0:is>
      </ns0:c>
      <ns0:c r="G6" s="9" t="inlineStr">
        <ns0:is>
          <ns0:t>descriptor</ns0:t>
        </ns0:is>
      </ns0:c>
      <ns0:c r="H6" s="4" t="inlineStr">
        <ns0:is>
          <ns0:t>Electronic formation-energy scaling from Dataset S1 step-site rows</ns0:t>
        </ns0:is>
      </ns0:c>
    </ns0:row>
    <ns0:row r="7">
      <ns0:c r="A7" t="inlineStr">
        <ns0:is>
          <ns0:t>N2</ns0:t>
        </ns0:is>
      </ns0:c>
      <ns0:c r="B7" s="16">
        <ns0:f>SLOPE('Step_Raw14'!D5:D18,'Step_Raw14'!$B$5:$B$18)</ns0:f>
        <ns0:v>0.249120212668055</ns0:v>
      </ns0:c>
      <ns0:c r="C7" s="16">
        <ns0:f>INTERCEPT('Step_Raw14'!D5:D18,'Step_Raw14'!$B$5:$B$18)</ns0:f>
        <ns0:v>-0.661869210850571</ns0:v>
      </ns0:c>
      <ns0:c r="D7" s="16">
        <ns0:f>RSQ('Step_Raw14'!D5:D18,'Step_Raw14'!$B$5:$B$18)</ns0:f>
        <ns0:v>0.809384679596295</ns0:v>
      </ns0:c>
      <ns0:c r="E7" s="9" t="n">
        <ns0:v>14</ns0:v>
      </ns0:c>
      <ns0:c r="F7" s="9" t="inlineStr">
        <ns0:is>
          <ns0:t>E(N2) = a × E_N + b</ns0:t>
        </ns0:is>
      </ns0:c>
      <ns0:c r="G7" s="9" t="inlineStr">
        <ns0:is>
          <ns0:t>molecular adsorption</ns0:t>
        </ns0:is>
      </ns0:c>
      <ns0:c r="H7" s="4" t="inlineStr">
        <ns0:is>
          <ns0:t>Electronic formation-energy scaling from Dataset S1 step-site rows</ns0:t>
        </ns0:is>
      </ns0:c>
    </ns0:row>
    <ns0:row r="8">
      <ns0:c r="A8" s="17" t="inlineStr">
        <ns0:is>
          <ns0:t>N-N</ns0:t>
        </ns0:is>
      </ns0:c>
      <ns0:c r="B8" s="18">
        <ns0:f>SLOPE('Step_Raw14'!E5:E18,'Step_Raw14'!$B$5:$B$18)</ns0:f>
        <ns0:v>1.86443186465001</ns0:v>
      </ns0:c>
      <ns0:c r="C8" s="18">
        <ns0:f>INTERCEPT('Step_Raw14'!E5:E18,'Step_Raw14'!$B$5:$B$18)</ns0:f>
        <ns0:v>2.36083922983363</ns0:v>
      </ns0:c>
      <ns0:c r="D8" s="18">
        <ns0:f>RSQ('Step_Raw14'!E5:E18,'Step_Raw14'!$B$5:$B$18)</ns0:f>
        <ns0:v>0.962221907886778</ns0:v>
      </ns0:c>
      <ns0:c r="E8" s="19" t="n">
        <ns0:v>14</ns0:v>
      </ns0:c>
      <ns0:c r="F8" s="19" t="inlineStr">
        <ns0:is>
          <ns0:t>E(N-N) = a × E_N + b</ns0:t>
        </ns0:is>
      </ns0:c>
      <ns0:c r="G8" s="19" t="inlineStr">
        <ns0:is>
          <ns0:t>N2 dissociation TS</ns0:t>
        </ns0:is>
      </ns0:c>
      <ns0:c r="H8" s="20" t="inlineStr">
        <ns0:is>
          <ns0:t>Electronic formation-energy scaling from Dataset S1 step-site rows</ns0:t>
        </ns0:is>
      </ns0:c>
    </ns0:row>
    <ns0:row r="9">
      <ns0:c r="A9" t="inlineStr">
        <ns0:is>
          <ns0:t>NH</ns0:t>
        </ns0:is>
      </ns0:c>
      <ns0:c r="B9" s="16">
        <ns0:f>SLOPE('Step_Raw14'!F5:F18,'Step_Raw14'!$B$5:$B$18)</ns0:f>
        <ns0:v>0.709263103603478</ns0:v>
      </ns0:c>
      <ns0:c r="C9" s="16">
        <ns0:f>INTERCEPT('Step_Raw14'!F5:F18,'Step_Raw14'!$B$5:$B$18)</ns0:f>
        <ns0:v>-0.664044125744893</ns0:v>
      </ns0:c>
      <ns0:c r="D9" s="16">
        <ns0:f>RSQ('Step_Raw14'!F5:F18,'Step_Raw14'!$B$5:$B$18)</ns0:f>
        <ns0:v>0.983301697078369</ns0:v>
      </ns0:c>
      <ns0:c r="E9" s="9" t="n">
        <ns0:v>14</ns0:v>
      </ns0:c>
      <ns0:c r="F9" s="9" t="inlineStr">
        <ns0:is>
          <ns0:t>E(NH) = a × E_N + b</ns0:t>
        </ns0:is>
      </ns0:c>
      <ns0:c r="G9" s="9" t="inlineStr">
        <ns0:is>
          <ns0:t>thermochemistry</ns0:t>
        </ns0:is>
      </ns0:c>
      <ns0:c r="H9" s="4" t="inlineStr">
        <ns0:is>
          <ns0:t>Electronic formation-energy scaling from Dataset S1 step-site rows</ns0:t>
        </ns0:is>
      </ns0:c>
    </ns0:row>
    <ns0:row r="10">
      <ns0:c r="A10" t="inlineStr">
        <ns0:is>
          <ns0:t>N-H</ns0:t>
        </ns0:is>
      </ns0:c>
      <ns0:c r="B10" s="16">
        <ns0:f>SLOPE('Step_Raw14'!G5:G18,'Step_Raw14'!$B$5:$B$18)</ns0:f>
        <ns0:v>0.913038927847181</ns0:v>
      </ns0:c>
      <ns0:c r="C10" s="16">
        <ns0:f>INTERCEPT('Step_Raw14'!G5:G18,'Step_Raw14'!$B$5:$B$18)</ns0:f>
        <ns0:v>1.05990991818468</ns0:v>
      </ns0:c>
      <ns0:c r="D10" s="16">
        <ns0:f>RSQ('Step_Raw14'!G5:G18,'Step_Raw14'!$B$5:$B$18)</ns0:f>
        <ns0:v>0.980393323919831</ns0:v>
      </ns0:c>
      <ns0:c r="E10" s="9" t="n">
        <ns0:v>14</ns0:v>
      </ns0:c>
      <ns0:c r="F10" s="9" t="inlineStr">
        <ns0:is>
          <ns0:t>E(N-H) = a × E_N + b</ns0:t>
        </ns0:is>
      </ns0:c>
      <ns0:c r="G10" s="9" t="inlineStr">
        <ns0:is>
          <ns0:t>N hydrogenation TS</ns0:t>
        </ns0:is>
      </ns0:c>
      <ns0:c r="H10" s="4" t="inlineStr">
        <ns0:is>
          <ns0:t>Electronic formation-energy scaling from Dataset S1 step-site rows</ns0:t>
        </ns0:is>
      </ns0:c>
    </ns0:row>
    <ns0:row r="11">
      <ns0:c r="A11" t="inlineStr">
        <ns0:is>
          <ns0:t>NH-H</ns0:t>
        </ns0:is>
      </ns0:c>
      <ns0:c r="B11" s="16">
        <ns0:f>SLOPE('Step_Raw14'!H5:H18,'Step_Raw14'!$B$5:$B$18)</ns0:f>
        <ns0:v>0.745859732776972</ns0:v>
      </ns0:c>
      <ns0:c r="C11" s="16">
        <ns0:f>INTERCEPT('Step_Raw14'!H5:H18,'Step_Raw14'!$B$5:$B$18)</ns0:f>
        <ns0:v>0.33906200531962</ns0:v>
      </ns0:c>
      <ns0:c r="D11" s="16">
        <ns0:f>RSQ('Step_Raw14'!H5:H18,'Step_Raw14'!$B$5:$B$18)</ns0:f>
        <ns0:v>0.977968111170415</ns0:v>
      </ns0:c>
      <ns0:c r="E11" s="9" t="n">
        <ns0:v>14</ns0:v>
      </ns0:c>
      <ns0:c r="F11" s="9" t="inlineStr">
        <ns0:is>
          <ns0:t>E(NH-H) = a × E_N + b</ns0:t>
        </ns0:is>
      </ns0:c>
      <ns0:c r="G11" s="9" t="inlineStr">
        <ns0:is>
          <ns0:t>NH hydrogenation TS</ns0:t>
        </ns0:is>
      </ns0:c>
      <ns0:c r="H11" s="4" t="inlineStr">
        <ns0:is>
          <ns0:t>Electronic formation-energy scaling from Dataset S1 step-site rows</ns0:t>
        </ns0:is>
      </ns0:c>
    </ns0:row>
    <ns0:row r="12">
      <ns0:c r="A12" t="inlineStr">
        <ns0:is>
          <ns0:t>NH2</ns0:t>
        </ns0:is>
      </ns0:c>
      <ns0:c r="B12" s="16">
        <ns0:f>SLOPE('Step_Raw14'!I5:I18,'Step_Raw14'!$B$5:$B$18)</ns0:f>
        <ns0:v>0.408706757280767</ns0:v>
      </ns0:c>
      <ns0:c r="C12" s="16">
        <ns0:f>INTERCEPT('Step_Raw14'!I5:I18,'Step_Raw14'!$B$5:$B$18)</ns0:f>
        <ns0:v>-1.46207950456622</ns0:v>
      </ns0:c>
      <ns0:c r="D12" s="16">
        <ns0:f>RSQ('Step_Raw14'!I5:I18,'Step_Raw14'!$B$5:$B$18)</ns0:f>
        <ns0:v>0.955432616528981</ns0:v>
      </ns0:c>
      <ns0:c r="E12" s="9" t="n">
        <ns0:v>14</ns0:v>
      </ns0:c>
      <ns0:c r="F12" s="9" t="inlineStr">
        <ns0:is>
          <ns0:t>E(NH2) = a × E_N + b</ns0:t>
        </ns0:is>
      </ns0:c>
      <ns0:c r="G12" s="9" t="inlineStr">
        <ns0:is>
          <ns0:t>thermochemistry</ns0:t>
        </ns0:is>
      </ns0:c>
      <ns0:c r="H12" s="4" t="inlineStr">
        <ns0:is>
          <ns0:t>Electronic formation-energy scaling from Dataset S1 step-site rows</ns0:t>
        </ns0:is>
      </ns0:c>
    </ns0:row>
    <ns0:row r="13">
      <ns0:c r="A13" t="inlineStr">
        <ns0:is>
          <ns0:t>NH2-H</ns0:t>
        </ns0:is>
      </ns0:c>
      <ns0:c r="B13" s="16">
        <ns0:f>SLOPE('Step_Raw14'!J5:J18,'Step_Raw14'!$B$5:$B$18)</ns0:f>
        <ns0:v>0.411363889932275</ns0:v>
      </ns0:c>
      <ns0:c r="C13" s="16">
        <ns0:f>INTERCEPT('Step_Raw14'!J5:J18,'Step_Raw14'!$B$5:$B$18)</ns0:f>
        <ns0:v>-0.336686653674273</ns0:v>
      </ns0:c>
      <ns0:c r="D13" s="16">
        <ns0:f>RSQ('Step_Raw14'!J5:J18,'Step_Raw14'!$B$5:$B$18)</ns0:f>
        <ns0:v>0.904369653246832</ns0:v>
      </ns0:c>
      <ns0:c r="E13" s="9" t="n">
        <ns0:v>14</ns0:v>
      </ns0:c>
      <ns0:c r="F13" s="9" t="inlineStr">
        <ns0:is>
          <ns0:t>E(NH2-H) = a × E_N + b</ns0:t>
        </ns0:is>
      </ns0:c>
      <ns0:c r="G13" s="9" t="inlineStr">
        <ns0:is>
          <ns0:t>NH2 hydrogenation TS</ns0:t>
        </ns0:is>
      </ns0:c>
      <ns0:c r="H13" s="4" t="inlineStr">
        <ns0:is>
          <ns0:t>Electronic formation-energy scaling from Dataset S1 step-site rows</ns0:t>
        </ns0:is>
      </ns0:c>
    </ns0:row>
    <ns0:row r="14">
      <ns0:c r="A14" t="inlineStr">
        <ns0:is>
          <ns0:t>NH3</ns0:t>
        </ns0:is>
      </ns0:c>
      <ns0:c r="B14" s="16">
        <ns0:f>SLOPE('Step_Raw14'!K5:K18,'Step_Raw14'!$B$5:$B$18)</ns0:f>
        <ns0:v>0.173642047551281</ns0:v>
      </ns0:c>
      <ns0:c r="C14" s="16">
        <ns0:f>INTERCEPT('Step_Raw14'!K5:K18,'Step_Raw14'!$B$5:$B$18)</ns0:f>
        <ns0:v>-1.6891973082488</ns0:v>
      </ns0:c>
      <ns0:c r="D14" s="16">
        <ns0:f>RSQ('Step_Raw14'!K5:K18,'Step_Raw14'!$B$5:$B$18)</ns0:f>
        <ns0:v>0.865480506349231</ns0:v>
      </ns0:c>
      <ns0:c r="E14" s="9" t="n">
        <ns0:v>14</ns0:v>
      </ns0:c>
      <ns0:c r="F14" s="9" t="inlineStr">
        <ns0:is>
          <ns0:t>E(NH3) = a × E_N + b</ns0:t>
        </ns0:is>
      </ns0:c>
      <ns0:c r="G14" s="9" t="inlineStr">
        <ns0:is>
          <ns0:t>thermochemistry</ns0:t>
        </ns0:is>
      </ns0:c>
      <ns0:c r="H14" s="4" t="inlineStr">
        <ns0:is>
          <ns0:t>Electronic formation-energy scaling from Dataset S1 step-site rows</ns0:t>
        </ns0:is>
      </ns0:c>
    </ns0:row>
  </ns0:sheetData>
  <ns0:mergeCells count="2">
    <ns0:mergeCell ref="A2:H2"/>
    <ns0:mergeCell ref="A1:H1"/>
  </ns0:mergeCells>
  <ns0:pageMargins left="0.25" right="0.25" top="0.5" bottom="0.5" header="0.5" footer="0.5"/>
  <ns0:pageSetup fitToHeight="0" fitToWidth="1"/>
</ns0: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35" customWidth="1" min="3" max="3"/>
    <col width="15" customWidth="1" min="4" max="4"/>
    <col width="40" customWidth="1" min="5" max="5"/>
    <col width="42" customWidth="1" min="6" max="6"/>
    <col width="10" customWidth="1" min="7" max="7"/>
    <col width="10" customWidth="1" min="8" max="8"/>
  </cols>
  <sheetData>
    <row r="1" ht="27" customHeight="1">
      <c r="A1" s="1" t="inlineStr">
        <is>
          <t>Thermochemistry and MKM controls</t>
        </is>
      </c>
    </row>
    <row r="2" ht="32" customHeight="1">
      <c r="A2" s="2" t="inlineStr">
        <is>
          <t>Fixed activity-volcano conditions and gas/adsorbate free-energy treatment used by the reduced numerical solver.</t>
        </is>
      </c>
    </row>
    <row r="3"/>
    <row r="4" ht="32" customHeight="1">
      <c r="A4" s="10" t="inlineStr">
        <is>
          <t>Control</t>
        </is>
      </c>
      <c r="B4" s="10" t="inlineStr">
        <is>
          <t>Value</t>
        </is>
      </c>
      <c r="C4" s="10" t="inlineStr">
        <is>
          <t>Unit / state</t>
        </is>
      </c>
      <c r="D4" s="10" t="inlineStr">
        <is>
          <t>Used in model</t>
        </is>
      </c>
      <c r="E4" s="10" t="inlineStr">
        <is>
          <t>Source / method</t>
        </is>
      </c>
      <c r="F4" s="10" t="inlineStr">
        <is>
          <t>Equation / note</t>
        </is>
      </c>
      <c r="G4" s="10" t="inlineStr"/>
      <c r="H4" s="10" t="inlineStr"/>
    </row>
    <row r="5">
      <c r="A5" t="inlineStr">
        <is>
          <t>Temperature</t>
        </is>
      </c>
      <c r="B5" s="21" t="n">
        <v>673</v>
      </c>
      <c r="C5" t="inlineStr">
        <is>
          <t>K</t>
        </is>
      </c>
      <c r="D5" t="inlineStr">
        <is>
          <t>Yes</t>
        </is>
      </c>
      <c r="E5" t="inlineStr">
        <is>
          <t>Wang 2021 figure condition</t>
        </is>
      </c>
      <c r="F5" t="inlineStr"/>
    </row>
    <row r="6">
      <c r="A6" t="inlineStr">
        <is>
          <t>pN2</t>
        </is>
      </c>
      <c r="B6" s="21" t="n">
        <v>24.5</v>
      </c>
      <c r="C6" t="inlineStr">
        <is>
          <t>bar</t>
        </is>
      </c>
      <c r="D6" t="inlineStr">
        <is>
          <t>Yes</t>
        </is>
      </c>
      <c r="E6" t="inlineStr">
        <is>
          <t>Wang 2021 figure condition</t>
        </is>
      </c>
      <c r="F6" t="inlineStr"/>
    </row>
    <row r="7">
      <c r="A7" t="inlineStr">
        <is>
          <t>pH2</t>
        </is>
      </c>
      <c r="B7" s="21" t="n">
        <v>74.25</v>
      </c>
      <c r="C7" t="inlineStr">
        <is>
          <t>bar</t>
        </is>
      </c>
      <c r="D7" t="inlineStr">
        <is>
          <t>Yes</t>
        </is>
      </c>
      <c r="E7" t="inlineStr">
        <is>
          <t>Wang 2021 figure condition</t>
        </is>
      </c>
      <c r="F7" t="inlineStr"/>
    </row>
    <row r="8">
      <c r="A8" t="inlineStr">
        <is>
          <t>pNH3</t>
        </is>
      </c>
      <c r="B8" s="21" t="n">
        <v>1</v>
      </c>
      <c r="C8" t="inlineStr">
        <is>
          <t>bar</t>
        </is>
      </c>
      <c r="D8" t="inlineStr">
        <is>
          <t>Yes</t>
        </is>
      </c>
      <c r="E8" t="inlineStr">
        <is>
          <t>Wang 2021 figure condition</t>
        </is>
      </c>
      <c r="F8" t="inlineStr"/>
    </row>
    <row r="9">
      <c r="A9" t="inlineStr">
        <is>
          <t>H2 gas thermal correction</t>
        </is>
      </c>
      <c r="B9" s="11" t="n">
        <v>-0.596401518231772</v>
      </c>
      <c r="C9" t="inlineStr">
        <is>
          <t>eV @ 673 K, 1 bar</t>
        </is>
      </c>
      <c r="D9" t="inlineStr">
        <is>
          <t>Yes</t>
        </is>
      </c>
      <c r="E9" s="15" t="inlineStr">
        <is>
          <t>ideal-gas statistical thermodynamics</t>
        </is>
      </c>
      <c r="F9" t="inlineStr">
        <is>
          <t>G(T,p°)-E_elec</t>
        </is>
      </c>
    </row>
    <row r="10">
      <c r="A10" t="inlineStr">
        <is>
          <t>N2 gas thermal correction</t>
        </is>
      </c>
      <c r="B10" s="11" t="n">
        <v>-1.128636700165196</v>
      </c>
      <c r="C10" t="inlineStr">
        <is>
          <t>eV @ 673 K, 1 bar</t>
        </is>
      </c>
      <c r="D10" t="inlineStr">
        <is>
          <t>Yes</t>
        </is>
      </c>
      <c r="E10" s="15" t="inlineStr">
        <is>
          <t>ideal-gas statistical thermodynamics</t>
        </is>
      </c>
      <c r="F10" t="inlineStr">
        <is>
          <t>G(T,p°)-E_elec</t>
        </is>
      </c>
    </row>
    <row r="11">
      <c r="A11" t="inlineStr">
        <is>
          <t>NH3 gas thermal correction</t>
        </is>
      </c>
      <c r="B11" s="11" t="n">
        <v>-0.3982818662386131</v>
      </c>
      <c r="C11" t="inlineStr">
        <is>
          <t>eV @ 673 K, 1 bar</t>
        </is>
      </c>
      <c r="D11" t="inlineStr">
        <is>
          <t>Yes</t>
        </is>
      </c>
      <c r="E11" s="15" t="inlineStr">
        <is>
          <t>ideal-gas statistical thermodynamics</t>
        </is>
      </c>
      <c r="F11" t="inlineStr">
        <is>
          <t>G(T,p°)-E_elec</t>
        </is>
      </c>
    </row>
    <row r="12">
      <c r="A12" t="inlineStr">
        <is>
          <t>NH3 ΔGf°</t>
        </is>
      </c>
      <c r="B12" s="11" t="n">
        <v>0.3195387611916428</v>
      </c>
      <c r="C12" t="inlineStr">
        <is>
          <t>eV/NH3 @ 673 K, 1 bar</t>
        </is>
      </c>
      <c r="D12" t="inlineStr">
        <is>
          <t>Yes</t>
        </is>
      </c>
      <c r="E12" s="15" t="inlineStr">
        <is>
          <t>derived from S1 NH3 formation energy + gas thermal corrections</t>
        </is>
      </c>
      <c r="F12" t="inlineStr">
        <is>
          <t>relative to 1/2 N2 + 3/2 H2</t>
        </is>
      </c>
    </row>
    <row r="13"/>
    <row r="14"/>
    <row r="15">
      <c r="A15" s="22" t="inlineStr">
        <is>
          <t>Reduced mechanism</t>
        </is>
      </c>
    </row>
    <row r="16">
      <c r="A16" s="9" t="inlineStr">
        <is>
          <t>N2(g)+* ⇌ N2*</t>
        </is>
      </c>
      <c r="C16" s="5" t="inlineStr">
        <is>
          <t>Adsorption/desorption steps are treated as quasi-equilibrated. Four surface reactions use S1 TS energetics. Forward/reverse constants follow transition-state theory and detailed balance. Surface coverages satisfy a one-site balance. Vibrational corrections use harmonic free energies from S1 frequencies.</t>
        </is>
      </c>
    </row>
    <row r="17">
      <c r="A17" s="9" t="inlineStr">
        <is>
          <t>N2*+* ⇌ 2N*</t>
        </is>
      </c>
    </row>
    <row r="18">
      <c r="A18" s="9" t="inlineStr">
        <is>
          <t>H2(g)+2* ⇌ 2H*</t>
        </is>
      </c>
    </row>
    <row r="19">
      <c r="A19" s="9" t="inlineStr">
        <is>
          <t>N*+H* ⇌ NH*+*</t>
        </is>
      </c>
    </row>
    <row r="20">
      <c r="A20" s="9" t="inlineStr">
        <is>
          <t>NH*+H* ⇌ NH2*+*</t>
        </is>
      </c>
    </row>
    <row r="21">
      <c r="A21" s="9" t="inlineStr">
        <is>
          <t>NH2*+H* ⇌ NH3*+*</t>
        </is>
      </c>
    </row>
    <row r="22">
      <c r="A22" s="9" t="inlineStr">
        <is>
          <t>NH3* ⇌ NH3(g)+*</t>
        </is>
      </c>
    </row>
  </sheetData>
  <mergeCells count="4">
    <mergeCell ref="A15:H15"/>
    <mergeCell ref="A2:H2"/>
    <mergeCell ref="C16:H22"/>
    <mergeCell ref="A1:H1"/>
  </mergeCells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1" customWidth="1" min="3" max="3"/>
    <col width="21" customWidth="1" min="4" max="4"/>
    <col width="24" customWidth="1" min="5" max="5"/>
    <col width="28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3" customWidth="1" min="12" max="12"/>
    <col width="21" customWidth="1" min="13" max="13"/>
    <col width="20" customWidth="1" min="14" max="14"/>
    <col width="20" customWidth="1" min="15" max="15"/>
    <col width="20" customWidth="1" min="16" max="16"/>
  </cols>
  <sheetData>
    <row r="1" ht="27" customHeight="1">
      <c r="A1" s="1" t="inlineStr">
        <is>
          <t>15-metal descriptor activity ranking</t>
        </is>
      </c>
    </row>
    <row r="2" ht="32" customHeight="1">
      <c r="A2" s="2" t="inlineStr">
        <is>
          <t>Main result: each metal is placed by step-site E_N; all remaining states/TS follow the fitted 14-metal step scaling relations.</t>
        </is>
      </c>
    </row>
    <row r="3"/>
    <row r="4" ht="32" customHeight="1">
      <c r="A4" s="10" t="inlineStr">
        <is>
          <t>Rank</t>
        </is>
      </c>
      <c r="B4" s="10" t="inlineStr">
        <is>
          <t>Metal</t>
        </is>
      </c>
      <c r="C4" s="10" t="inlineStr">
        <is>
          <t>E_N (eV)</t>
        </is>
      </c>
      <c r="D4" s="10" t="inlineStr">
        <is>
          <t>log10 TOF</t>
        </is>
      </c>
      <c r="E4" s="10" t="inlineStr">
        <is>
          <t>TOF (s^-1)</t>
        </is>
      </c>
      <c r="F4" s="10" t="inlineStr">
        <is>
          <t>E_N source</t>
        </is>
      </c>
      <c r="G4" s="10" t="inlineStr">
        <is>
          <t>theta_*</t>
        </is>
      </c>
      <c r="H4" s="10" t="inlineStr">
        <is>
          <t>theta_N</t>
        </is>
      </c>
      <c r="I4" s="10" t="inlineStr">
        <is>
          <t>theta_H</t>
        </is>
      </c>
      <c r="J4" s="10" t="inlineStr">
        <is>
          <t>theta_NH</t>
        </is>
      </c>
      <c r="K4" s="10" t="inlineStr">
        <is>
          <t>theta_NH2</t>
        </is>
      </c>
      <c r="L4" s="10" t="inlineStr">
        <is>
          <t>theta_NH3</t>
        </is>
      </c>
      <c r="M4" s="10" t="inlineStr">
        <is>
          <t>Ea N2 diss (eV)</t>
        </is>
      </c>
      <c r="N4" s="10" t="inlineStr">
        <is>
          <t>Ea N→NH (eV)</t>
        </is>
      </c>
      <c r="O4" s="10" t="inlineStr">
        <is>
          <t>Ea NH→NH2 (eV)</t>
        </is>
      </c>
      <c r="P4" s="10" t="inlineStr">
        <is>
          <t>Ea NH2→NH3 (eV)</t>
        </is>
      </c>
    </row>
    <row r="5">
      <c r="A5" s="23" t="n">
        <v>1</v>
      </c>
      <c r="B5" s="23" t="inlineStr">
        <is>
          <t>Ru</t>
        </is>
      </c>
      <c r="C5" s="24" t="n">
        <v>-1.1333</v>
      </c>
      <c r="D5" s="24" t="n">
        <v>-3.451188535884158</v>
      </c>
      <c r="E5" s="25" t="n">
        <v>0.000353843697139694</v>
      </c>
      <c r="F5" s="23" t="inlineStr">
        <is>
          <t>S1_step_raw</t>
        </is>
      </c>
      <c r="G5" s="24" t="n">
        <v>8.389179890554866e-05</v>
      </c>
      <c r="H5" s="24" t="n">
        <v>0.6107031465277485</v>
      </c>
      <c r="I5" s="24" t="n">
        <v>0.01560469618751804</v>
      </c>
      <c r="J5" s="24" t="n">
        <v>0.1227464692589003</v>
      </c>
      <c r="K5" s="24" t="n">
        <v>0.2468638236049024</v>
      </c>
      <c r="L5" s="24" t="n">
        <v>0.001087161319486453</v>
      </c>
      <c r="M5" s="24" t="n">
        <v>1.373302329597009</v>
      </c>
      <c r="N5" s="24" t="n">
        <v>1.666067609516308</v>
      </c>
      <c r="O5" s="24" t="n">
        <v>1.46148205614633</v>
      </c>
      <c r="P5" s="24" t="n">
        <v>1.650164529409422</v>
      </c>
    </row>
    <row r="6">
      <c r="A6" s="23" t="n">
        <v>2</v>
      </c>
      <c r="B6" s="23" t="inlineStr">
        <is>
          <t>Os</t>
        </is>
      </c>
      <c r="C6" s="24" t="n">
        <v>-1.1095</v>
      </c>
      <c r="D6" s="24" t="n">
        <v>-3.495320399313446</v>
      </c>
      <c r="E6" s="25" t="n">
        <v>0.0003196536005752683</v>
      </c>
      <c r="F6" s="23" t="inlineStr">
        <is>
          <t>S1_step_raw</t>
        </is>
      </c>
      <c r="G6" s="24" t="n">
        <v>0.0001168887766495563</v>
      </c>
      <c r="H6" s="24" t="n">
        <v>0.5590587537692767</v>
      </c>
      <c r="I6" s="24" t="n">
        <v>0.01992451971252487</v>
      </c>
      <c r="J6" s="24" t="n">
        <v>0.1269261359259638</v>
      </c>
      <c r="K6" s="24" t="n">
        <v>0.2889015449403035</v>
      </c>
      <c r="L6" s="24" t="n">
        <v>0.001410586132692265</v>
      </c>
      <c r="M6" s="24" t="n">
        <v>1.41174674691418</v>
      </c>
      <c r="N6" s="24" t="n">
        <v>1.658934087505325</v>
      </c>
      <c r="O6" s="24" t="n">
        <v>1.457289207426914</v>
      </c>
      <c r="P6" s="24" t="n">
        <v>1.645163920672781</v>
      </c>
    </row>
    <row r="7">
      <c r="A7" s="26" t="n">
        <v>3</v>
      </c>
      <c r="B7" s="26" t="inlineStr">
        <is>
          <t>Fe</t>
        </is>
      </c>
      <c r="C7" s="27" t="n">
        <v>-1.392120623747696</v>
      </c>
      <c r="D7" s="27" t="n">
        <v>-5.309970092212679</v>
      </c>
      <c r="E7" s="28" t="n">
        <v>4.898125492585591e-06</v>
      </c>
      <c r="F7" s="26" t="inlineStr">
        <is>
          <t>terrace_to_step_scaling</t>
        </is>
      </c>
      <c r="G7" s="27" t="n">
        <v>1.931279859619529e-07</v>
      </c>
      <c r="H7" s="27" t="n">
        <v>0.9256747585340788</v>
      </c>
      <c r="I7" s="27" t="n">
        <v>9.284581688524308e-05</v>
      </c>
      <c r="J7" s="27" t="n">
        <v>0.04886192777938982</v>
      </c>
      <c r="K7" s="27" t="n">
        <v>0.0253444730906618</v>
      </c>
      <c r="L7" s="27" t="n">
        <v>5.432129510812668e-06</v>
      </c>
      <c r="M7" s="27" t="n">
        <v>0.955226360284118</v>
      </c>
      <c r="N7" s="27" t="n">
        <v>1.743643349701204</v>
      </c>
      <c r="O7" s="27" t="n">
        <v>1.507078515005119</v>
      </c>
      <c r="P7" s="27" t="n">
        <v>1.704545229927714</v>
      </c>
    </row>
    <row r="8">
      <c r="A8" s="8" t="n">
        <v>4</v>
      </c>
      <c r="B8" s="8" t="inlineStr">
        <is>
          <t>Rh</t>
        </is>
      </c>
      <c r="C8" s="11" t="n">
        <v>-0.458</v>
      </c>
      <c r="D8" s="11" t="n">
        <v>-8.043486483307818</v>
      </c>
      <c r="E8" s="29" t="n">
        <v>9.047185951588842e-09</v>
      </c>
      <c r="F8" s="8" t="inlineStr">
        <is>
          <t>S1_step_raw</t>
        </is>
      </c>
      <c r="G8" s="11" t="n">
        <v>0.0219645522783881</v>
      </c>
      <c r="H8" s="11" t="n">
        <v>0.001368814760588216</v>
      </c>
      <c r="I8" s="11" t="n">
        <v>0.3430017706794434</v>
      </c>
      <c r="J8" s="11" t="n">
        <v>0.008189137800208284</v>
      </c>
      <c r="K8" s="11" t="n">
        <v>0.5458888277287955</v>
      </c>
      <c r="L8" s="11" t="n">
        <v>0.03768675060997738</v>
      </c>
      <c r="M8" s="11" t="n">
        <v>2.464122288180426</v>
      </c>
      <c r="N8" s="11" t="n">
        <v>1.463661415650054</v>
      </c>
      <c r="O8" s="11" t="n">
        <v>1.342514377985736</v>
      </c>
      <c r="P8" s="11" t="n">
        <v>1.50827750924753</v>
      </c>
    </row>
    <row r="9">
      <c r="A9" s="8" t="n">
        <v>5</v>
      </c>
      <c r="B9" s="8" t="inlineStr">
        <is>
          <t>Ir</t>
        </is>
      </c>
      <c r="C9" s="11" t="n">
        <v>-0.4407</v>
      </c>
      <c r="D9" s="11" t="n">
        <v>-8.202566592213747</v>
      </c>
      <c r="E9" s="29" t="n">
        <v>6.27239511317085e-09</v>
      </c>
      <c r="F9" s="8" t="inlineStr">
        <is>
          <t>S1_step_raw</t>
        </is>
      </c>
      <c r="G9" s="11" t="n">
        <v>0.02415195424327569</v>
      </c>
      <c r="H9" s="11" t="n">
        <v>0.001116922612249661</v>
      </c>
      <c r="I9" s="11" t="n">
        <v>0.3539663946921904</v>
      </c>
      <c r="J9" s="11" t="n">
        <v>0.00728755756973614</v>
      </c>
      <c r="K9" s="11" t="n">
        <v>0.531355955668519</v>
      </c>
      <c r="L9" s="11" t="n">
        <v>0.03934803303632938</v>
      </c>
      <c r="M9" s="11" t="n">
        <v>2.492067179759714</v>
      </c>
      <c r="N9" s="11" t="n">
        <v>1.45847612444039</v>
      </c>
      <c r="O9" s="11" t="n">
        <v>1.339466635009017</v>
      </c>
      <c r="P9" s="11" t="n">
        <v>1.504642612980981</v>
      </c>
    </row>
    <row r="10">
      <c r="A10" s="8" t="n">
        <v>6</v>
      </c>
      <c r="B10" s="8" t="inlineStr">
        <is>
          <t>Co</t>
        </is>
      </c>
      <c r="C10" s="11" t="n">
        <v>-0.2701</v>
      </c>
      <c r="D10" s="11" t="n">
        <v>-9.827339304138912</v>
      </c>
      <c r="E10" s="29" t="n">
        <v>1.488197929103723e-10</v>
      </c>
      <c r="F10" s="8" t="inlineStr">
        <is>
          <t>S1_step_raw</t>
        </is>
      </c>
      <c r="G10" s="11" t="n">
        <v>0.0577446124840716</v>
      </c>
      <c r="H10" s="11" t="n">
        <v>0.0001409417484266237</v>
      </c>
      <c r="I10" s="11" t="n">
        <v>0.4525876003960596</v>
      </c>
      <c r="J10" s="11" t="n">
        <v>0.002162854846905847</v>
      </c>
      <c r="K10" s="11" t="n">
        <v>0.3817723401582125</v>
      </c>
      <c r="L10" s="11" t="n">
        <v>0.05644781182635817</v>
      </c>
      <c r="M10" s="11" t="n">
        <v>2.767639347587836</v>
      </c>
      <c r="N10" s="11" t="n">
        <v>1.407342559101159</v>
      </c>
      <c r="O10" s="11" t="n">
        <v>1.309412013516055</v>
      </c>
      <c r="P10" s="11" t="n">
        <v>1.468797913381368</v>
      </c>
    </row>
    <row r="11">
      <c r="A11" s="8" t="n">
        <v>7</v>
      </c>
      <c r="B11" s="8" t="inlineStr">
        <is>
          <t>Re</t>
        </is>
      </c>
      <c r="C11" s="11" t="n">
        <v>-1.8252</v>
      </c>
      <c r="D11" s="11" t="n">
        <v>-10.56317897071018</v>
      </c>
      <c r="E11" s="29" t="n">
        <v>2.734141767172761e-11</v>
      </c>
      <c r="F11" s="8" t="inlineStr">
        <is>
          <t>S1_step_raw</t>
        </is>
      </c>
      <c r="G11" s="11" t="n">
        <v>7.185133018881916e-11</v>
      </c>
      <c r="H11" s="11" t="n">
        <v>0.9933871966528049</v>
      </c>
      <c r="I11" s="11" t="n">
        <v>1.691925991077794e-07</v>
      </c>
      <c r="J11" s="11" t="n">
        <v>0.006263503637279439</v>
      </c>
      <c r="K11" s="11" t="n">
        <v>0.0003490743578607452</v>
      </c>
      <c r="L11" s="11" t="n">
        <v>7.390993260907216e-09</v>
      </c>
      <c r="M11" s="11" t="n">
        <v>0.2556681975906918</v>
      </c>
      <c r="N11" s="11" t="n">
        <v>1.873449285121314</v>
      </c>
      <c r="O11" s="11" t="n">
        <v>1.583374158203661</v>
      </c>
      <c r="P11" s="11" t="n">
        <v>1.795539369110314</v>
      </c>
    </row>
    <row r="12">
      <c r="A12" s="8" t="n">
        <v>8</v>
      </c>
      <c r="B12" s="8" t="inlineStr">
        <is>
          <t>Mo</t>
        </is>
      </c>
      <c r="C12" s="11" t="n">
        <v>-1.8417</v>
      </c>
      <c r="D12" s="11" t="n">
        <v>-10.7588610078598</v>
      </c>
      <c r="E12" s="29" t="n">
        <v>1.742364412618924e-11</v>
      </c>
      <c r="F12" s="8" t="inlineStr">
        <is>
          <t>S1_step_raw</t>
        </is>
      </c>
      <c r="G12" s="11" t="n">
        <v>5.408931853650156e-11</v>
      </c>
      <c r="H12" s="11" t="n">
        <v>0.9939341691630837</v>
      </c>
      <c r="I12" s="11" t="n">
        <v>1.353155364114898e-07</v>
      </c>
      <c r="J12" s="11" t="n">
        <v>0.005770379643804757</v>
      </c>
      <c r="K12" s="11" t="n">
        <v>0.0002952706267065086</v>
      </c>
      <c r="L12" s="11" t="n">
        <v>5.845677250662825e-09</v>
      </c>
      <c r="M12" s="11" t="n">
        <v>0.2290155553329898</v>
      </c>
      <c r="N12" s="11" t="n">
        <v>1.878394794078508</v>
      </c>
      <c r="O12" s="11" t="n">
        <v>1.586280965088971</v>
      </c>
      <c r="P12" s="11" t="n">
        <v>1.799006177688237</v>
      </c>
    </row>
    <row r="13">
      <c r="A13" s="8" t="n">
        <v>9</v>
      </c>
      <c r="B13" s="8" t="inlineStr">
        <is>
          <t>Ni</t>
        </is>
      </c>
      <c r="C13" s="11" t="n">
        <v>-0.09279999999999999</v>
      </c>
      <c r="D13" s="11" t="n">
        <v>-11.6277967143094</v>
      </c>
      <c r="E13" s="29" t="n">
        <v>2.356151899527281e-12</v>
      </c>
      <c r="F13" s="8" t="inlineStr">
        <is>
          <t>S1_step_raw</t>
        </is>
      </c>
      <c r="G13" s="11" t="n">
        <v>0.1256031420668976</v>
      </c>
      <c r="H13" s="11" t="n">
        <v>1.441494453842813e-05</v>
      </c>
      <c r="I13" s="11" t="n">
        <v>0.5136862444406285</v>
      </c>
      <c r="J13" s="11" t="n">
        <v>0.0005380425744959626</v>
      </c>
      <c r="K13" s="11" t="n">
        <v>0.2380384482929754</v>
      </c>
      <c r="L13" s="11" t="n">
        <v>0.07220859081724472</v>
      </c>
      <c r="M13" s="11" t="n">
        <v>3.054034103484237</v>
      </c>
      <c r="N13" s="11" t="n">
        <v>1.354200817397492</v>
      </c>
      <c r="O13" s="11" t="n">
        <v>1.278177052257542</v>
      </c>
      <c r="P13" s="11" t="n">
        <v>1.431545479389508</v>
      </c>
    </row>
    <row r="14">
      <c r="A14" s="8" t="n">
        <v>10</v>
      </c>
      <c r="B14" s="8" t="inlineStr">
        <is>
          <t>W</t>
        </is>
      </c>
      <c r="C14" s="11" t="n">
        <v>-2.161</v>
      </c>
      <c r="D14" s="11" t="n">
        <v>-14.55222033559098</v>
      </c>
      <c r="E14" s="29" t="n">
        <v>2.804010686181373e-15</v>
      </c>
      <c r="F14" s="8" t="inlineStr">
        <is>
          <t>S1_step_raw</t>
        </is>
      </c>
      <c r="G14" s="11" t="n">
        <v>2.20876966280309e-13</v>
      </c>
      <c r="H14" s="11" t="n">
        <v>0.9988174319753359</v>
      </c>
      <c r="I14" s="11" t="n">
        <v>1.782913434944813e-09</v>
      </c>
      <c r="J14" s="11" t="n">
        <v>0.001171100023331954</v>
      </c>
      <c r="K14" s="11" t="n">
        <v>1.14655227222471e-05</v>
      </c>
      <c r="L14" s="11" t="n">
        <v>6.209646789951255e-11</v>
      </c>
      <c r="M14" s="11" t="n">
        <v>0</v>
      </c>
      <c r="N14" s="11" t="n">
        <v>1.974097885595604</v>
      </c>
      <c r="O14" s="11" t="n">
        <v>1.642532082572574</v>
      </c>
      <c r="P14" s="11" t="n">
        <v>1.866094176411311</v>
      </c>
    </row>
    <row r="15">
      <c r="A15" s="8" t="n">
        <v>11</v>
      </c>
      <c r="B15" s="8" t="inlineStr">
        <is>
          <t>Pd</t>
        </is>
      </c>
      <c r="C15" s="11" t="n">
        <v>0.5637</v>
      </c>
      <c r="D15" s="11" t="n">
        <v>-19.33848820076085</v>
      </c>
      <c r="E15" s="29" t="n">
        <v>4.586821074494219e-20</v>
      </c>
      <c r="F15" s="8" t="inlineStr">
        <is>
          <t>S1_step_raw</t>
        </is>
      </c>
      <c r="G15" s="11" t="n">
        <v>0.6708586786390291</v>
      </c>
      <c r="H15" s="11" t="n">
        <v>9.337401050292391e-10</v>
      </c>
      <c r="I15" s="11" t="n">
        <v>0.24678620926322</v>
      </c>
      <c r="J15" s="11" t="n">
        <v>9.366028985679719e-07</v>
      </c>
      <c r="K15" s="11" t="n">
        <v>0.01244475456831699</v>
      </c>
      <c r="L15" s="11" t="n">
        <v>0.05402034271327229</v>
      </c>
      <c r="M15" s="11" t="n">
        <v>4.114486203010393</v>
      </c>
      <c r="N15" s="11" t="n">
        <v>1.157429506464284</v>
      </c>
      <c r="O15" s="11" t="n">
        <v>1.162521372245059</v>
      </c>
      <c r="P15" s="11" t="n">
        <v>1.293608519910341</v>
      </c>
    </row>
    <row r="16">
      <c r="A16" s="8" t="n">
        <v>12</v>
      </c>
      <c r="B16" s="8" t="inlineStr">
        <is>
          <t>Pt</t>
        </is>
      </c>
      <c r="C16" s="11" t="n">
        <v>0.5895</v>
      </c>
      <c r="D16" s="11" t="n">
        <v>-19.67221189424116</v>
      </c>
      <c r="E16" s="29" t="n">
        <v>2.127100970582307e-20</v>
      </c>
      <c r="F16" s="8" t="inlineStr">
        <is>
          <t>S1_step_raw</t>
        </is>
      </c>
      <c r="G16" s="11" t="n">
        <v>0.6916350950092556</v>
      </c>
      <c r="H16" s="11" t="n">
        <v>6.169756359570317e-10</v>
      </c>
      <c r="I16" s="11" t="n">
        <v>0.2314512260082426</v>
      </c>
      <c r="J16" s="11" t="n">
        <v>7.043183835747451e-07</v>
      </c>
      <c r="K16" s="11" t="n">
        <v>0.0106971612978889</v>
      </c>
      <c r="L16" s="11" t="n">
        <v>0.05155312314818627</v>
      </c>
      <c r="M16" s="11" t="n">
        <v>4.156161243631527</v>
      </c>
      <c r="N16" s="11" t="n">
        <v>1.149696528822126</v>
      </c>
      <c r="O16" s="11" t="n">
        <v>1.15797618329712</v>
      </c>
      <c r="P16" s="11" t="n">
        <v>1.288187691952134</v>
      </c>
    </row>
    <row r="17">
      <c r="A17" s="8" t="n">
        <v>13</v>
      </c>
      <c r="B17" s="8" t="inlineStr">
        <is>
          <t>Cu</t>
        </is>
      </c>
      <c r="C17" s="11" t="n">
        <v>1.2491</v>
      </c>
      <c r="D17" s="11" t="n">
        <v>-28.59651802332886</v>
      </c>
      <c r="E17" s="29" t="n">
        <v>2.532106550049603e-29</v>
      </c>
      <c r="F17" s="8" t="inlineStr">
        <is>
          <t>S1_step_raw</t>
        </is>
      </c>
      <c r="G17" s="11" t="n">
        <v>0.960154457355898</v>
      </c>
      <c r="H17" s="11" t="n">
        <v>9.846914371688317e-15</v>
      </c>
      <c r="I17" s="11" t="n">
        <v>0.02857437361991033</v>
      </c>
      <c r="J17" s="11" t="n">
        <v>3.068147832632401e-10</v>
      </c>
      <c r="K17" s="11" t="n">
        <v>0.0001422176232437867</v>
      </c>
      <c r="L17" s="11" t="n">
        <v>0.00993175473467987</v>
      </c>
      <c r="M17" s="11" t="n">
        <v>5.221620809278828</v>
      </c>
      <c r="N17" s="11" t="n">
        <v>0.9519960616605965</v>
      </c>
      <c r="O17" s="11" t="n">
        <v>1.041774375930426</v>
      </c>
      <c r="P17" s="11" t="n">
        <v>1.149599392679539</v>
      </c>
    </row>
    <row r="18">
      <c r="A18" s="8" t="n">
        <v>14</v>
      </c>
      <c r="B18" s="8" t="inlineStr">
        <is>
          <t>Ag</t>
        </is>
      </c>
      <c r="C18" s="11" t="n">
        <v>2.911</v>
      </c>
      <c r="D18" s="11" t="n">
        <v>-51.76451479225579</v>
      </c>
      <c r="E18" s="29" t="n">
        <v>1.719828762137476e-52</v>
      </c>
      <c r="F18" s="8" t="inlineStr">
        <is>
          <t>S1_step_raw</t>
        </is>
      </c>
      <c r="G18" s="11" t="n">
        <v>0.9998606873875031</v>
      </c>
      <c r="H18" s="11" t="n">
        <v>3.678889386173059e-27</v>
      </c>
      <c r="I18" s="11" t="n">
        <v>6.693515939926874e-05</v>
      </c>
      <c r="J18" s="11" t="n">
        <v>4.759555420231908e-19</v>
      </c>
      <c r="K18" s="11" t="n">
        <v>1.213729480809677e-09</v>
      </c>
      <c r="L18" s="11" t="n">
        <v>7.138673563727402e-05</v>
      </c>
      <c r="M18" s="11" t="n">
        <v>7.906107243707645</v>
      </c>
      <c r="N18" s="11" t="n">
        <v>0.4538784049356952</v>
      </c>
      <c r="O18" s="11" t="n">
        <v>0.7489972630397226</v>
      </c>
      <c r="P18" s="11" t="n">
        <v>0.800418230518948</v>
      </c>
    </row>
    <row r="19">
      <c r="A19" s="8" t="n">
        <v>15</v>
      </c>
      <c r="B19" s="8" t="inlineStr">
        <is>
          <t>Au</t>
        </is>
      </c>
      <c r="C19" s="11" t="n">
        <v>3.0029</v>
      </c>
      <c r="D19" s="11" t="n">
        <v>-53.04757669636753</v>
      </c>
      <c r="E19" s="29" t="n">
        <v>8.962378964392648e-54</v>
      </c>
      <c r="F19" s="8" t="inlineStr">
        <is>
          <t>S1_step_raw</t>
        </is>
      </c>
      <c r="G19" s="11" t="n">
        <v>0.99989733590539</v>
      </c>
      <c r="H19" s="11" t="n">
        <v>7.542877996582474e-28</v>
      </c>
      <c r="I19" s="11" t="n">
        <v>4.777988398749916e-05</v>
      </c>
      <c r="J19" s="11" t="n">
        <v>1.546929722372529e-19</v>
      </c>
      <c r="K19" s="11" t="n">
        <v>6.351373333083648e-10</v>
      </c>
      <c r="L19" s="11" t="n">
        <v>5.421678417884656e-05</v>
      </c>
      <c r="M19" s="11" t="n">
        <v>8.054554384524787</v>
      </c>
      <c r="N19" s="11" t="n">
        <v>0.4263334186832024</v>
      </c>
      <c r="O19" s="11" t="n">
        <v>0.7328072295391177</v>
      </c>
      <c r="P19" s="11" t="n">
        <v>0.7811091572879723</v>
      </c>
    </row>
  </sheetData>
  <mergeCells count="2">
    <mergeCell ref="A1:P1"/>
    <mergeCell ref="A2:P2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1" customWidth="1" min="3" max="3"/>
    <col width="21" customWidth="1" min="4" max="4"/>
    <col width="24" customWidth="1" min="5" max="5"/>
    <col width="30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27" customHeight="1">
      <c r="A1" s="1" t="inlineStr">
        <is>
          <t>Diagnostic — direct S1 full-energetics MKM</t>
        </is>
      </c>
    </row>
    <row r="2" ht="32" customHeight="1">
      <c r="A2" s="2" t="inlineStr">
        <is>
          <t>This is not the headline 1D volcano. It shows what the same reduced MKM does when every available S1 step energy is used directly; Fe remains scaling-estimated.</t>
        </is>
      </c>
    </row>
    <row r="3"/>
    <row r="4" ht="32" customHeight="1">
      <c r="A4" s="10" t="inlineStr">
        <is>
          <t>Rank</t>
        </is>
      </c>
      <c r="B4" s="10" t="inlineStr">
        <is>
          <t>Metal</t>
        </is>
      </c>
      <c r="C4" s="10" t="inlineStr">
        <is>
          <t>E_N (eV)</t>
        </is>
      </c>
      <c r="D4" s="10" t="inlineStr">
        <is>
          <t>log10 TOF</t>
        </is>
      </c>
      <c r="E4" s="10" t="inlineStr">
        <is>
          <t>TOF (s^-1)</t>
        </is>
      </c>
      <c r="F4" s="10" t="inlineStr">
        <is>
          <t>E_N source</t>
        </is>
      </c>
      <c r="G4" s="10" t="inlineStr">
        <is>
          <t>theta_*</t>
        </is>
      </c>
      <c r="H4" s="10" t="inlineStr">
        <is>
          <t>theta_N</t>
        </is>
      </c>
      <c r="I4" s="10" t="inlineStr">
        <is>
          <t>theta_H</t>
        </is>
      </c>
      <c r="J4" s="10" t="inlineStr">
        <is>
          <t>theta_NH</t>
        </is>
      </c>
      <c r="K4" s="10" t="inlineStr">
        <is>
          <t>theta_NH2</t>
        </is>
      </c>
      <c r="L4" s="10" t="inlineStr">
        <is>
          <t>theta_NH3</t>
        </is>
      </c>
      <c r="M4" s="10" t="inlineStr">
        <is>
          <t>Ea N2 diss (eV)</t>
        </is>
      </c>
      <c r="N4" s="10" t="inlineStr">
        <is>
          <t>Ea N→NH (eV)</t>
        </is>
      </c>
      <c r="O4" s="10" t="inlineStr">
        <is>
          <t>Ea NH→NH2 (eV)</t>
        </is>
      </c>
      <c r="P4" s="10" t="inlineStr">
        <is>
          <t>Ea NH2→NH3 (eV)</t>
        </is>
      </c>
    </row>
    <row r="5">
      <c r="A5" s="30" t="n">
        <v>1</v>
      </c>
      <c r="B5" s="30" t="inlineStr">
        <is>
          <t>Rh</t>
        </is>
      </c>
      <c r="C5" s="31" t="n">
        <v>-0.458</v>
      </c>
      <c r="D5" s="31" t="n">
        <v>-3.009025033718314</v>
      </c>
      <c r="E5" s="32" t="n">
        <v>0.0009794335270130274</v>
      </c>
      <c r="F5" s="30" t="inlineStr">
        <is>
          <t>S1 raw step energetics</t>
        </is>
      </c>
      <c r="G5" s="31" t="n">
        <v>0.07793416779802857</v>
      </c>
      <c r="H5" s="31" t="n">
        <v>0.003932676981597647</v>
      </c>
      <c r="I5" s="31" t="n">
        <v>0.7442380074869974</v>
      </c>
      <c r="J5" s="31" t="n">
        <v>0.0006058561294187367</v>
      </c>
      <c r="K5" s="31" t="n">
        <v>0.1005213549963957</v>
      </c>
      <c r="L5" s="31" t="n">
        <v>0.0550687210749044</v>
      </c>
      <c r="M5" s="31" t="n">
        <v>1.815300366076975</v>
      </c>
      <c r="N5" s="31" t="n">
        <v>1.375446463710909</v>
      </c>
      <c r="O5" s="31" t="n">
        <v>1.036309270507092</v>
      </c>
      <c r="P5" s="31" t="n">
        <v>1.236335724423415</v>
      </c>
    </row>
    <row r="6">
      <c r="A6" s="23" t="n">
        <v>2</v>
      </c>
      <c r="B6" s="23" t="inlineStr">
        <is>
          <t>Ru</t>
        </is>
      </c>
      <c r="C6" s="24" t="n">
        <v>-1.1333</v>
      </c>
      <c r="D6" s="24" t="n">
        <v>-3.185820087839106</v>
      </c>
      <c r="E6" s="25" t="n">
        <v>0.0006518983955551294</v>
      </c>
      <c r="F6" s="23" t="inlineStr">
        <is>
          <t>S1 raw step energetics</t>
        </is>
      </c>
      <c r="G6" s="24" t="n">
        <v>0.0001524190657755319</v>
      </c>
      <c r="H6" s="24" t="n">
        <v>0.9430388326688792</v>
      </c>
      <c r="I6" s="24" t="n">
        <v>0.005080178153457564</v>
      </c>
      <c r="J6" s="24" t="n">
        <v>0.02034916679589798</v>
      </c>
      <c r="K6" s="24" t="n">
        <v>0.03053464585081558</v>
      </c>
      <c r="L6" s="24" t="n">
        <v>0.0003499870733865724</v>
      </c>
      <c r="M6" s="24" t="n">
        <v>1.269677994101616</v>
      </c>
      <c r="N6" s="24" t="n">
        <v>1.57579435907487</v>
      </c>
      <c r="O6" s="24" t="n">
        <v>1.482521644110541</v>
      </c>
      <c r="P6" s="24" t="n">
        <v>1.43208641456764</v>
      </c>
    </row>
    <row r="7">
      <c r="A7" s="23" t="n">
        <v>3</v>
      </c>
      <c r="B7" s="23" t="inlineStr">
        <is>
          <t>Os</t>
        </is>
      </c>
      <c r="C7" s="24" t="n">
        <v>-1.1095</v>
      </c>
      <c r="D7" s="24" t="n">
        <v>-4.111596496508354</v>
      </c>
      <c r="E7" s="25" t="n">
        <v>7.73398817099868e-05</v>
      </c>
      <c r="F7" s="23" t="inlineStr">
        <is>
          <t>S1 raw step energetics</t>
        </is>
      </c>
      <c r="G7" s="24" t="n">
        <v>2.863259680741609e-05</v>
      </c>
      <c r="H7" s="24" t="n">
        <v>0.09990665224828241</v>
      </c>
      <c r="I7" s="24" t="n">
        <v>0.03085071831482742</v>
      </c>
      <c r="J7" s="24" t="n">
        <v>0.2535408331044642</v>
      </c>
      <c r="K7" s="24" t="n">
        <v>0.6132596358986202</v>
      </c>
      <c r="L7" s="24" t="n">
        <v>0.002281271038515986</v>
      </c>
      <c r="M7" s="24" t="n">
        <v>1.219874069339928</v>
      </c>
      <c r="N7" s="24" t="n">
        <v>1.605927237406638</v>
      </c>
      <c r="O7" s="24" t="n">
        <v>1.500522645465522</v>
      </c>
      <c r="P7" s="24" t="n">
        <v>1.764309625399227</v>
      </c>
    </row>
    <row r="8">
      <c r="A8" s="26" t="n">
        <v>4</v>
      </c>
      <c r="B8" s="26" t="inlineStr">
        <is>
          <t>Fe</t>
        </is>
      </c>
      <c r="C8" s="27" t="n">
        <v>-1.392120623747696</v>
      </c>
      <c r="D8" s="27" t="n">
        <v>-5.309970092212679</v>
      </c>
      <c r="E8" s="28" t="n">
        <v>4.898125492585591e-06</v>
      </c>
      <c r="F8" s="26" t="inlineStr">
        <is>
          <t>Fe scaling-estimated</t>
        </is>
      </c>
      <c r="G8" s="27" t="n">
        <v>1.931279859619529e-07</v>
      </c>
      <c r="H8" s="27" t="n">
        <v>0.9256747585340788</v>
      </c>
      <c r="I8" s="27" t="n">
        <v>9.284581688524308e-05</v>
      </c>
      <c r="J8" s="27" t="n">
        <v>0.04886192777938982</v>
      </c>
      <c r="K8" s="27" t="n">
        <v>0.0253444730906618</v>
      </c>
      <c r="L8" s="27" t="n">
        <v>5.432129510812668e-06</v>
      </c>
      <c r="M8" s="27" t="n">
        <v>0.955226360284118</v>
      </c>
      <c r="N8" s="27" t="n">
        <v>1.743643349701204</v>
      </c>
      <c r="O8" s="27" t="n">
        <v>1.507078515005119</v>
      </c>
      <c r="P8" s="27" t="n">
        <v>1.704545229927714</v>
      </c>
    </row>
    <row r="9">
      <c r="A9" s="8" t="n">
        <v>5</v>
      </c>
      <c r="B9" s="8" t="inlineStr">
        <is>
          <t>Ir</t>
        </is>
      </c>
      <c r="C9" s="11" t="n">
        <v>-0.4407</v>
      </c>
      <c r="D9" s="11" t="n">
        <v>-6.693856618765984</v>
      </c>
      <c r="E9" s="29" t="n">
        <v>2.023687183650514e-07</v>
      </c>
      <c r="F9" s="8" t="inlineStr">
        <is>
          <t>S1 raw step energetics</t>
        </is>
      </c>
      <c r="G9" s="11" t="n">
        <v>0.004014317125519257</v>
      </c>
      <c r="H9" s="11" t="n">
        <v>0.0002732002552661386</v>
      </c>
      <c r="I9" s="11" t="n">
        <v>0.6743684775095192</v>
      </c>
      <c r="J9" s="11" t="n">
        <v>0.003799396221559976</v>
      </c>
      <c r="K9" s="11" t="n">
        <v>0.2595247891194103</v>
      </c>
      <c r="L9" s="11" t="n">
        <v>0.05320948524455692</v>
      </c>
      <c r="M9" s="11" t="n">
        <v>2.059799416575652</v>
      </c>
      <c r="N9" s="11" t="n">
        <v>1.682210974687882</v>
      </c>
      <c r="O9" s="11" t="n">
        <v>1.339431929593768</v>
      </c>
      <c r="P9" s="11" t="n">
        <v>1.451615365864741</v>
      </c>
    </row>
    <row r="10">
      <c r="A10" s="8" t="n">
        <v>6</v>
      </c>
      <c r="B10" s="8" t="inlineStr">
        <is>
          <t>Ni</t>
        </is>
      </c>
      <c r="C10" s="11" t="n">
        <v>-0.09279999999999999</v>
      </c>
      <c r="D10" s="11" t="n">
        <v>-6.841255914641676</v>
      </c>
      <c r="E10" s="29" t="n">
        <v>1.441265813403808e-07</v>
      </c>
      <c r="F10" s="8" t="inlineStr">
        <is>
          <t>S1 raw step energetics</t>
        </is>
      </c>
      <c r="G10" s="11" t="n">
        <v>0.1276681707266423</v>
      </c>
      <c r="H10" s="11" t="n">
        <v>1.761829677839682e-05</v>
      </c>
      <c r="I10" s="11" t="n">
        <v>0.4926871121811165</v>
      </c>
      <c r="J10" s="11" t="n">
        <v>0.0002687001098615563</v>
      </c>
      <c r="K10" s="11" t="n">
        <v>0.2738315457202701</v>
      </c>
      <c r="L10" s="11" t="n">
        <v>0.08811379128935305</v>
      </c>
      <c r="M10" s="11" t="n">
        <v>2.354726835328479</v>
      </c>
      <c r="N10" s="11" t="n">
        <v>1.3029862628877</v>
      </c>
      <c r="O10" s="11" t="n">
        <v>1.215538844635601</v>
      </c>
      <c r="P10" s="11" t="n">
        <v>1.286169821690553</v>
      </c>
    </row>
    <row r="11">
      <c r="A11" s="8" t="n">
        <v>7</v>
      </c>
      <c r="B11" s="8" t="inlineStr">
        <is>
          <t>Co</t>
        </is>
      </c>
      <c r="C11" s="11" t="n">
        <v>-0.2701</v>
      </c>
      <c r="D11" s="11" t="n">
        <v>-9.126413586688725</v>
      </c>
      <c r="E11" s="29" t="n">
        <v>7.474573439754311e-10</v>
      </c>
      <c r="F11" s="8" t="inlineStr">
        <is>
          <t>S1 raw step energetics</t>
        </is>
      </c>
      <c r="G11" s="11" t="n">
        <v>0.2559503618882088</v>
      </c>
      <c r="H11" s="11" t="n">
        <v>0.0005391366559254524</v>
      </c>
      <c r="I11" s="11" t="n">
        <v>0.1252335679428133</v>
      </c>
      <c r="J11" s="11" t="n">
        <v>0.05156828044432386</v>
      </c>
      <c r="K11" s="11" t="n">
        <v>0.4519041802048885</v>
      </c>
      <c r="L11" s="11" t="n">
        <v>0.04378638368835162</v>
      </c>
      <c r="M11" s="11" t="n">
        <v>2.78174338660071</v>
      </c>
      <c r="N11" s="11" t="n">
        <v>0.8626576053168606</v>
      </c>
      <c r="O11" s="11" t="n">
        <v>1.118309705275263</v>
      </c>
      <c r="P11" s="11" t="n">
        <v>1.011671616805945</v>
      </c>
    </row>
    <row r="12">
      <c r="A12" s="8" t="n">
        <v>8</v>
      </c>
      <c r="B12" s="8" t="inlineStr">
        <is>
          <t>Re</t>
        </is>
      </c>
      <c r="C12" s="11" t="n">
        <v>-1.8252</v>
      </c>
      <c r="D12" s="11" t="n">
        <v>-11.46350851964704</v>
      </c>
      <c r="E12" s="29" t="n">
        <v>3.439469640338581e-12</v>
      </c>
      <c r="F12" s="8" t="inlineStr">
        <is>
          <t>S1 raw step energetics</t>
        </is>
      </c>
      <c r="G12" s="11" t="n">
        <v>9.397523349091501e-11</v>
      </c>
      <c r="H12" s="11" t="n">
        <v>0.9857963279977299</v>
      </c>
      <c r="I12" s="11" t="n">
        <v>4.115731188228826e-07</v>
      </c>
      <c r="J12" s="11" t="n">
        <v>0.009734399160432552</v>
      </c>
      <c r="K12" s="11" t="n">
        <v>0.004468858202661276</v>
      </c>
      <c r="L12" s="11" t="n">
        <v>2.690844672104122e-09</v>
      </c>
      <c r="M12" s="11" t="n">
        <v>0.2326193447137881</v>
      </c>
      <c r="N12" s="11" t="n">
        <v>2.130126371365181</v>
      </c>
      <c r="O12" s="11" t="n">
        <v>1.43740058781684</v>
      </c>
      <c r="P12" s="11" t="n">
        <v>2.115170217337673</v>
      </c>
    </row>
    <row r="13">
      <c r="A13" s="8" t="n">
        <v>9</v>
      </c>
      <c r="B13" s="8" t="inlineStr">
        <is>
          <t>Mo</t>
        </is>
      </c>
      <c r="C13" s="11" t="n">
        <v>-1.8417</v>
      </c>
      <c r="D13" s="11" t="n">
        <v>-13.03414222575579</v>
      </c>
      <c r="E13" s="29" t="n">
        <v>9.243953969755236e-14</v>
      </c>
      <c r="F13" s="8" t="inlineStr">
        <is>
          <t>S1 raw step energetics</t>
        </is>
      </c>
      <c r="G13" s="11" t="n">
        <v>2.95510783733144e-11</v>
      </c>
      <c r="H13" s="11" t="n">
        <v>0.9648379543441346</v>
      </c>
      <c r="I13" s="11" t="n">
        <v>3.529702091435299e-08</v>
      </c>
      <c r="J13" s="11" t="n">
        <v>0.03508398016554718</v>
      </c>
      <c r="K13" s="11" t="n">
        <v>7.732566229971671e-05</v>
      </c>
      <c r="L13" s="11" t="n">
        <v>6.816265451653691e-10</v>
      </c>
      <c r="M13" s="11" t="n">
        <v>0.5642864999151241</v>
      </c>
      <c r="N13" s="11" t="n">
        <v>1.879847474641749</v>
      </c>
      <c r="O13" s="11" t="n">
        <v>2.000613587526109</v>
      </c>
      <c r="P13" s="11" t="n">
        <v>1.947188845040064</v>
      </c>
    </row>
    <row r="14">
      <c r="A14" s="8" t="n">
        <v>10</v>
      </c>
      <c r="B14" s="8" t="inlineStr">
        <is>
          <t>Pt</t>
        </is>
      </c>
      <c r="C14" s="11" t="n">
        <v>0.5895</v>
      </c>
      <c r="D14" s="11" t="n">
        <v>-15.03003241664767</v>
      </c>
      <c r="E14" s="29" t="n">
        <v>9.33184643345489e-16</v>
      </c>
      <c r="F14" s="8" t="inlineStr">
        <is>
          <t>S1 raw step energetics</t>
        </is>
      </c>
      <c r="G14" s="11" t="n">
        <v>0.0380376628000262</v>
      </c>
      <c r="H14" s="11" t="n">
        <v>3.310584508093895e-11</v>
      </c>
      <c r="I14" s="11" t="n">
        <v>0.8885335015082813</v>
      </c>
      <c r="J14" s="11" t="n">
        <v>2.595158667141167e-09</v>
      </c>
      <c r="K14" s="11" t="n">
        <v>0.001075224471728848</v>
      </c>
      <c r="L14" s="11" t="n">
        <v>0.07214410978713351</v>
      </c>
      <c r="M14" s="11" t="n">
        <v>3.121662000458759</v>
      </c>
      <c r="N14" s="11" t="n">
        <v>1.185626218109845</v>
      </c>
      <c r="O14" s="11" t="n">
        <v>1.369717093217033</v>
      </c>
      <c r="P14" s="11" t="n">
        <v>1.278475596733038</v>
      </c>
    </row>
    <row r="15">
      <c r="A15" s="8" t="n">
        <v>11</v>
      </c>
      <c r="B15" s="8" t="inlineStr">
        <is>
          <t>W</t>
        </is>
      </c>
      <c r="C15" s="11" t="n">
        <v>-2.161</v>
      </c>
      <c r="D15" s="11" t="n">
        <v>-15.73032946486904</v>
      </c>
      <c r="E15" s="29" t="n">
        <v>1.860675054135967e-16</v>
      </c>
      <c r="F15" s="8" t="inlineStr">
        <is>
          <t>S1 raw step energetics</t>
        </is>
      </c>
      <c r="G15" s="11" t="n">
        <v>2.209329341611853e-13</v>
      </c>
      <c r="H15" s="11" t="n">
        <v>0.9490662235198867</v>
      </c>
      <c r="I15" s="11" t="n">
        <v>1.041948621778595e-10</v>
      </c>
      <c r="J15" s="11" t="n">
        <v>0.05084090720988389</v>
      </c>
      <c r="K15" s="11" t="n">
        <v>9.28636379210607e-05</v>
      </c>
      <c r="L15" s="11" t="n">
        <v>7.996581189322202e-11</v>
      </c>
      <c r="M15" s="11" t="n">
        <v>0.6056586472107652</v>
      </c>
      <c r="N15" s="11" t="n">
        <v>2.065365097400763</v>
      </c>
      <c r="O15" s="11" t="n">
        <v>1.642488553425685</v>
      </c>
      <c r="P15" s="11" t="n">
        <v>1.980037616910308</v>
      </c>
    </row>
    <row r="16">
      <c r="A16" s="8" t="n">
        <v>12</v>
      </c>
      <c r="B16" s="8" t="inlineStr">
        <is>
          <t>Cu</t>
        </is>
      </c>
      <c r="C16" s="11" t="n">
        <v>1.2491</v>
      </c>
      <c r="D16" s="11" t="n">
        <v>-26.13413628148097</v>
      </c>
      <c r="E16" s="29" t="n">
        <v>7.342834140809512e-27</v>
      </c>
      <c r="F16" s="8" t="inlineStr">
        <is>
          <t>S1 raw step energetics</t>
        </is>
      </c>
      <c r="G16" s="11" t="n">
        <v>0.9646827798870179</v>
      </c>
      <c r="H16" s="11" t="n">
        <v>1.735243773680689e-14</v>
      </c>
      <c r="I16" s="11" t="n">
        <v>0.01455738754834906</v>
      </c>
      <c r="J16" s="11" t="n">
        <v>3.367752843504925e-09</v>
      </c>
      <c r="K16" s="11" t="n">
        <v>0.001082012375858907</v>
      </c>
      <c r="L16" s="11" t="n">
        <v>0.00262960563614132</v>
      </c>
      <c r="M16" s="11" t="n">
        <v>5.047110519747417</v>
      </c>
      <c r="N16" s="11" t="n">
        <v>1.043389305014761</v>
      </c>
      <c r="O16" s="11" t="n">
        <v>1.255653468737033</v>
      </c>
      <c r="P16" s="11" t="n">
        <v>1.319362029299635</v>
      </c>
    </row>
    <row r="17">
      <c r="A17" s="8" t="n">
        <v>13</v>
      </c>
      <c r="B17" s="8" t="inlineStr">
        <is>
          <t>Pd</t>
        </is>
      </c>
      <c r="C17" s="11" t="n">
        <v>0.5637</v>
      </c>
      <c r="D17" s="11" t="n">
        <v>-26.1414559172287</v>
      </c>
      <c r="E17" s="29" t="n">
        <v>7.22011446507413e-27</v>
      </c>
      <c r="F17" s="8" t="inlineStr">
        <is>
          <t>S1 raw step energetics</t>
        </is>
      </c>
      <c r="G17" s="11" t="n">
        <v>0.2498570570300043</v>
      </c>
      <c r="H17" s="11" t="n">
        <v>2.806098452155211e-10</v>
      </c>
      <c r="I17" s="11" t="n">
        <v>0.7215506044042945</v>
      </c>
      <c r="J17" s="11" t="n">
        <v>2.925193193298189e-09</v>
      </c>
      <c r="K17" s="11" t="n">
        <v>3.431978783836834e-05</v>
      </c>
      <c r="L17" s="11" t="n">
        <v>0.02540207303361723</v>
      </c>
      <c r="M17" s="11" t="n">
        <v>4.871919440656366</v>
      </c>
      <c r="N17" s="11" t="n">
        <v>1.097771140486882</v>
      </c>
      <c r="O17" s="11" t="n">
        <v>1.310151455890689</v>
      </c>
      <c r="P17" s="11" t="n">
        <v>1.092708787325013</v>
      </c>
    </row>
    <row r="18">
      <c r="A18" s="8" t="n">
        <v>14</v>
      </c>
      <c r="B18" s="8" t="inlineStr">
        <is>
          <t>Ag</t>
        </is>
      </c>
      <c r="C18" s="11" t="n">
        <v>2.911</v>
      </c>
      <c r="D18" s="11" t="n">
        <v>-48.71571296335873</v>
      </c>
      <c r="E18" s="29" t="n">
        <v>1.924363170912854e-49</v>
      </c>
      <c r="F18" s="8" t="inlineStr">
        <is>
          <t>S1 raw step energetics</t>
        </is>
      </c>
      <c r="G18" s="11" t="n">
        <v>0.970206791975591</v>
      </c>
      <c r="H18" s="11" t="n">
        <v>1.475984554634334e-26</v>
      </c>
      <c r="I18" s="11" t="n">
        <v>2.235528439470127e-05</v>
      </c>
      <c r="J18" s="11" t="n">
        <v>2.115906435004881e-17</v>
      </c>
      <c r="K18" s="11" t="n">
        <v>1.61507389065799e-08</v>
      </c>
      <c r="L18" s="11" t="n">
        <v>0.000316088737791814</v>
      </c>
      <c r="M18" s="11" t="n">
        <v>8.094643787401759</v>
      </c>
      <c r="N18" s="11" t="n">
        <v>0.7206838981201642</v>
      </c>
      <c r="O18" s="11" t="n">
        <v>0.796304480214336</v>
      </c>
      <c r="P18" s="11" t="n">
        <v>1.13142140982772</v>
      </c>
    </row>
    <row r="19">
      <c r="A19" s="8" t="n">
        <v>15</v>
      </c>
      <c r="B19" s="8" t="inlineStr">
        <is>
          <t>Au</t>
        </is>
      </c>
      <c r="C19" s="11" t="n">
        <v>3.0029</v>
      </c>
      <c r="D19" s="11" t="n">
        <v>-57.09891923717496</v>
      </c>
      <c r="E19" s="29" t="n">
        <v>7.963074205865226e-58</v>
      </c>
      <c r="F19" s="8" t="inlineStr">
        <is>
          <t>S1 raw step energetics</t>
        </is>
      </c>
      <c r="G19" s="11" t="n">
        <v>0.8573295005747521</v>
      </c>
      <c r="H19" s="11" t="n">
        <v>1.05195629185987e-27</v>
      </c>
      <c r="I19" s="11" t="n">
        <v>5.600673747856651e-05</v>
      </c>
      <c r="J19" s="11" t="n">
        <v>4.539331603564849e-19</v>
      </c>
      <c r="K19" s="11" t="n">
        <v>1.931193223726095e-09</v>
      </c>
      <c r="L19" s="11" t="n">
        <v>0.0004857893120827768</v>
      </c>
      <c r="M19" s="11" t="n">
        <v>9.298220549373529</v>
      </c>
      <c r="N19" s="11" t="n">
        <v>0.5340270408346584</v>
      </c>
      <c r="O19" s="11" t="n">
        <v>0.7892151678508572</v>
      </c>
      <c r="P19" s="11" t="n">
        <v>0.8714587137444609</v>
      </c>
    </row>
  </sheetData>
  <mergeCells count="2">
    <mergeCell ref="A1:P1"/>
    <mergeCell ref="A2:P2"/>
  </mergeCells>
  <pageMargins left="0.25" right="0.25" top="0.5" bottom="0.5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2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0" customWidth="1" min="7" max="7"/>
    <col width="18" customWidth="1" min="8" max="8"/>
    <col width="18" customWidth="1" min="9" max="9"/>
    <col width="18" customWidth="1" min="10" max="10"/>
  </cols>
  <sheetData>
    <row r="1" ht="27" customHeight="1">
      <c r="A1" s="1" t="inlineStr">
        <is>
          <t>True activity volcano — 1D descriptor model</t>
        </is>
      </c>
    </row>
    <row r="2" ht="32" customHeight="1">
      <c r="A2" s="2" t="inlineStr">
        <is>
          <t>x = E_N; y = log10 TOF_NH3. Smooth curve is obtained by S1-derived scaling/BEP relations + reduced mean-field MKM.</t>
        </is>
      </c>
    </row>
    <row r="3"/>
    <row r="4" ht="32" customHeight="1">
      <c r="A4" s="10" t="inlineStr">
        <is>
          <t>E_N grid (eV)</t>
        </is>
      </c>
      <c r="B4" s="10" t="inlineStr">
        <is>
          <t>log10 TOF</t>
        </is>
      </c>
      <c r="C4" s="10" t="inlineStr">
        <is>
          <t>TOF (s^-1)</t>
        </is>
      </c>
      <c r="D4" s="10" t="inlineStr">
        <is>
          <t>theta_*</t>
        </is>
      </c>
      <c r="E4" s="10" t="inlineStr">
        <is>
          <t>theta_N</t>
        </is>
      </c>
      <c r="F4" s="10" t="inlineStr">
        <is>
          <t>theta_H</t>
        </is>
      </c>
      <c r="G4" s="10" t="inlineStr"/>
      <c r="H4" s="10" t="inlineStr">
        <is>
          <t>Metal</t>
        </is>
      </c>
      <c r="I4" s="10" t="inlineStr">
        <is>
          <t>Metal E_N</t>
        </is>
      </c>
      <c r="J4" s="10" t="inlineStr">
        <is>
          <t>Metal logTOF</t>
        </is>
      </c>
    </row>
    <row r="5">
      <c r="A5" s="33" t="n">
        <v>-2.6</v>
      </c>
      <c r="B5" s="33" t="n">
        <v>-19.77377331061879</v>
      </c>
      <c r="C5" s="29" t="n">
        <v>1.683552598391242e-20</v>
      </c>
      <c r="D5" s="8" t="n">
        <v>1.140631129036585e-16</v>
      </c>
      <c r="E5" s="8" t="n">
        <v>0.9998700637025851</v>
      </c>
      <c r="F5" s="8" t="n">
        <v>4.608799902421325e-12</v>
      </c>
      <c r="H5" s="8" t="inlineStr">
        <is>
          <t>W</t>
        </is>
      </c>
      <c r="I5" s="11" t="n">
        <v>-2.161</v>
      </c>
      <c r="J5" s="33" t="n">
        <v>-14.55222033559098</v>
      </c>
    </row>
    <row r="6">
      <c r="A6" s="33" t="n">
        <v>-2.575</v>
      </c>
      <c r="B6" s="33" t="n">
        <v>-19.47637613326313</v>
      </c>
      <c r="C6" s="29" t="n">
        <v>3.339057260743868e-20</v>
      </c>
      <c r="D6" s="8" t="n">
        <v>1.755297755145383e-16</v>
      </c>
      <c r="E6" s="8" t="n">
        <v>0.9998526965357992</v>
      </c>
      <c r="F6" s="8" t="n">
        <v>6.470840528577931e-12</v>
      </c>
      <c r="H6" s="8" t="inlineStr">
        <is>
          <t>Mo</t>
        </is>
      </c>
      <c r="I6" s="11" t="n">
        <v>-1.8417</v>
      </c>
      <c r="J6" s="33" t="n">
        <v>-10.7588610078598</v>
      </c>
    </row>
    <row r="7">
      <c r="A7" s="33" t="n">
        <v>-2.55</v>
      </c>
      <c r="B7" s="33" t="n">
        <v>-19.17898118716423</v>
      </c>
      <c r="C7" s="29" t="n">
        <v>6.622451903203622e-20</v>
      </c>
      <c r="D7" s="8" t="n">
        <v>2.701191458977371e-16</v>
      </c>
      <c r="E7" s="8" t="n">
        <v>0.9998330052834099</v>
      </c>
      <c r="F7" s="8" t="n">
        <v>9.085159027021675e-12</v>
      </c>
      <c r="H7" s="8" t="inlineStr">
        <is>
          <t>Re</t>
        </is>
      </c>
      <c r="I7" s="11" t="n">
        <v>-1.8252</v>
      </c>
      <c r="J7" s="33" t="n">
        <v>-10.56317897071018</v>
      </c>
    </row>
    <row r="8">
      <c r="A8" s="33" t="n">
        <v>-2.525</v>
      </c>
      <c r="B8" s="33" t="n">
        <v>-18.88158878033357</v>
      </c>
      <c r="C8" s="29" t="n">
        <v>1.313442967890923e-19</v>
      </c>
      <c r="D8" s="8" t="n">
        <v>4.156796802928021e-16</v>
      </c>
      <c r="E8" s="8" t="n">
        <v>0.9998106781212127</v>
      </c>
      <c r="F8" s="8" t="n">
        <v>1.275566859814038e-11</v>
      </c>
      <c r="H8" s="8" t="inlineStr">
        <is>
          <t>Fe</t>
        </is>
      </c>
      <c r="I8" s="11" t="n">
        <v>-1.392120623747696</v>
      </c>
      <c r="J8" s="33" t="n">
        <v>-5.309970092212679</v>
      </c>
    </row>
    <row r="9">
      <c r="A9" s="33" t="n">
        <v>-2.5</v>
      </c>
      <c r="B9" s="33" t="n">
        <v>-18.58419926395409</v>
      </c>
      <c r="C9" s="29" t="n">
        <v>2.604958063145753e-19</v>
      </c>
      <c r="D9" s="8" t="n">
        <v>6.396772804373128e-16</v>
      </c>
      <c r="E9" s="8" t="n">
        <v>0.9997853611520582</v>
      </c>
      <c r="F9" s="8" t="n">
        <v>1.790905310986891e-11</v>
      </c>
      <c r="H9" s="8" t="inlineStr">
        <is>
          <t>Ru</t>
        </is>
      </c>
      <c r="I9" s="11" t="n">
        <v>-1.1333</v>
      </c>
      <c r="J9" s="33" t="n">
        <v>-3.451188535884158</v>
      </c>
    </row>
    <row r="10">
      <c r="A10" s="33" t="n">
        <v>-2.475</v>
      </c>
      <c r="B10" s="33" t="n">
        <v>-18.28681303861727</v>
      </c>
      <c r="C10" s="29" t="n">
        <v>5.166387315344818e-19</v>
      </c>
      <c r="D10" s="8" t="n">
        <v>9.843772885527311e-16</v>
      </c>
      <c r="E10" s="8" t="n">
        <v>0.999756652661434</v>
      </c>
      <c r="F10" s="8" t="n">
        <v>2.514435790087461e-11</v>
      </c>
      <c r="H10" s="8" t="inlineStr">
        <is>
          <t>Os</t>
        </is>
      </c>
      <c r="I10" s="11" t="n">
        <v>-1.1095</v>
      </c>
      <c r="J10" s="33" t="n">
        <v>-3.495320399313446</v>
      </c>
    </row>
    <row r="11">
      <c r="A11" s="33" t="n">
        <v>-2.45</v>
      </c>
      <c r="B11" s="33" t="n">
        <v>-17.98943056150431</v>
      </c>
      <c r="C11" s="29" t="n">
        <v>1.024635594196136e-18</v>
      </c>
      <c r="D11" s="8" t="n">
        <v>1.514818408903369e-15</v>
      </c>
      <c r="E11" s="8" t="n">
        <v>0.9997240965694051</v>
      </c>
      <c r="F11" s="8" t="n">
        <v>3.530260920241498e-11</v>
      </c>
      <c r="H11" s="8" t="inlineStr">
        <is>
          <t>Rh</t>
        </is>
      </c>
      <c r="I11" s="11" t="n">
        <v>-0.458</v>
      </c>
      <c r="J11" s="33" t="n">
        <v>-8.043486483307818</v>
      </c>
    </row>
    <row r="12">
      <c r="A12" s="33" t="n">
        <v>-2.425</v>
      </c>
      <c r="B12" s="33" t="n">
        <v>-17.69205235466475</v>
      </c>
      <c r="C12" s="29" t="n">
        <v>2.032112022889787e-18</v>
      </c>
      <c r="D12" s="8" t="n">
        <v>2.331082629272419e-15</v>
      </c>
      <c r="E12" s="8" t="n">
        <v>0.9996871749610655</v>
      </c>
      <c r="F12" s="8" t="n">
        <v>4.956454973608704e-11</v>
      </c>
      <c r="H12" s="8" t="inlineStr">
        <is>
          <t>Ir</t>
        </is>
      </c>
      <c r="I12" s="11" t="n">
        <v>-0.4407</v>
      </c>
      <c r="J12" s="33" t="n">
        <v>-8.202566592213747</v>
      </c>
    </row>
    <row r="13">
      <c r="A13" s="33" t="n">
        <v>-2.4</v>
      </c>
      <c r="B13" s="33" t="n">
        <v>-17.39467901457328</v>
      </c>
      <c r="C13" s="29" t="n">
        <v>4.03014791000683e-18</v>
      </c>
      <c r="D13" s="8" t="n">
        <v>3.587175384830327e-15</v>
      </c>
      <c r="E13" s="8" t="n">
        <v>0.9996452995588947</v>
      </c>
      <c r="F13" s="8" t="n">
        <v>6.958784287381872e-11</v>
      </c>
      <c r="H13" s="8" t="inlineStr">
        <is>
          <t>Co</t>
        </is>
      </c>
      <c r="I13" s="11" t="n">
        <v>-0.2701</v>
      </c>
      <c r="J13" s="33" t="n">
        <v>-9.827339304138912</v>
      </c>
    </row>
    <row r="14">
      <c r="A14" s="33" t="n">
        <v>-2.375</v>
      </c>
      <c r="B14" s="33" t="n">
        <v>-17.09731122317808</v>
      </c>
      <c r="C14" s="29" t="n">
        <v>7.992612848273458e-18</v>
      </c>
      <c r="D14" s="8" t="n">
        <v>5.520076691989014e-15</v>
      </c>
      <c r="E14" s="8" t="n">
        <v>0.9995978019782907</v>
      </c>
      <c r="F14" s="8" t="n">
        <v>9.769967998550497e-11</v>
      </c>
      <c r="H14" s="8" t="inlineStr">
        <is>
          <t>Ni</t>
        </is>
      </c>
      <c r="I14" s="11" t="n">
        <v>-0.09279999999999999</v>
      </c>
      <c r="J14" s="33" t="n">
        <v>-11.6277967143094</v>
      </c>
    </row>
    <row r="15">
      <c r="A15" s="33" t="n">
        <v>-2.35</v>
      </c>
      <c r="B15" s="33" t="n">
        <v>-16.79994976069327</v>
      </c>
      <c r="C15" s="29" t="n">
        <v>1.585076543952274e-17</v>
      </c>
      <c r="D15" s="8" t="n">
        <v>8.494441697242826e-15</v>
      </c>
      <c r="E15" s="8" t="n">
        <v>0.9995439225813854</v>
      </c>
      <c r="F15" s="8" t="n">
        <v>1.371671565119335e-10</v>
      </c>
      <c r="H15" s="8" t="inlineStr">
        <is>
          <t>Pd</t>
        </is>
      </c>
      <c r="I15" s="11" t="n">
        <v>0.5637</v>
      </c>
      <c r="J15" s="33" t="n">
        <v>-19.33848820076085</v>
      </c>
    </row>
    <row r="16">
      <c r="A16" s="33" t="n">
        <v>-2.325</v>
      </c>
      <c r="B16" s="33" t="n">
        <v>-16.50259552043551</v>
      </c>
      <c r="C16" s="29" t="n">
        <v>3.14343496477826e-17</v>
      </c>
      <c r="D16" s="8" t="n">
        <v>1.307137938670144e-14</v>
      </c>
      <c r="E16" s="8" t="n">
        <v>0.9994827977131771</v>
      </c>
      <c r="F16" s="8" t="n">
        <v>1.925768071877572e-10</v>
      </c>
      <c r="H16" s="8" t="inlineStr">
        <is>
          <t>Pt</t>
        </is>
      </c>
      <c r="I16" s="11" t="n">
        <v>0.5895</v>
      </c>
      <c r="J16" s="33" t="n">
        <v>-19.67221189424116</v>
      </c>
    </row>
    <row r="17">
      <c r="A17" s="33" t="n">
        <v>-2.3</v>
      </c>
      <c r="B17" s="33" t="n">
        <v>-16.20524952606155</v>
      </c>
      <c r="C17" s="29" t="n">
        <v>6.233765684523943e-17</v>
      </c>
      <c r="D17" s="8" t="n">
        <v>2.011427688540466e-14</v>
      </c>
      <c r="E17" s="8" t="n">
        <v>0.9994134450670086</v>
      </c>
      <c r="F17" s="8" t="n">
        <v>2.703673551532194e-10</v>
      </c>
      <c r="H17" s="8" t="inlineStr">
        <is>
          <t>Cu</t>
        </is>
      </c>
      <c r="I17" s="11" t="n">
        <v>1.2491</v>
      </c>
      <c r="J17" s="33" t="n">
        <v>-28.59651802332886</v>
      </c>
    </row>
    <row r="18">
      <c r="A18" s="33" t="n">
        <v>-2.275</v>
      </c>
      <c r="B18" s="33" t="n">
        <v>-15.90791295163275</v>
      </c>
      <c r="C18" s="29" t="n">
        <v>1.236195186970009e-16</v>
      </c>
      <c r="D18" s="8" t="n">
        <v>3.095161866325596e-14</v>
      </c>
      <c r="E18" s="8" t="n">
        <v>0.9993347468821848</v>
      </c>
      <c r="F18" s="8" t="n">
        <v>3.795774997171268e-10</v>
      </c>
      <c r="H18" s="8" t="inlineStr">
        <is>
          <t>Ag</t>
        </is>
      </c>
      <c r="I18" s="11" t="n">
        <v>2.911</v>
      </c>
      <c r="J18" s="33" t="n">
        <v>-51.76451479225579</v>
      </c>
    </row>
    <row r="19">
      <c r="A19" s="33" t="n">
        <v>-2.25</v>
      </c>
      <c r="B19" s="33" t="n">
        <v>-15.61058714501615</v>
      </c>
      <c r="C19" s="29" t="n">
        <v>2.451392510938213e-16</v>
      </c>
      <c r="D19" s="8" t="n">
        <v>4.762748966717245e-14</v>
      </c>
      <c r="E19" s="8" t="n">
        <v>0.9992454306234596</v>
      </c>
      <c r="F19" s="8" t="n">
        <v>5.328954994645576e-10</v>
      </c>
      <c r="H19" s="8" t="inlineStr">
        <is>
          <t>Au</t>
        </is>
      </c>
      <c r="I19" s="11" t="n">
        <v>3.0029</v>
      </c>
      <c r="J19" s="33" t="n">
        <v>-53.04757669636753</v>
      </c>
    </row>
    <row r="20">
      <c r="A20" s="33" t="n">
        <v>-2.225</v>
      </c>
      <c r="B20" s="33" t="n">
        <v>-15.31327365523321</v>
      </c>
      <c r="C20" s="29" t="n">
        <v>4.861008100197178e-16</v>
      </c>
      <c r="D20" s="8" t="n">
        <v>7.328697043479824e-14</v>
      </c>
      <c r="E20" s="8" t="n">
        <v>0.9991440467282986</v>
      </c>
      <c r="F20" s="8" t="n">
        <v>7.481322841747889e-10</v>
      </c>
    </row>
    <row r="21">
      <c r="A21" s="33" t="n">
        <v>-2.2</v>
      </c>
      <c r="B21" s="33" t="n">
        <v>-15.01597426449166</v>
      </c>
      <c r="C21" s="29" t="n">
        <v>9.638861400872585e-16</v>
      </c>
      <c r="D21" s="8" t="n">
        <v>1.127690388269508e-13</v>
      </c>
      <c r="E21" s="8" t="n">
        <v>0.9990289429307717</v>
      </c>
      <c r="F21" s="8" t="n">
        <v>1.050288891875648e-09</v>
      </c>
    </row>
    <row r="22">
      <c r="A22" s="33" t="n">
        <v>-2.175</v>
      </c>
      <c r="B22" s="33" t="n">
        <v>-14.71869102578635</v>
      </c>
      <c r="C22" s="29" t="n">
        <v>1.911212486904856e-15</v>
      </c>
      <c r="D22" s="8" t="n">
        <v>1.735186656213822e-13</v>
      </c>
      <c r="E22" s="8" t="n">
        <v>0.9988982345776616</v>
      </c>
      <c r="F22" s="8" t="n">
        <v>1.474457839918293e-09</v>
      </c>
      <c r="H22" t="inlineStr">
        <is>
          <t>1D optimum E_N (eV)</t>
        </is>
      </c>
      <c r="I22" s="34" t="n">
        <v>-1.175</v>
      </c>
    </row>
    <row r="23">
      <c r="A23" s="33" t="n">
        <v>-2.15</v>
      </c>
      <c r="B23" s="33" t="n">
        <v>-14.42142630714054</v>
      </c>
      <c r="C23" s="29" t="n">
        <v>3.789428288585065e-15</v>
      </c>
      <c r="D23" s="8" t="n">
        <v>2.669898750721131e-13</v>
      </c>
      <c r="E23" s="8" t="n">
        <v>0.9987497702391971</v>
      </c>
      <c r="F23" s="8" t="n">
        <v>2.069894536288487e-09</v>
      </c>
      <c r="H23" t="inlineStr">
        <is>
          <t>Peak log10 TOF</t>
        </is>
      </c>
      <c r="I23" s="34" t="n">
        <v>-3.414099684584028</v>
      </c>
    </row>
    <row r="24">
      <c r="A24" s="33" t="n">
        <v>-2.125</v>
      </c>
      <c r="B24" s="33" t="n">
        <v>-14.12418284378481</v>
      </c>
      <c r="C24" s="29" t="n">
        <v>7.513065173322575e-15</v>
      </c>
      <c r="D24" s="8" t="n">
        <v>4.108039254912092e-13</v>
      </c>
      <c r="E24" s="8" t="n">
        <v>0.9985810917791451</v>
      </c>
      <c r="F24" s="8" t="n">
        <v>2.905730133467437e-09</v>
      </c>
      <c r="H24" t="inlineStr">
        <is>
          <t>Peak TOF (s^-1)</t>
        </is>
      </c>
      <c r="I24" s="35" t="n">
        <v>0.0003853898881096469</v>
      </c>
    </row>
    <row r="25">
      <c r="A25" s="33" t="n">
        <v>-2.1</v>
      </c>
      <c r="B25" s="33" t="n">
        <v>-13.82696379984861</v>
      </c>
      <c r="C25" s="29" t="n">
        <v>1.489485226982454e-14</v>
      </c>
      <c r="D25" s="8" t="n">
        <v>6.320687953291309e-13</v>
      </c>
      <c r="E25" s="8" t="n">
        <v>0.9983893878812117</v>
      </c>
      <c r="F25" s="8" t="n">
        <v>4.078986882610162e-09</v>
      </c>
    </row>
    <row r="26">
      <c r="A26" s="33" t="n">
        <v>-2.075</v>
      </c>
      <c r="B26" s="33" t="n">
        <v>-13.52977284148018</v>
      </c>
      <c r="C26" s="29" t="n">
        <v>2.952753265798987e-14</v>
      </c>
      <c r="D26" s="8" t="n">
        <v>9.72484485512404e-13</v>
      </c>
      <c r="E26" s="8" t="n">
        <v>0.9981714398239693</v>
      </c>
      <c r="F26" s="8" t="n">
        <v>5.725822837339978e-09</v>
      </c>
    </row>
    <row r="27">
      <c r="A27" s="33" t="n">
        <v>-2.05</v>
      </c>
      <c r="B27" s="33" t="n">
        <v>-13.23261422372882</v>
      </c>
      <c r="C27" s="29" t="n">
        <v>5.853097738357464e-14</v>
      </c>
      <c r="D27" s="8" t="n">
        <v>1.496194196913097e-12</v>
      </c>
      <c r="E27" s="8" t="n">
        <v>0.9979235580464774</v>
      </c>
      <c r="F27" s="8" t="n">
        <v>8.037305144435961e-09</v>
      </c>
    </row>
    <row r="28">
      <c r="A28" s="33" t="n">
        <v>-2.025</v>
      </c>
      <c r="B28" s="33" t="n">
        <v>-12.93549289403818</v>
      </c>
      <c r="C28" s="29" t="n">
        <v>1.160131198154273e-13</v>
      </c>
      <c r="D28" s="8" t="n">
        <v>2.301857052945063e-12</v>
      </c>
      <c r="E28" s="8" t="n">
        <v>0.9976415077413392</v>
      </c>
      <c r="F28" s="8" t="n">
        <v>1.128153272406559e-08</v>
      </c>
    </row>
    <row r="29">
      <c r="A29" s="33" t="n">
        <v>-2</v>
      </c>
      <c r="B29" s="33" t="n">
        <v>-12.63841461583118</v>
      </c>
      <c r="C29" s="29" t="n">
        <v>2.299245706455766e-13</v>
      </c>
      <c r="D29" s="8" t="n">
        <v>3.541210160957099e-12</v>
      </c>
      <c r="E29" s="8" t="n">
        <v>0.9973204213391339</v>
      </c>
      <c r="F29" s="8" t="n">
        <v>1.58346593668626e-08</v>
      </c>
    </row>
    <row r="30">
      <c r="A30" s="33" t="n">
        <v>-1.975</v>
      </c>
      <c r="B30" s="33" t="n">
        <v>-12.34138609397375</v>
      </c>
      <c r="C30" s="29" t="n">
        <v>4.556316728044628e-13</v>
      </c>
      <c r="D30" s="8" t="n">
        <v>5.447604723116367e-12</v>
      </c>
      <c r="E30" s="8" t="n">
        <v>0.9969546952938473</v>
      </c>
      <c r="F30" s="8" t="n">
        <v>2.22243914357835e-08</v>
      </c>
    </row>
    <row r="31">
      <c r="A31" s="33" t="n">
        <v>-1.95</v>
      </c>
      <c r="B31" s="33" t="n">
        <v>-12.04441514343613</v>
      </c>
      <c r="C31" s="29" t="n">
        <v>9.027860851240201e-13</v>
      </c>
      <c r="D31" s="8" t="n">
        <v>8.379869001903573e-12</v>
      </c>
      <c r="E31" s="8" t="n">
        <v>0.9965378680268407</v>
      </c>
      <c r="F31" s="8" t="n">
        <v>3.119096316046075e-08</v>
      </c>
    </row>
    <row r="32">
      <c r="A32" s="33" t="n">
        <v>-1.925</v>
      </c>
      <c r="B32" s="33" t="n">
        <v>-11.74751098347734</v>
      </c>
      <c r="C32" s="29" t="n">
        <v>1.788500296663635e-12</v>
      </c>
      <c r="D32" s="8" t="n">
        <v>1.288971602261457e-11</v>
      </c>
      <c r="E32" s="8" t="n">
        <v>0.9960624752188743</v>
      </c>
      <c r="F32" s="8" t="n">
        <v>4.377258268977467e-08</v>
      </c>
    </row>
    <row r="33">
      <c r="A33" s="33" t="n">
        <v>-1.9</v>
      </c>
      <c r="B33" s="33" t="n">
        <v>-11.4506843792134</v>
      </c>
      <c r="C33" s="29" t="n">
        <v>3.542546999329846e-12</v>
      </c>
      <c r="D33" s="8" t="n">
        <v>1.982532057942437e-11</v>
      </c>
      <c r="E33" s="8" t="n">
        <v>0.9955198778360439</v>
      </c>
      <c r="F33" s="8" t="n">
        <v>6.142516155124806e-08</v>
      </c>
    </row>
    <row r="34">
      <c r="A34" s="33" t="n">
        <v>-1.875</v>
      </c>
      <c r="B34" s="33" t="n">
        <v>-11.15394795693565</v>
      </c>
      <c r="C34" s="29" t="n">
        <v>7.015393613591867e-12</v>
      </c>
      <c r="D34" s="8" t="n">
        <v>3.049043075961488e-11</v>
      </c>
      <c r="E34" s="8" t="n">
        <v>0.9949000573174006</v>
      </c>
      <c r="F34" s="8" t="n">
        <v>8.619000679498123e-08</v>
      </c>
    </row>
    <row r="35">
      <c r="A35" s="33" t="n">
        <v>-1.85</v>
      </c>
      <c r="B35" s="33" t="n">
        <v>-10.85731652619825</v>
      </c>
      <c r="C35" s="29" t="n">
        <v>1.388939963189737e-11</v>
      </c>
      <c r="D35" s="8" t="n">
        <v>4.688873253688337e-11</v>
      </c>
      <c r="E35" s="8" t="n">
        <v>0.9941913712223296</v>
      </c>
      <c r="F35" s="8" t="n">
        <v>1.209286249326009e-07</v>
      </c>
    </row>
    <row r="36">
      <c r="A36" s="33" t="n">
        <v>-1.825</v>
      </c>
      <c r="B36" s="33" t="n">
        <v>-10.56080743470877</v>
      </c>
      <c r="C36" s="29" t="n">
        <v>2.749112833949292e-11</v>
      </c>
      <c r="D36" s="8" t="n">
        <v>7.209904476763041e-11</v>
      </c>
      <c r="E36" s="8" t="n">
        <v>0.9933802613258368</v>
      </c>
      <c r="F36" s="8" t="n">
        <v>1.69651380640408e-07</v>
      </c>
    </row>
    <row r="37">
      <c r="A37" s="33" t="n">
        <v>-1.8</v>
      </c>
      <c r="B37" s="33" t="n">
        <v>-10.26444093304327</v>
      </c>
      <c r="C37" s="29" t="n">
        <v>5.439501075455506e-11</v>
      </c>
      <c r="D37" s="8" t="n">
        <v>1.108512304332367e-10</v>
      </c>
      <c r="E37" s="8" t="n">
        <v>0.992450904665249</v>
      </c>
      <c r="F37" s="8" t="n">
        <v>2.37977376148478e-07</v>
      </c>
    </row>
    <row r="38">
      <c r="A38" s="33" t="n">
        <v>-1.775</v>
      </c>
      <c r="B38" s="33" t="n">
        <v>-9.968240494944578</v>
      </c>
      <c r="C38" s="29" t="n">
        <v>1.075869275191812e-10</v>
      </c>
      <c r="D38" s="8" t="n">
        <v>1.704099774617781e-10</v>
      </c>
      <c r="E38" s="8" t="n">
        <v>0.9913847964151441</v>
      </c>
      <c r="F38" s="8" t="n">
        <v>3.33777793255583e-07</v>
      </c>
    </row>
    <row r="39">
      <c r="A39" s="33" t="n">
        <v>-1.75</v>
      </c>
      <c r="B39" s="33" t="n">
        <v>-9.672232978390673</v>
      </c>
      <c r="C39" s="29" t="n">
        <v>2.12699770648818e-10</v>
      </c>
      <c r="D39" s="8" t="n">
        <v>2.619308119672931e-10</v>
      </c>
      <c r="E39" s="8" t="n">
        <v>0.9901602517764141</v>
      </c>
      <c r="F39" s="8" t="n">
        <v>4.680758940648065e-07</v>
      </c>
    </row>
    <row r="40">
      <c r="A40" s="33" t="n">
        <v>-1.725</v>
      </c>
      <c r="B40" s="33" t="n">
        <v>-9.37644839598228</v>
      </c>
      <c r="C40" s="29" t="n">
        <v>4.202924649714884e-10</v>
      </c>
      <c r="D40" s="8" t="n">
        <v>4.025408091535686e-10</v>
      </c>
      <c r="E40" s="8" t="n">
        <v>0.9887518124602001</v>
      </c>
      <c r="F40" s="8" t="n">
        <v>6.563067452761494e-07</v>
      </c>
    </row>
    <row r="41">
      <c r="A41" s="33" t="n">
        <v>-1.7</v>
      </c>
      <c r="B41" s="33" t="n">
        <v>-9.080918844533137</v>
      </c>
      <c r="C41" s="29" t="n">
        <v>8.300058540332121e-10</v>
      </c>
      <c r="D41" s="8" t="n">
        <v>6.18533063435937e-10</v>
      </c>
      <c r="E41" s="8" t="n">
        <v>0.9871295420880479</v>
      </c>
      <c r="F41" s="8" t="n">
        <v>9.200832795426868e-07</v>
      </c>
    </row>
    <row r="42">
      <c r="A42" s="33" t="n">
        <v>-1.675</v>
      </c>
      <c r="B42" s="33" t="n">
        <v>-8.785675730776472</v>
      </c>
      <c r="C42" s="29" t="n">
        <v>1.638039119101316e-09</v>
      </c>
      <c r="D42" s="8" t="n">
        <v>9.502785982965517e-10</v>
      </c>
      <c r="E42" s="8" t="n">
        <v>0.9852581943346537</v>
      </c>
      <c r="F42" s="8" t="n">
        <v>1.289681391331662e-06</v>
      </c>
    </row>
    <row r="43">
      <c r="A43" s="33" t="n">
        <v>-1.65</v>
      </c>
      <c r="B43" s="33" t="n">
        <v>-8.490743662512019</v>
      </c>
      <c r="C43" s="29" t="n">
        <v>3.230400266947775e-09</v>
      </c>
      <c r="D43" s="8" t="n">
        <v>1.459804982336207e-09</v>
      </c>
      <c r="E43" s="8" t="n">
        <v>0.9830962385374277</v>
      </c>
      <c r="F43" s="8" t="n">
        <v>1.807563624243805e-06</v>
      </c>
    </row>
    <row r="44">
      <c r="A44" s="33" t="n">
        <v>-1.625</v>
      </c>
      <c r="B44" s="33" t="n">
        <v>-8.196127949991412</v>
      </c>
      <c r="C44" s="29" t="n">
        <v>6.366079385561791e-09</v>
      </c>
      <c r="D44" s="8" t="n">
        <v>2.242571361864374e-09</v>
      </c>
      <c r="E44" s="8" t="n">
        <v>0.9805947306489919</v>
      </c>
      <c r="F44" s="8" t="n">
        <v>2.533449719568328e-06</v>
      </c>
    </row>
    <row r="45">
      <c r="A45" s="33" t="n">
        <v>-1.6</v>
      </c>
      <c r="B45" s="33" t="n">
        <v>-7.901790039904062</v>
      </c>
      <c r="C45" s="29" t="n">
        <v>1.253747153748052e-08</v>
      </c>
      <c r="D45" s="8" t="n">
        <v>3.446010687851202e-09</v>
      </c>
      <c r="E45" s="8" t="n">
        <v>0.9776960238084336</v>
      </c>
      <c r="F45" s="8" t="n">
        <v>3.551811458398308e-06</v>
      </c>
    </row>
    <row r="46">
      <c r="A46" s="33" t="n">
        <v>-1.575</v>
      </c>
      <c r="B46" s="33" t="n">
        <v>-7.607600422601831</v>
      </c>
      <c r="C46" s="29" t="n">
        <v>2.468309287841977e-08</v>
      </c>
      <c r="D46" s="8" t="n">
        <v>5.299451631761755e-09</v>
      </c>
      <c r="E46" s="8" t="n">
        <v>0.9743323230915458</v>
      </c>
      <c r="F46" s="8" t="n">
        <v>4.983465807601658e-06</v>
      </c>
    </row>
    <row r="47">
      <c r="A47" s="33" t="n">
        <v>-1.55</v>
      </c>
      <c r="B47" s="33" t="n">
        <v>-7.31324997878997</v>
      </c>
      <c r="C47" s="29" t="n">
        <v>4.861273115122437e-08</v>
      </c>
      <c r="D47" s="8" t="n">
        <v>8.164470991486532e-09</v>
      </c>
      <c r="E47" s="8" t="n">
        <v>0.9704241018315644</v>
      </c>
      <c r="F47" s="8" t="n">
        <v>7.00480204591246e-06</v>
      </c>
    </row>
    <row r="48">
      <c r="A48" s="33" t="n">
        <v>-1.525</v>
      </c>
      <c r="B48" s="33" t="n">
        <v>-7.018085857528029</v>
      </c>
      <c r="C48" s="29" t="n">
        <v>9.592109822609518e-08</v>
      </c>
      <c r="D48" s="8" t="n">
        <v>1.262539191182537e-08</v>
      </c>
      <c r="E48" s="8" t="n">
        <v>0.9658784041234296</v>
      </c>
      <c r="F48" s="8" t="n">
        <v>9.882798732456606e-06</v>
      </c>
    </row>
    <row r="49">
      <c r="A49" s="33" t="n">
        <v>-1.5</v>
      </c>
      <c r="B49" s="33" t="n">
        <v>-6.720814127708895</v>
      </c>
      <c r="C49" s="29" t="n">
        <v>1.901892090407202e-07</v>
      </c>
      <c r="D49" s="8" t="n">
        <v>1.966757908354758e-08</v>
      </c>
      <c r="E49" s="8" t="n">
        <v>0.9605870304328895</v>
      </c>
      <c r="F49" s="8" t="n">
        <v>1.404601908227124e-05</v>
      </c>
    </row>
    <row r="50">
      <c r="A50" s="33" t="n">
        <v>-1.475</v>
      </c>
      <c r="B50" s="33" t="n">
        <v>-6.418981799383667</v>
      </c>
      <c r="C50" s="29" t="n">
        <v>3.810817936132232e-07</v>
      </c>
      <c r="D50" s="8" t="n">
        <v>3.106986022155697e-08</v>
      </c>
      <c r="E50" s="8" t="n">
        <v>0.9544244465434415</v>
      </c>
      <c r="F50" s="8" t="n">
        <v>2.024458668693236e-05</v>
      </c>
    </row>
    <row r="51">
      <c r="A51" s="33" t="n">
        <v>-1.45</v>
      </c>
      <c r="B51" s="33" t="n">
        <v>-6.10815708646386</v>
      </c>
      <c r="C51" s="29" t="n">
        <v>7.795480931187468e-07</v>
      </c>
      <c r="D51" s="8" t="n">
        <v>5.037321220355049e-08</v>
      </c>
      <c r="E51" s="8" t="n">
        <v>0.9472446745819181</v>
      </c>
      <c r="F51" s="8" t="n">
        <v>2.99458418974406e-05</v>
      </c>
    </row>
    <row r="52">
      <c r="A52" s="33" t="n">
        <v>-1.425</v>
      </c>
      <c r="B52" s="33" t="n">
        <v>-5.780999563292839</v>
      </c>
      <c r="C52" s="29" t="n">
        <v>1.655771628438789e-06</v>
      </c>
      <c r="D52" s="8" t="n">
        <v>8.552370911485442e-08</v>
      </c>
      <c r="E52" s="8" t="n">
        <v>0.9388745168156477</v>
      </c>
      <c r="F52" s="8" t="n">
        <v>4.638640072327979e-05</v>
      </c>
    </row>
    <row r="53">
      <c r="A53" s="33" t="n">
        <v>-1.4</v>
      </c>
      <c r="B53" s="33" t="n">
        <v>-5.427839941804921</v>
      </c>
      <c r="C53" s="29" t="n">
        <v>3.733877436027045e-06</v>
      </c>
      <c r="D53" s="8" t="n">
        <v>1.564840454777876e-07</v>
      </c>
      <c r="E53" s="8" t="n">
        <v>0.9290950437126507</v>
      </c>
      <c r="F53" s="8" t="n">
        <v>7.743574466489453e-05</v>
      </c>
    </row>
    <row r="54">
      <c r="A54" s="33" t="n">
        <v>-1.375</v>
      </c>
      <c r="B54" s="33" t="n">
        <v>-5.043981877967116</v>
      </c>
      <c r="C54" s="29" t="n">
        <v>9.03687181563017e-06</v>
      </c>
      <c r="D54" s="8" t="n">
        <v>3.158164094606476e-07</v>
      </c>
      <c r="E54" s="8" t="n">
        <v>0.9175941524823212</v>
      </c>
      <c r="F54" s="8" t="n">
        <v>0.0001425848463543966</v>
      </c>
    </row>
    <row r="55">
      <c r="A55" s="33" t="n">
        <v>-1.35</v>
      </c>
      <c r="B55" s="33" t="n">
        <v>-4.645507028389052</v>
      </c>
      <c r="C55" s="29" t="n">
        <v>2.262001932446879e-05</v>
      </c>
      <c r="D55" s="8" t="n">
        <v>6.909957811795015e-07</v>
      </c>
      <c r="E55" s="8" t="n">
        <v>0.9038843577818588</v>
      </c>
      <c r="F55" s="8" t="n">
        <v>0.0002846304388297125</v>
      </c>
    </row>
    <row r="56">
      <c r="A56" s="33" t="n">
        <v>-1.325</v>
      </c>
      <c r="B56" s="33" t="n">
        <v>-4.27058977738665</v>
      </c>
      <c r="C56" s="29" t="n">
        <v>5.363029953866171e-05</v>
      </c>
      <c r="D56" s="8" t="n">
        <v>1.536259134103112e-06</v>
      </c>
      <c r="E56" s="8" t="n">
        <v>0.8872502050364289</v>
      </c>
      <c r="F56" s="8" t="n">
        <v>0.0005773480334693228</v>
      </c>
    </row>
    <row r="57">
      <c r="A57" s="33" t="n">
        <v>-1.3</v>
      </c>
      <c r="B57" s="33" t="n">
        <v>-3.955816345923005</v>
      </c>
      <c r="C57" s="29" t="n">
        <v>0.0001107091851052616</v>
      </c>
      <c r="D57" s="8" t="n">
        <v>3.253118179834417e-06</v>
      </c>
      <c r="E57" s="8" t="n">
        <v>0.8668372036880264</v>
      </c>
      <c r="F57" s="8" t="n">
        <v>0.001115424860448493</v>
      </c>
    </row>
    <row r="58">
      <c r="A58" s="33" t="n">
        <v>-1.275</v>
      </c>
      <c r="B58" s="33" t="n">
        <v>-3.719666917704207</v>
      </c>
      <c r="C58" s="29" t="n">
        <v>0.0001906922672239343</v>
      </c>
      <c r="D58" s="8" t="n">
        <v>6.344523029987564e-06</v>
      </c>
      <c r="E58" s="8" t="n">
        <v>0.8419123299843362</v>
      </c>
      <c r="F58" s="8" t="n">
        <v>0.001984754171953223</v>
      </c>
    </row>
    <row r="59">
      <c r="A59" s="33" t="n">
        <v>-1.25</v>
      </c>
      <c r="B59" s="33" t="n">
        <v>-3.561546331036187</v>
      </c>
      <c r="C59" s="29" t="n">
        <v>0.0002744439547884885</v>
      </c>
      <c r="D59" s="8" t="n">
        <v>1.134710449328517e-05</v>
      </c>
      <c r="E59" s="8" t="n">
        <v>0.8121058417723795</v>
      </c>
      <c r="F59" s="8" t="n">
        <v>0.003238620539116266</v>
      </c>
    </row>
    <row r="60">
      <c r="A60" s="33" t="n">
        <v>-1.225</v>
      </c>
      <c r="B60" s="33" t="n">
        <v>-3.468453629120724</v>
      </c>
      <c r="C60" s="29" t="n">
        <v>0.0003400528122891092</v>
      </c>
      <c r="D60" s="8" t="n">
        <v>1.885542135292083e-05</v>
      </c>
      <c r="E60" s="8" t="n">
        <v>0.7773843981090397</v>
      </c>
      <c r="F60" s="8" t="n">
        <v>0.004909966394653384</v>
      </c>
    </row>
    <row r="61">
      <c r="A61" s="33" t="n">
        <v>-1.2</v>
      </c>
      <c r="B61" s="33" t="n">
        <v>-3.423922479220229</v>
      </c>
      <c r="C61" s="29" t="n">
        <v>0.0003767710459324595</v>
      </c>
      <c r="D61" s="8" t="n">
        <v>2.964591591314105e-05</v>
      </c>
      <c r="E61" s="8" t="n">
        <v>0.7378603763535285</v>
      </c>
      <c r="F61" s="8" t="n">
        <v>0.007043271288160404</v>
      </c>
    </row>
    <row r="62">
      <c r="A62" s="33" t="n">
        <v>-1.175</v>
      </c>
      <c r="B62" s="33" t="n">
        <v>-3.414099684584028</v>
      </c>
      <c r="C62" s="29" t="n">
        <v>0.0003853898881096469</v>
      </c>
      <c r="D62" s="8" t="n">
        <v>4.47984496043546e-05</v>
      </c>
      <c r="E62" s="8" t="n">
        <v>0.6937083488129981</v>
      </c>
      <c r="F62" s="8" t="n">
        <v>0.009710459795867828</v>
      </c>
    </row>
    <row r="63">
      <c r="A63" s="33" t="n">
        <v>-1.15</v>
      </c>
      <c r="B63" s="33" t="n">
        <v>-3.429594922881107</v>
      </c>
      <c r="C63" s="29" t="n">
        <v>0.0003718819307845947</v>
      </c>
      <c r="D63" s="8" t="n">
        <v>6.576043528638576e-05</v>
      </c>
      <c r="E63" s="8" t="n">
        <v>0.6452335714906692</v>
      </c>
      <c r="F63" s="8" t="n">
        <v>0.013004952069619</v>
      </c>
    </row>
    <row r="64">
      <c r="A64" s="33" t="n">
        <v>-1.125</v>
      </c>
      <c r="B64" s="33" t="n">
        <v>-3.464873917829416</v>
      </c>
      <c r="C64" s="29" t="n">
        <v>0.0003428673115973055</v>
      </c>
      <c r="D64" s="8" t="n">
        <v>9.43642436419734e-05</v>
      </c>
      <c r="E64" s="8" t="n">
        <v>0.5929842087576814</v>
      </c>
      <c r="F64" s="8" t="n">
        <v>0.01702624216867977</v>
      </c>
    </row>
    <row r="65">
      <c r="A65" s="33" t="n">
        <v>-1.1</v>
      </c>
      <c r="B65" s="33" t="n">
        <v>-3.516996668645958</v>
      </c>
      <c r="C65" s="29" t="n">
        <v>0.0003040908351562052</v>
      </c>
      <c r="D65" s="8" t="n">
        <v>0.0001328147213321421</v>
      </c>
      <c r="E65" s="8" t="n">
        <v>0.5378229550173478</v>
      </c>
      <c r="F65" s="8" t="n">
        <v>0.02186375864840389</v>
      </c>
    </row>
    <row r="66">
      <c r="A66" s="33" t="n">
        <v>-1.075</v>
      </c>
      <c r="B66" s="33" t="n">
        <v>-3.584513707358261</v>
      </c>
      <c r="C66" s="29" t="n">
        <v>0.000260307267096399</v>
      </c>
      <c r="D66" s="8" t="n">
        <v>0.0001836528526066461</v>
      </c>
      <c r="E66" s="8" t="n">
        <v>0.480926105445618</v>
      </c>
      <c r="F66" s="8" t="n">
        <v>0.02758313048581058</v>
      </c>
    </row>
    <row r="67">
      <c r="A67" s="33" t="n">
        <v>-1.05</v>
      </c>
      <c r="B67" s="33" t="n">
        <v>-3.666697344533387</v>
      </c>
      <c r="C67" s="29" t="n">
        <v>0.0002154282509590458</v>
      </c>
      <c r="D67" s="8" t="n">
        <v>0.0002497016256508961</v>
      </c>
      <c r="E67" s="8" t="n">
        <v>0.4237070063092535</v>
      </c>
      <c r="F67" s="8" t="n">
        <v>0.03421641553638505</v>
      </c>
    </row>
    <row r="68">
      <c r="A68" s="33" t="n">
        <v>-1.025</v>
      </c>
      <c r="B68" s="33" t="n">
        <v>-3.763063108359624</v>
      </c>
      <c r="C68" s="29" t="n">
        <v>0.000172558712461938</v>
      </c>
      <c r="D68" s="8" t="n">
        <v>0.0003340082082454509</v>
      </c>
      <c r="E68" s="8" t="n">
        <v>0.3676791277067785</v>
      </c>
      <c r="F68" s="8" t="n">
        <v>0.04175779402158333</v>
      </c>
    </row>
    <row r="69">
      <c r="A69" s="33" t="n">
        <v>-1</v>
      </c>
      <c r="B69" s="33" t="n">
        <v>-3.873101223897004</v>
      </c>
      <c r="C69" s="29" t="n">
        <v>0.0001339364476475859</v>
      </c>
      <c r="D69" s="8" t="n">
        <v>0.0004398033589105616</v>
      </c>
      <c r="E69" s="8" t="n">
        <v>0.3142895864238079</v>
      </c>
      <c r="F69" s="8" t="n">
        <v>0.05016562370175197</v>
      </c>
    </row>
    <row r="70">
      <c r="A70" s="33" t="n">
        <v>-0.9750000000000001</v>
      </c>
      <c r="B70" s="33" t="n">
        <v>-3.996152331563672</v>
      </c>
      <c r="C70" s="29" t="n">
        <v>0.0001008898946257039</v>
      </c>
      <c r="D70" s="8" t="n">
        <v>0.0005704984921191824</v>
      </c>
      <c r="E70" s="8" t="n">
        <v>0.2647624216608005</v>
      </c>
      <c r="F70" s="8" t="n">
        <v>0.05937032706284364</v>
      </c>
    </row>
    <row r="71">
      <c r="A71" s="33" t="n">
        <v>-0.95</v>
      </c>
      <c r="B71" s="33" t="n">
        <v>-4.13137865809402</v>
      </c>
      <c r="C71" s="29" t="n">
        <v>7.389606998197856e-05</v>
      </c>
      <c r="D71" s="8" t="n">
        <v>0.0007297321337243538</v>
      </c>
      <c r="E71" s="8" t="n">
        <v>0.2199867802123428</v>
      </c>
      <c r="F71" s="8" t="n">
        <v>0.06928603001130638</v>
      </c>
    </row>
    <row r="72">
      <c r="A72" s="33" t="n">
        <v>-0.925</v>
      </c>
      <c r="B72" s="33" t="n">
        <v>-4.277793211313399</v>
      </c>
      <c r="C72" s="29" t="n">
        <v>5.274809609309512e-05</v>
      </c>
      <c r="D72" s="8" t="n">
        <v>0.0009214646883344185</v>
      </c>
      <c r="E72" s="8" t="n">
        <v>0.180469283465144</v>
      </c>
      <c r="F72" s="8" t="n">
        <v>0.07982302284974965</v>
      </c>
    </row>
    <row r="73">
      <c r="A73" s="33" t="n">
        <v>-0.8999999999999999</v>
      </c>
      <c r="B73" s="33" t="n">
        <v>-4.434317674840844</v>
      </c>
      <c r="C73" s="29" t="n">
        <v>3.678597955681611e-05</v>
      </c>
      <c r="D73" s="8" t="n">
        <v>0.001150109501337332</v>
      </c>
      <c r="E73" s="8" t="n">
        <v>0.1463496218879225</v>
      </c>
      <c r="F73" s="8" t="n">
        <v>0.09089833549186273</v>
      </c>
    </row>
    <row r="74">
      <c r="A74" s="33" t="n">
        <v>-0.875</v>
      </c>
      <c r="B74" s="33" t="n">
        <v>-4.599847236799898</v>
      </c>
      <c r="C74" s="29" t="n">
        <v>2.512770143647198e-05</v>
      </c>
      <c r="D74" s="8" t="n">
        <v>0.001420683288897834</v>
      </c>
      <c r="E74" s="8" t="n">
        <v>0.1174626126136566</v>
      </c>
      <c r="F74" s="8" t="n">
        <v>0.1024427616353371</v>
      </c>
    </row>
    <row r="75">
      <c r="A75" s="33" t="n">
        <v>-0.8500000000000001</v>
      </c>
      <c r="B75" s="33" t="n">
        <v>-4.773308241602549</v>
      </c>
      <c r="C75" s="29" t="n">
        <v>1.685356414829339e-05</v>
      </c>
      <c r="D75" s="8" t="n">
        <v>0.001738960490865634</v>
      </c>
      <c r="E75" s="8" t="n">
        <v>0.09342341023937045</v>
      </c>
      <c r="F75" s="8" t="n">
        <v>0.1144039413871438</v>
      </c>
    </row>
    <row r="76">
      <c r="A76" s="33" t="n">
        <v>-0.825</v>
      </c>
      <c r="B76" s="33" t="n">
        <v>-4.953701549084692</v>
      </c>
      <c r="C76" s="29" t="n">
        <v>1.112495981488209e-05</v>
      </c>
      <c r="D76" s="8" t="n">
        <v>0.002111621418996798</v>
      </c>
      <c r="E76" s="8" t="n">
        <v>0.07371471030238239</v>
      </c>
      <c r="F76" s="8" t="n">
        <v>0.1267460976057325</v>
      </c>
    </row>
    <row r="77">
      <c r="A77" s="33" t="n">
        <v>-0.8</v>
      </c>
      <c r="B77" s="33" t="n">
        <v>-5.140129882568672</v>
      </c>
      <c r="C77" s="29" t="n">
        <v>7.24219338545425e-06</v>
      </c>
      <c r="D77" s="8" t="n">
        <v>0.002546390010039111</v>
      </c>
      <c r="E77" s="8" t="n">
        <v>0.05776176468886823</v>
      </c>
      <c r="F77" s="8" t="n">
        <v>0.1394474979120794</v>
      </c>
    </row>
    <row r="78">
      <c r="A78" s="33" t="n">
        <v>-0.7749999999999999</v>
      </c>
      <c r="B78" s="33" t="n">
        <v>-5.331810838348207</v>
      </c>
      <c r="C78" s="29" t="n">
        <v>4.657889287444587e-06</v>
      </c>
      <c r="D78" s="8" t="n">
        <v>0.003052161392109446</v>
      </c>
      <c r="E78" s="8" t="n">
        <v>0.04498873878465089</v>
      </c>
      <c r="F78" s="8" t="n">
        <v>0.1524967419327364</v>
      </c>
    </row>
    <row r="79">
      <c r="A79" s="33" t="n">
        <v>-0.75</v>
      </c>
      <c r="B79" s="33" t="n">
        <v>-5.528078804774109</v>
      </c>
      <c r="C79" s="29" t="n">
        <v>2.964293455746367e-06</v>
      </c>
      <c r="D79" s="8" t="n">
        <v>0.003639121661870678</v>
      </c>
      <c r="E79" s="8" t="n">
        <v>0.03485586259036845</v>
      </c>
      <c r="F79" s="8" t="n">
        <v>0.1658887413115368</v>
      </c>
    </row>
    <row r="80">
      <c r="A80" s="33" t="n">
        <v>-0.7250000000000001</v>
      </c>
      <c r="B80" s="33" t="n">
        <v>-5.728379323381734</v>
      </c>
      <c r="C80" s="29" t="n">
        <v>1.869048954342778e-06</v>
      </c>
      <c r="D80" s="8" t="n">
        <v>0.00431886260193457</v>
      </c>
      <c r="E80" s="8" t="n">
        <v>0.02688022854957994</v>
      </c>
      <c r="F80" s="8" t="n">
        <v>0.1796209508368483</v>
      </c>
    </row>
    <row r="81">
      <c r="A81" s="33" t="n">
        <v>-0.7</v>
      </c>
      <c r="B81" s="33" t="n">
        <v>-5.932258983791807</v>
      </c>
      <c r="C81" s="29" t="n">
        <v>1.168802188756422e-06</v>
      </c>
      <c r="D81" s="8" t="n">
        <v>0.005104493265769177</v>
      </c>
      <c r="E81" s="8" t="n">
        <v>0.02064435878892701</v>
      </c>
      <c r="F81" s="8" t="n">
        <v>0.1936901362452923</v>
      </c>
    </row>
    <row r="82">
      <c r="A82" s="33" t="n">
        <v>-0.675</v>
      </c>
      <c r="B82" s="33" t="n">
        <v>-6.139353219464944</v>
      </c>
      <c r="C82" s="29" t="n">
        <v>7.255156425705224e-07</v>
      </c>
      <c r="D82" s="8" t="n">
        <v>0.006010749077136304</v>
      </c>
      <c r="E82" s="8" t="n">
        <v>0.01579658206170642</v>
      </c>
      <c r="F82" s="8" t="n">
        <v>0.2080897718970842</v>
      </c>
    </row>
    <row r="83">
      <c r="A83" s="33" t="n">
        <v>-0.6499999999999999</v>
      </c>
      <c r="B83" s="33" t="n">
        <v>-6.349373634790688</v>
      </c>
      <c r="C83" s="29" t="n">
        <v>4.473282904677151e-07</v>
      </c>
      <c r="D83" s="8" t="n">
        <v>0.00705409776018595</v>
      </c>
      <c r="E83" s="8" t="n">
        <v>0.01204653486771681</v>
      </c>
      <c r="F83" s="8" t="n">
        <v>0.2228080491508814</v>
      </c>
    </row>
    <row r="84">
      <c r="A84" s="33" t="n">
        <v>-0.625</v>
      </c>
      <c r="B84" s="33" t="n">
        <v>-6.562095875993117</v>
      </c>
      <c r="C84" s="29" t="n">
        <v>2.740969001598376e-07</v>
      </c>
      <c r="D84" s="8" t="n">
        <v>0.008252840245516844</v>
      </c>
      <c r="E84" s="8" t="n">
        <v>0.009158207664675316</v>
      </c>
      <c r="F84" s="8" t="n">
        <v>0.2378264244288144</v>
      </c>
    </row>
    <row r="85">
      <c r="A85" s="33" t="n">
        <v>-0.6000000000000001</v>
      </c>
      <c r="B85" s="33" t="n">
        <v>-6.777348597250555</v>
      </c>
      <c r="C85" s="29" t="n">
        <v>1.669749810118508e-07</v>
      </c>
      <c r="D85" s="8" t="n">
        <v>0.009627203754051839</v>
      </c>
      <c r="E85" s="8" t="n">
        <v>0.006942146135188357</v>
      </c>
      <c r="F85" s="8" t="n">
        <v>0.2531186223040469</v>
      </c>
    </row>
    <row r="86">
      <c r="A86" s="33" t="n">
        <v>-0.5750000000000002</v>
      </c>
      <c r="B86" s="33" t="n">
        <v>-6.995003758958787</v>
      </c>
      <c r="C86" s="29" t="n">
        <v>1.01157069875141e-07</v>
      </c>
      <c r="D86" s="8" t="n">
        <v>0.01119942353906558</v>
      </c>
      <c r="E86" s="8" t="n">
        <v>0.005247783385917274</v>
      </c>
      <c r="F86" s="8" t="n">
        <v>0.2686500154331247</v>
      </c>
    </row>
    <row r="87">
      <c r="A87" s="33" t="n">
        <v>-0.5499999999999998</v>
      </c>
      <c r="B87" s="33" t="n">
        <v>-7.214968297752547</v>
      </c>
      <c r="C87" s="29" t="n">
        <v>6.095813933036869e-08</v>
      </c>
      <c r="D87" s="8" t="n">
        <v>0.01299380923586071</v>
      </c>
      <c r="E87" s="8" t="n">
        <v>0.003956429478542757</v>
      </c>
      <c r="F87" s="8" t="n">
        <v>0.2843773177131381</v>
      </c>
    </row>
    <row r="88">
      <c r="A88" s="33" t="n">
        <v>-0.5249999999999999</v>
      </c>
      <c r="B88" s="33" t="n">
        <v>-7.437177095431911</v>
      </c>
      <c r="C88" s="29" t="n">
        <v>3.654457407473835e-08</v>
      </c>
      <c r="D88" s="8" t="n">
        <v>0.01503679139517598</v>
      </c>
      <c r="E88" s="8" t="n">
        <v>0.002975150046451283</v>
      </c>
      <c r="F88" s="8" t="n">
        <v>0.3002485426702533</v>
      </c>
    </row>
    <row r="89">
      <c r="A89" s="33" t="n">
        <v>-0.5</v>
      </c>
      <c r="B89" s="33" t="n">
        <v>-7.661587118463809</v>
      </c>
      <c r="C89" s="29" t="n">
        <v>2.179781094304532e-08</v>
      </c>
      <c r="D89" s="8" t="n">
        <v>0.01735694353388809</v>
      </c>
      <c r="E89" s="8" t="n">
        <v>0.00223158654878845</v>
      </c>
      <c r="F89" s="8" t="n">
        <v>0.3162031923339939</v>
      </c>
    </row>
    <row r="90">
      <c r="A90" s="33" t="n">
        <v>-0.4750000000000001</v>
      </c>
      <c r="B90" s="33" t="n">
        <v>-7.888172579976614</v>
      </c>
      <c r="C90" s="29" t="n">
        <v>1.293681655971333e-08</v>
      </c>
      <c r="D90" s="8" t="n">
        <v>0.01998497490600445</v>
      </c>
      <c r="E90" s="8" t="n">
        <v>0.001669670971891019</v>
      </c>
      <c r="F90" s="8" t="n">
        <v>0.3321726514566908</v>
      </c>
    </row>
    <row r="91">
      <c r="A91" s="33" t="n">
        <v>-0.4500000000000002</v>
      </c>
      <c r="B91" s="33" t="n">
        <v>-8.116920977137578</v>
      </c>
      <c r="C91" s="29" t="n">
        <v>7.639747813876775e-09</v>
      </c>
      <c r="D91" s="8" t="n">
        <v>0.02295368916498893</v>
      </c>
      <c r="E91" s="8" t="n">
        <v>0.001246139331434859</v>
      </c>
      <c r="F91" s="8" t="n">
        <v>0.3480807678403022</v>
      </c>
    </row>
    <row r="92">
      <c r="A92" s="33" t="n">
        <v>-0.4249999999999998</v>
      </c>
      <c r="B92" s="33" t="n">
        <v>-8.347829868545457</v>
      </c>
      <c r="C92" s="29" t="n">
        <v>4.489212168546308e-09</v>
      </c>
      <c r="D92" s="8" t="n">
        <v>0.02629790414518181</v>
      </c>
      <c r="E92" s="8" t="n">
        <v>0.0009277310070732719</v>
      </c>
      <c r="F92" s="8" t="n">
        <v>0.3638446022637513</v>
      </c>
    </row>
    <row r="93">
      <c r="A93" s="33" t="n">
        <v>-0.3999999999999999</v>
      </c>
      <c r="B93" s="33" t="n">
        <v>-8.580904272538072</v>
      </c>
      <c r="C93" s="29" t="n">
        <v>2.624797039034539e-09</v>
      </c>
      <c r="D93" s="8" t="n">
        <v>0.03005432812780436</v>
      </c>
      <c r="E93" s="8" t="n">
        <v>0.0006889612398767258</v>
      </c>
      <c r="F93" s="8" t="n">
        <v>0.3793753318297973</v>
      </c>
    </row>
    <row r="94">
      <c r="A94" s="33" t="n">
        <v>-0.375</v>
      </c>
      <c r="B94" s="33" t="n">
        <v>-8.816154584419989</v>
      </c>
      <c r="C94" s="29" t="n">
        <v>1.527022427356215e-09</v>
      </c>
      <c r="D94" s="8" t="n">
        <v>0.03426138817071579</v>
      </c>
      <c r="E94" s="8" t="n">
        <v>0.0005103634413262951</v>
      </c>
      <c r="F94" s="8" t="n">
        <v>0.3945792892844309</v>
      </c>
    </row>
    <row r="95">
      <c r="A95" s="33" t="n">
        <v>-0.3500000000000001</v>
      </c>
      <c r="B95" s="33" t="n">
        <v>-9.053594926557505</v>
      </c>
      <c r="C95" s="29" t="n">
        <v>8.839039474742278e-10</v>
      </c>
      <c r="D95" s="8" t="n">
        <v>0.03895900636976416</v>
      </c>
      <c r="E95" s="8" t="n">
        <v>0.0003771110967210157</v>
      </c>
      <c r="F95" s="8" t="n">
        <v>0.4093591187633816</v>
      </c>
    </row>
    <row r="96">
      <c r="A96" s="33" t="n">
        <v>-0.3250000000000002</v>
      </c>
      <c r="B96" s="33" t="n">
        <v>-9.293241859131902</v>
      </c>
      <c r="C96" s="29" t="n">
        <v>5.090473030347687e-10</v>
      </c>
      <c r="D96" s="8" t="n">
        <v>0.04418832028899317</v>
      </c>
      <c r="E96" s="8" t="n">
        <v>0.0002779430207254374</v>
      </c>
      <c r="F96" s="8" t="n">
        <v>0.423615026144506</v>
      </c>
    </row>
    <row r="97">
      <c r="A97" s="33" t="n">
        <v>-0.2999999999999998</v>
      </c>
      <c r="B97" s="33" t="n">
        <v>-9.535113390798385</v>
      </c>
      <c r="C97" s="29" t="n">
        <v>2.916665396688371e-10</v>
      </c>
      <c r="D97" s="8" t="n">
        <v>0.0499913442622189</v>
      </c>
      <c r="E97" s="8" t="n">
        <v>0.00020432896536573</v>
      </c>
      <c r="F97" s="8" t="n">
        <v>0.4372461002510097</v>
      </c>
    </row>
    <row r="98">
      <c r="A98" s="33" t="n">
        <v>-0.2749999999999999</v>
      </c>
      <c r="B98" s="33" t="n">
        <v>-9.779228237649976</v>
      </c>
      <c r="C98" s="29" t="n">
        <v>1.662538695791717e-10</v>
      </c>
      <c r="D98" s="8" t="n">
        <v>0.05641056885653883</v>
      </c>
      <c r="E98" s="8" t="n">
        <v>0.0001498243636516006</v>
      </c>
      <c r="F98" s="8" t="n">
        <v>0.4501516799276796</v>
      </c>
    </row>
    <row r="99">
      <c r="A99" s="33" t="n">
        <v>-0.25</v>
      </c>
      <c r="B99" s="33" t="n">
        <v>-10.02560528601424</v>
      </c>
      <c r="C99" s="29" t="n">
        <v>9.427460338264959e-11</v>
      </c>
      <c r="D99" s="8" t="n">
        <v>0.06348849653913652</v>
      </c>
      <c r="E99" s="8" t="n">
        <v>0.000109573074433309</v>
      </c>
      <c r="F99" s="8" t="n">
        <v>0.4622327417104358</v>
      </c>
    </row>
    <row r="100">
      <c r="A100" s="33" t="n">
        <v>-0.2250000000000001</v>
      </c>
      <c r="B100" s="33" t="n">
        <v>-10.27426322008367</v>
      </c>
      <c r="C100" s="29" t="n">
        <v>5.317858532722236e-11</v>
      </c>
      <c r="D100" s="8" t="n">
        <v>0.07126711255476367</v>
      </c>
      <c r="E100" s="8" t="n">
        <v>7.992539852410876e-05</v>
      </c>
      <c r="F100" s="8" t="n">
        <v>0.4733932834830639</v>
      </c>
    </row>
    <row r="101">
      <c r="A101" s="33" t="n">
        <v>-0.1999999999999997</v>
      </c>
      <c r="B101" s="33" t="n">
        <v>-10.52522027959136</v>
      </c>
      <c r="C101" s="29" t="n">
        <v>2.983868779477978e-11</v>
      </c>
      <c r="D101" s="8" t="n">
        <v>0.07978729126444577</v>
      </c>
      <c r="E101" s="8" t="n">
        <v>5.814551359527434e-05</v>
      </c>
      <c r="F101" s="8" t="n">
        <v>0.483541681075991</v>
      </c>
    </row>
    <row r="102">
      <c r="A102" s="33" t="n">
        <v>-0.1749999999999998</v>
      </c>
      <c r="B102" s="33" t="n">
        <v>-10.7784941160644</v>
      </c>
      <c r="C102" s="29" t="n">
        <v>1.665351390249802e-11</v>
      </c>
      <c r="D102" s="8" t="n">
        <v>0.08908813978185527</v>
      </c>
      <c r="E102" s="8" t="n">
        <v>4.218802776478905e-05</v>
      </c>
      <c r="F102" s="8" t="n">
        <v>0.4925919970049448</v>
      </c>
    </row>
    <row r="103">
      <c r="A103" s="33" t="n">
        <v>-0.1499999999999999</v>
      </c>
      <c r="B103" s="33" t="n">
        <v>-11.03410171895493</v>
      </c>
      <c r="C103" s="29" t="n">
        <v>9.244816196840577e-12</v>
      </c>
      <c r="D103" s="8" t="n">
        <v>0.09920628273308607</v>
      </c>
      <c r="E103" s="8" t="n">
        <v>3.05277890650015e-05</v>
      </c>
      <c r="F103" s="8" t="n">
        <v>0.5004652231841497</v>
      </c>
    </row>
    <row r="104">
      <c r="A104" s="33" t="n">
        <v>-0.125</v>
      </c>
      <c r="B104" s="33" t="n">
        <v>-11.29205938544414</v>
      </c>
      <c r="C104" s="29" t="n">
        <v>5.104351982745539e-12</v>
      </c>
      <c r="D104" s="8" t="n">
        <v>0.1101750944026447</v>
      </c>
      <c r="E104" s="8" t="n">
        <v>2.2030606305948e-05</v>
      </c>
      <c r="F104" s="8" t="n">
        <v>0.5070904421501173</v>
      </c>
    </row>
    <row r="105">
      <c r="A105" s="33" t="n">
        <v>-0.1000000000000001</v>
      </c>
      <c r="B105" s="33" t="n">
        <v>-11.55238271016646</v>
      </c>
      <c r="C105" s="29" t="n">
        <v>2.802962515043408e-12</v>
      </c>
      <c r="D105" s="8" t="n">
        <v>0.1220238874285385</v>
      </c>
      <c r="E105" s="8" t="n">
        <v>1.585530927478838e-05</v>
      </c>
      <c r="F105" s="8" t="n">
        <v>0.5124058937740079</v>
      </c>
    </row>
    <row r="106">
      <c r="A106" s="33" t="n">
        <v>-0.07499999999999973</v>
      </c>
      <c r="B106" s="33" t="n">
        <v>-11.81508657367668</v>
      </c>
      <c r="C106" s="29" t="n">
        <v>1.530782280139049e-12</v>
      </c>
      <c r="D106" s="8" t="n">
        <v>0.1347770705443756</v>
      </c>
      <c r="E106" s="8" t="n">
        <v>1.13797498821385e-05</v>
      </c>
      <c r="F106" s="8" t="n">
        <v>0.5163599363472539</v>
      </c>
    </row>
    <row r="107">
      <c r="A107" s="33" t="n">
        <v>-0.04999999999999982</v>
      </c>
      <c r="B107" s="33" t="n">
        <v>-12.08018511129716</v>
      </c>
      <c r="C107" s="29" t="n">
        <v>8.314093202214152e-13</v>
      </c>
      <c r="D107" s="8" t="n">
        <v>0.1484532915522941</v>
      </c>
      <c r="E107" s="8" t="n">
        <v>8.145042946654151e-06</v>
      </c>
      <c r="F107" s="8" t="n">
        <v>0.5189118921087131</v>
      </c>
    </row>
    <row r="108">
      <c r="A108" s="33" t="n">
        <v>-0.02499999999999991</v>
      </c>
      <c r="B108" s="33" t="n">
        <v>-12.34769164709677</v>
      </c>
      <c r="C108" s="29" t="n">
        <v>4.490641162440625e-13</v>
      </c>
      <c r="D108" s="8" t="n">
        <v>0.1630645855968836</v>
      </c>
      <c r="E108" s="8" t="n">
        <v>5.813665515123623e-06</v>
      </c>
      <c r="F108" s="8" t="n">
        <v>0.5200327676701143</v>
      </c>
    </row>
    <row r="109">
      <c r="A109" s="33" t="n">
        <v>0</v>
      </c>
      <c r="B109" s="33" t="n">
        <v>-12.61761858118136</v>
      </c>
      <c r="C109" s="29" t="n">
        <v>2.412022856087062e-13</v>
      </c>
      <c r="D109" s="8" t="n">
        <v>0.1786155526749626</v>
      </c>
      <c r="E109" s="8" t="n">
        <v>4.138057346758047e-06</v>
      </c>
      <c r="F109" s="8" t="n">
        <v>0.5197058394496742</v>
      </c>
    </row>
    <row r="110">
      <c r="A110" s="33" t="n">
        <v>0.02499999999999991</v>
      </c>
      <c r="B110" s="33" t="n">
        <v>-12.88997722218826</v>
      </c>
      <c r="C110" s="29" t="n">
        <v>1.28831711938396e-13</v>
      </c>
      <c r="D110" s="8" t="n">
        <v>0.1951025918676558</v>
      </c>
      <c r="E110" s="8" t="n">
        <v>2.937156686637625e-06</v>
      </c>
      <c r="F110" s="8" t="n">
        <v>0.5179270933338576</v>
      </c>
    </row>
    <row r="111">
      <c r="A111" s="33" t="n">
        <v>0.05000000000000027</v>
      </c>
      <c r="B111" s="33" t="n">
        <v>-13.16477756080498</v>
      </c>
      <c r="C111" s="29" t="n">
        <v>6.842620264097041e-14</v>
      </c>
      <c r="D111" s="8" t="n">
        <v>0.2125132226698577</v>
      </c>
      <c r="E111" s="8" t="n">
        <v>2.078915688049769e-06</v>
      </c>
      <c r="F111" s="8" t="n">
        <v>0.5147055066636299</v>
      </c>
    </row>
    <row r="112">
      <c r="A112" s="33" t="n">
        <v>0.07500000000000018</v>
      </c>
      <c r="B112" s="33" t="n">
        <v>-13.44202798417377</v>
      </c>
      <c r="C112" s="29" t="n">
        <v>3.613865756051627e-14</v>
      </c>
      <c r="D112" s="8" t="n">
        <v>0.2308255256319703</v>
      </c>
      <c r="E112" s="8" t="n">
        <v>1.467309047963579e-06</v>
      </c>
      <c r="F112" s="8" t="n">
        <v>0.5100631596806976</v>
      </c>
    </row>
    <row r="113">
      <c r="A113" s="33" t="n">
        <v>0.1000000000000001</v>
      </c>
      <c r="B113" s="33" t="n">
        <v>-13.7217349350642</v>
      </c>
      <c r="C113" s="29" t="n">
        <v>1.897863899744927e-14</v>
      </c>
      <c r="D113" s="8" t="n">
        <v>0.2500077349304364</v>
      </c>
      <c r="E113" s="8" t="n">
        <v>1.032709211465425e-06</v>
      </c>
      <c r="F113" s="8" t="n">
        <v>0.5040351632107463</v>
      </c>
    </row>
    <row r="114">
      <c r="A114" s="33" t="n">
        <v>0.125</v>
      </c>
      <c r="B114" s="33" t="n">
        <v>-14.00390252354505</v>
      </c>
      <c r="C114" s="29" t="n">
        <v>9.910543599341141e-15</v>
      </c>
      <c r="D114" s="8" t="n">
        <v>0.2700180140965643</v>
      </c>
      <c r="E114" s="8" t="n">
        <v>7.247766399348384e-07</v>
      </c>
      <c r="F114" s="8" t="n">
        <v>0.4966693900342274</v>
      </c>
    </row>
    <row r="115">
      <c r="A115" s="33" t="n">
        <v>0.1499999999999999</v>
      </c>
      <c r="B115" s="33" t="n">
        <v>-14.28853210239296</v>
      </c>
      <c r="C115" s="29" t="n">
        <v>5.14597767317143e-15</v>
      </c>
      <c r="D115" s="8" t="n">
        <v>0.2908044426942983</v>
      </c>
      <c r="E115" s="8" t="n">
        <v>5.072234556874449e-07</v>
      </c>
      <c r="F115" s="8" t="n">
        <v>0.488025999462684</v>
      </c>
    </row>
    <row r="116">
      <c r="A116" s="33" t="n">
        <v>0.1750000000000003</v>
      </c>
      <c r="B116" s="33" t="n">
        <v>-14.57562182046787</v>
      </c>
      <c r="C116" s="29" t="n">
        <v>2.656918174175547e-15</v>
      </c>
      <c r="D116" s="8" t="n">
        <v>0.3123052361198486</v>
      </c>
      <c r="E116" s="8" t="n">
        <v>3.539683245631913e-07</v>
      </c>
      <c r="F116" s="8" t="n">
        <v>0.4781767483372809</v>
      </c>
    </row>
    <row r="117">
      <c r="A117" s="33" t="n">
        <v>0.2000000000000002</v>
      </c>
      <c r="B117" s="33" t="n">
        <v>-14.86516617060031</v>
      </c>
      <c r="C117" s="29" t="n">
        <v>1.364061117006583e-15</v>
      </c>
      <c r="D117" s="8" t="n">
        <v>0.334449212951401</v>
      </c>
      <c r="E117" s="8" t="n">
        <v>2.463214065622707e-07</v>
      </c>
      <c r="F117" s="8" t="n">
        <v>0.4672040870618656</v>
      </c>
    </row>
    <row r="118">
      <c r="A118" s="33" t="n">
        <v>0.2250000000000001</v>
      </c>
      <c r="B118" s="33" t="n">
        <v>-15.15715555002921</v>
      </c>
      <c r="C118" s="29" t="n">
        <v>6.963770500353442e-16</v>
      </c>
      <c r="D118" s="8" t="n">
        <v>0.3571565146647552</v>
      </c>
      <c r="E118" s="8" t="n">
        <v>1.709296474301321e-07</v>
      </c>
      <c r="F118" s="8" t="n">
        <v>0.4552000462381727</v>
      </c>
    </row>
    <row r="119">
      <c r="A119" s="33" t="n">
        <v>0.25</v>
      </c>
      <c r="B119" s="33" t="n">
        <v>-15.45157585199596</v>
      </c>
      <c r="C119" s="29" t="n">
        <v>3.535282699892682e-16</v>
      </c>
      <c r="D119" s="8" t="n">
        <v>0.3803395715243822</v>
      </c>
      <c r="E119" s="8" t="n">
        <v>1.182815961676232e-07</v>
      </c>
      <c r="F119" s="8" t="n">
        <v>0.4422649276369475</v>
      </c>
    </row>
    <row r="120">
      <c r="A120" s="33" t="n">
        <v>0.2749999999999999</v>
      </c>
      <c r="B120" s="33" t="n">
        <v>-15.74840810668103</v>
      </c>
      <c r="C120" s="29" t="n">
        <v>1.784809600354763e-16</v>
      </c>
      <c r="D120" s="8" t="n">
        <v>0.4039042967274125</v>
      </c>
      <c r="E120" s="8" t="n">
        <v>8.162270435679692e-08</v>
      </c>
      <c r="F120" s="8" t="n">
        <v>0.4285058220738419</v>
      </c>
    </row>
    <row r="121">
      <c r="A121" s="33" t="n">
        <v>0.3000000000000003</v>
      </c>
      <c r="B121" s="33" t="n">
        <v>-16.04762818826649</v>
      </c>
      <c r="C121" s="29" t="n">
        <v>8.961316407592379e-17</v>
      </c>
      <c r="D121" s="8" t="n">
        <v>0.4277514792350482</v>
      </c>
      <c r="E121" s="8" t="n">
        <v>5.617083369804304e-08</v>
      </c>
      <c r="F121" s="8" t="n">
        <v>0.4140349855740198</v>
      </c>
    </row>
    <row r="122">
      <c r="A122" s="33" t="n">
        <v>0.3250000000000002</v>
      </c>
      <c r="B122" s="33" t="n">
        <v>-16.34920660258268</v>
      </c>
      <c r="C122" s="29" t="n">
        <v>4.475003686440486e-17</v>
      </c>
      <c r="D122" s="8" t="n">
        <v>0.4517783350590632</v>
      </c>
      <c r="E122" s="8" t="n">
        <v>3.855064008351407e-08</v>
      </c>
      <c r="F122" s="8" t="n">
        <v>0.3989681132383737</v>
      </c>
    </row>
    <row r="123">
      <c r="A123" s="33" t="n">
        <v>0.3500000000000001</v>
      </c>
      <c r="B123" s="33" t="n">
        <v>-16.6531083666824</v>
      </c>
      <c r="C123" s="29" t="n">
        <v>2.222755191777361e-17</v>
      </c>
      <c r="D123" s="8" t="n">
        <v>0.4758801679485415</v>
      </c>
      <c r="E123" s="8" t="n">
        <v>2.638703796953822e-08</v>
      </c>
      <c r="F123" s="8" t="n">
        <v>0.3834225567099099</v>
      </c>
    </row>
    <row r="124">
      <c r="A124" s="33" t="n">
        <v>0.375</v>
      </c>
      <c r="B124" s="33" t="n">
        <v>-16.95929298796418</v>
      </c>
      <c r="C124" s="29" t="n">
        <v>1.098264667468585e-17</v>
      </c>
      <c r="D124" s="8" t="n">
        <v>0.4999520841955866</v>
      </c>
      <c r="E124" s="8" t="n">
        <v>1.801392134168133e-08</v>
      </c>
      <c r="F124" s="8" t="n">
        <v>0.3675155354237292</v>
      </c>
    </row>
    <row r="125">
      <c r="A125" s="33" t="n">
        <v>0.3999999999999999</v>
      </c>
      <c r="B125" s="33" t="n">
        <v>-17.26771454636853</v>
      </c>
      <c r="C125" s="29" t="n">
        <v>5.398653493106812e-18</v>
      </c>
      <c r="D125" s="8" t="n">
        <v>0.5238907031950056</v>
      </c>
      <c r="E125" s="8" t="n">
        <v>1.226612577456987e-08</v>
      </c>
      <c r="F125" s="8" t="n">
        <v>0.3513623934320911</v>
      </c>
    </row>
    <row r="126">
      <c r="A126" s="33" t="n">
        <v>0.4250000000000003</v>
      </c>
      <c r="B126" s="33" t="n">
        <v>-17.57832187895189</v>
      </c>
      <c r="C126" s="29" t="n">
        <v>2.640451051926855e-18</v>
      </c>
      <c r="D126" s="8" t="n">
        <v>0.5475958057262987</v>
      </c>
      <c r="E126" s="8" t="n">
        <v>8.331317357039575e-09</v>
      </c>
      <c r="F126" s="8" t="n">
        <v>0.3350749522940211</v>
      </c>
    </row>
    <row r="127">
      <c r="A127" s="33" t="n">
        <v>0.4500000000000002</v>
      </c>
      <c r="B127" s="33" t="n">
        <v>-17.89105886206085</v>
      </c>
      <c r="C127" s="29" t="n">
        <v>1.285112470544375e-18</v>
      </c>
      <c r="D127" s="8" t="n">
        <v>0.5709718656453349</v>
      </c>
      <c r="E127" s="8" t="n">
        <v>5.644885238924867e-09</v>
      </c>
      <c r="F127" s="8" t="n">
        <v>0.3187600063460409</v>
      </c>
    </row>
    <row r="128">
      <c r="A128" s="33" t="n">
        <v>0.4750000000000001</v>
      </c>
      <c r="B128" s="33" t="n">
        <v>-18.20586478262586</v>
      </c>
      <c r="C128" s="29" t="n">
        <v>6.224940682235977e-19</v>
      </c>
      <c r="D128" s="8" t="n">
        <v>0.5939294174451675</v>
      </c>
      <c r="E128" s="8" t="n">
        <v>3.815593387873865e-09</v>
      </c>
      <c r="F128" s="8" t="n">
        <v>0.3025179999335945</v>
      </c>
    </row>
    <row r="129">
      <c r="A129" s="33" t="n">
        <v>0.5</v>
      </c>
      <c r="B129" s="33" t="n">
        <v>-18.52267478696995</v>
      </c>
      <c r="C129" s="29" t="n">
        <v>3.001409224977464e-19</v>
      </c>
      <c r="D129" s="8" t="n">
        <v>0.6163862213789597</v>
      </c>
      <c r="E129" s="8" t="n">
        <v>2.573161329610785e-09</v>
      </c>
      <c r="F129" s="8" t="n">
        <v>0.2864419174164119</v>
      </c>
    </row>
    <row r="130">
      <c r="A130" s="33" t="n">
        <v>0.5249999999999999</v>
      </c>
      <c r="B130" s="33" t="n">
        <v>-18.84142039313654</v>
      </c>
      <c r="C130" s="29" t="n">
        <v>1.440720072305563e-19</v>
      </c>
      <c r="D130" s="8" t="n">
        <v>0.6382681987549635</v>
      </c>
      <c r="E130" s="8" t="n">
        <v>1.731426832580372e-09</v>
      </c>
      <c r="F130" s="8" t="n">
        <v>0.2706164066617405</v>
      </c>
    </row>
    <row r="131">
      <c r="A131" s="33" t="n">
        <v>0.5500000000000003</v>
      </c>
      <c r="B131" s="33" t="n">
        <v>-19.1620300511653</v>
      </c>
      <c r="C131" s="29" t="n">
        <v>6.886046464456993e-20</v>
      </c>
      <c r="D131" s="8" t="n">
        <v>0.6595101217408587</v>
      </c>
      <c r="E131" s="8" t="n">
        <v>1.162543588517282e-09</v>
      </c>
      <c r="F131" s="8" t="n">
        <v>0.2551171460822366</v>
      </c>
    </row>
    <row r="132">
      <c r="A132" s="33" t="n">
        <v>0.5750000000000002</v>
      </c>
      <c r="B132" s="33" t="n">
        <v>-19.48442973501279</v>
      </c>
      <c r="C132" s="29" t="n">
        <v>3.27770802918203e-20</v>
      </c>
      <c r="D132" s="8" t="n">
        <v>0.680056053680281</v>
      </c>
      <c r="E132" s="8" t="n">
        <v>7.789674922125551e-10</v>
      </c>
      <c r="F132" s="8" t="n">
        <v>0.2400104548282047</v>
      </c>
    </row>
    <row r="133">
      <c r="A133" s="33" t="n">
        <v>0.6000000000000001</v>
      </c>
      <c r="B133" s="33" t="n">
        <v>-19.80854354988456</v>
      </c>
      <c r="C133" s="29" t="n">
        <v>1.55401945006017e-20</v>
      </c>
      <c r="D133" s="8" t="n">
        <v>0.6998595467434552</v>
      </c>
      <c r="E133" s="8" t="n">
        <v>5.209215898865805e-10</v>
      </c>
      <c r="F133" s="8" t="n">
        <v>0.2253531361900566</v>
      </c>
    </row>
    <row r="134">
      <c r="A134" s="33" t="n">
        <v>0.625</v>
      </c>
      <c r="B134" s="33" t="n">
        <v>-20.13429433953225</v>
      </c>
      <c r="C134" s="29" t="n">
        <v>7.340162260473434e-21</v>
      </c>
      <c r="D134" s="8" t="n">
        <v>0.7188836130766246</v>
      </c>
      <c r="E134" s="8" t="n">
        <v>3.4770176340572e-10</v>
      </c>
      <c r="F134" s="8" t="n">
        <v>0.2111925361463806</v>
      </c>
    </row>
    <row r="135">
      <c r="A135" s="33" t="n">
        <v>0.6499999999999999</v>
      </c>
      <c r="B135" s="33" t="n">
        <v>-20.4616042794462</v>
      </c>
      <c r="C135" s="29" t="n">
        <v>3.454583708151478e-21</v>
      </c>
      <c r="D135" s="8" t="n">
        <v>0.7371004930474397</v>
      </c>
      <c r="E135" s="8" t="n">
        <v>2.316657620368394e-10</v>
      </c>
      <c r="F135" s="8" t="n">
        <v>0.1975667926675135</v>
      </c>
    </row>
    <row r="136">
      <c r="A136" s="33" t="n">
        <v>0.6750000000000003</v>
      </c>
      <c r="B136" s="33" t="n">
        <v>-20.79039544369465</v>
      </c>
      <c r="C136" s="29" t="n">
        <v>1.62033404203022e-21</v>
      </c>
      <c r="D136" s="8" t="n">
        <v>0.7544912494805756</v>
      </c>
      <c r="E136" s="8" t="n">
        <v>1.5409061999216e-10</v>
      </c>
      <c r="F136" s="8" t="n">
        <v>0.1845052470277011</v>
      </c>
    </row>
    <row r="137">
      <c r="A137" s="33" t="n">
        <v>0.7000000000000002</v>
      </c>
      <c r="B137" s="33" t="n">
        <v>-21.12059033526883</v>
      </c>
      <c r="C137" s="29" t="n">
        <v>7.575471431533733e-22</v>
      </c>
      <c r="D137" s="8" t="n">
        <v>0.7710452199121477</v>
      </c>
      <c r="E137" s="8" t="n">
        <v>1.023266337868622e-10</v>
      </c>
      <c r="F137" s="8" t="n">
        <v>0.1720289859886503</v>
      </c>
    </row>
    <row r="138">
      <c r="A138" s="33" t="n">
        <v>0.7250000000000001</v>
      </c>
      <c r="B138" s="33" t="n">
        <v>-21.45211237204078</v>
      </c>
      <c r="C138" s="29" t="n">
        <v>3.530917968155428e-22</v>
      </c>
      <c r="D138" s="8" t="n">
        <v>0.7867593600023526</v>
      </c>
      <c r="E138" s="8" t="n">
        <v>6.784808586164799e-11</v>
      </c>
      <c r="F138" s="8" t="n">
        <v>0.160151483144726</v>
      </c>
    </row>
    <row r="139">
      <c r="A139" s="33" t="n">
        <v>0.75</v>
      </c>
      <c r="B139" s="33" t="n">
        <v>-21.78488632269226</v>
      </c>
      <c r="C139" s="29" t="n">
        <v>1.641019256525895e-22</v>
      </c>
      <c r="D139" s="8" t="n">
        <v>0.8016375105970474</v>
      </c>
      <c r="E139" s="8" t="n">
        <v>4.492215222416844e-11</v>
      </c>
      <c r="F139" s="8" t="n">
        <v>0.1488793087089031</v>
      </c>
    </row>
    <row r="140">
      <c r="A140" s="33" t="n">
        <v>0.7749999999999999</v>
      </c>
      <c r="B140" s="33" t="n">
        <v>-22.11883868911962</v>
      </c>
      <c r="C140" s="29" t="n">
        <v>7.606087389260053e-23</v>
      </c>
      <c r="D140" s="8" t="n">
        <v>0.8156896188626137</v>
      </c>
      <c r="E140" s="8" t="n">
        <v>2.970258878088057e-11</v>
      </c>
      <c r="F140" s="8" t="n">
        <v>0.1382128792472695</v>
      </c>
    </row>
    <row r="141">
      <c r="A141" s="33" t="n">
        <v>0.8000000000000003</v>
      </c>
      <c r="B141" s="33" t="n">
        <v>-22.45389803377344</v>
      </c>
      <c r="C141" s="29" t="n">
        <v>3.516429916579367e-23</v>
      </c>
      <c r="D141" s="8" t="n">
        <v>0.8289309408097195</v>
      </c>
      <c r="E141" s="8" t="n">
        <v>1.961437892346239e-11</v>
      </c>
      <c r="F141" s="8" t="n">
        <v>0.1281472219916912</v>
      </c>
    </row>
    <row r="142">
      <c r="A142" s="33" t="n">
        <v>0.8250000000000002</v>
      </c>
      <c r="B142" s="33" t="n">
        <v>-22.78999525209809</v>
      </c>
      <c r="C142" s="29" t="n">
        <v>1.621827827810662e-23</v>
      </c>
      <c r="D142" s="8" t="n">
        <v>0.8413812487414114</v>
      </c>
      <c r="E142" s="8" t="n">
        <v>1.293706864547168e-11</v>
      </c>
      <c r="F142" s="8" t="n">
        <v>0.1186727320368946</v>
      </c>
    </row>
    <row r="143">
      <c r="A143" s="33" t="n">
        <v>0.8500000000000001</v>
      </c>
      <c r="B143" s="33" t="n">
        <v>-23.12706379166031</v>
      </c>
      <c r="C143" s="29" t="n">
        <v>7.463391237942878e-24</v>
      </c>
      <c r="D143" s="8" t="n">
        <v>0.8530640630471893</v>
      </c>
      <c r="E143" s="8" t="n">
        <v>8.523373962147591e-12</v>
      </c>
      <c r="F143" s="8" t="n">
        <v>0.1097759046549618</v>
      </c>
    </row>
    <row r="144">
      <c r="A144" s="33" t="n">
        <v>0.875</v>
      </c>
      <c r="B144" s="33" t="n">
        <v>-23.46503982068763</v>
      </c>
      <c r="C144" s="29" t="n">
        <v>3.427363594300767e-24</v>
      </c>
      <c r="D144" s="8" t="n">
        <v>0.8640059236034094</v>
      </c>
      <c r="E144" s="8" t="n">
        <v>5.609620217813583e-12</v>
      </c>
      <c r="F144" s="8" t="n">
        <v>0.1014400288818535</v>
      </c>
    </row>
    <row r="145">
      <c r="A145" s="33" t="n">
        <v>0.8999999999999999</v>
      </c>
      <c r="B145" s="33" t="n">
        <v>-23.80386234958471</v>
      </c>
      <c r="C145" s="29" t="n">
        <v>1.570860612528508e-24</v>
      </c>
      <c r="D145" s="8" t="n">
        <v>0.8742357120564118</v>
      </c>
      <c r="E145" s="8" t="n">
        <v>3.688349999262966e-12</v>
      </c>
      <c r="F145" s="8" t="n">
        <v>0.0936458322489169</v>
      </c>
    </row>
    <row r="146">
      <c r="A146" s="33" t="n">
        <v>0.9250000000000003</v>
      </c>
      <c r="B146" s="33" t="n">
        <v>-24.14347330957762</v>
      </c>
      <c r="C146" s="29" t="n">
        <v>7.186653240156243e-25</v>
      </c>
      <c r="D146" s="8" t="n">
        <v>0.8837840326203712</v>
      </c>
      <c r="E146" s="8" t="n">
        <v>2.422906062579384e-12</v>
      </c>
      <c r="F146" s="8" t="n">
        <v>0.08637206990707195</v>
      </c>
    </row>
    <row r="147">
      <c r="A147" s="33" t="n">
        <v>0.9500000000000002</v>
      </c>
      <c r="B147" s="33" t="n">
        <v>-24.48381759298345</v>
      </c>
      <c r="C147" s="29" t="n">
        <v>3.282331245981867e-25</v>
      </c>
      <c r="D147" s="8" t="n">
        <v>0.8926826558204156</v>
      </c>
      <c r="E147" s="8" t="n">
        <v>1.590282814068295e-12</v>
      </c>
      <c r="F147" s="8" t="n">
        <v>0.07959605433540323</v>
      </c>
    </row>
    <row r="148">
      <c r="A148" s="33" t="n">
        <v>0.9750000000000001</v>
      </c>
      <c r="B148" s="33" t="n">
        <v>-24.82484305974823</v>
      </c>
      <c r="C148" s="29" t="n">
        <v>1.496776445912511e-25</v>
      </c>
      <c r="D148" s="8" t="n">
        <v>0.9009640269058742</v>
      </c>
      <c r="E148" s="8" t="n">
        <v>1.042969390929713e-12</v>
      </c>
      <c r="F148" s="8" t="n">
        <v>0.07329412429797119</v>
      </c>
    </row>
    <row r="149">
      <c r="A149" s="33" t="n">
        <v>1</v>
      </c>
      <c r="B149" s="33" t="n">
        <v>-25.16650051487784</v>
      </c>
      <c r="C149" s="29" t="n">
        <v>6.815527667113127e-26</v>
      </c>
      <c r="D149" s="8" t="n">
        <v>0.908660838460143</v>
      </c>
      <c r="E149" s="8" t="n">
        <v>6.835224228010638e-13</v>
      </c>
      <c r="F149" s="8" t="n">
        <v>0.06744205370803685</v>
      </c>
    </row>
    <row r="150">
      <c r="A150" s="33" t="n">
        <v>1.025</v>
      </c>
      <c r="B150" s="33" t="n">
        <v>-25.50874366123794</v>
      </c>
      <c r="C150" s="29" t="n">
        <v>3.099248065251108e-26</v>
      </c>
      <c r="D150" s="8" t="n">
        <v>0.9158056650235209</v>
      </c>
      <c r="E150" s="8" t="n">
        <v>4.476526127186456e-13</v>
      </c>
      <c r="F150" s="8" t="n">
        <v>0.06201540259998678</v>
      </c>
    </row>
    <row r="151">
      <c r="A151" s="33" t="n">
        <v>1.05</v>
      </c>
      <c r="B151" s="33" t="n">
        <v>-25.85152903195456</v>
      </c>
      <c r="C151" s="29" t="n">
        <v>1.407573131000263e-26</v>
      </c>
      <c r="D151" s="8" t="n">
        <v>0.9224306562829746</v>
      </c>
      <c r="E151" s="8" t="n">
        <v>2.9299375852522e-13</v>
      </c>
      <c r="F151" s="8" t="n">
        <v>0.05698981353685873</v>
      </c>
    </row>
    <row r="152">
      <c r="A152" s="33" t="n">
        <v>1.075</v>
      </c>
      <c r="B152" s="33" t="n">
        <v>-26.19481590633515</v>
      </c>
      <c r="C152" s="29" t="n">
        <v>6.385340978984949e-27</v>
      </c>
      <c r="D152" s="8" t="n">
        <v>0.9285672845149219</v>
      </c>
      <c r="E152" s="8" t="n">
        <v>1.916570779215463e-13</v>
      </c>
      <c r="F152" s="8" t="n">
        <v>0.05234125754707355</v>
      </c>
    </row>
    <row r="153">
      <c r="A153" s="33" t="n">
        <v>1.1</v>
      </c>
      <c r="B153" s="33" t="n">
        <v>-26.53856621287644</v>
      </c>
      <c r="C153" s="29" t="n">
        <v>2.893568627697373e-27</v>
      </c>
      <c r="D153" s="8" t="n">
        <v>0.9342461414343688</v>
      </c>
      <c r="E153" s="8" t="n">
        <v>1.253024722637923e-13</v>
      </c>
      <c r="F153" s="8" t="n">
        <v>0.04804623414407438</v>
      </c>
    </row>
    <row r="154">
      <c r="A154" s="33" t="n">
        <v>1.125</v>
      </c>
      <c r="B154" s="33" t="n">
        <v>-26.88274442255022</v>
      </c>
      <c r="C154" s="29" t="n">
        <v>1.309952588674064e-27</v>
      </c>
      <c r="D154" s="8" t="n">
        <v>0.9394967793459534</v>
      </c>
      <c r="E154" s="8" t="n">
        <v>8.188049617835761e-14</v>
      </c>
      <c r="F154" s="8" t="n">
        <v>0.04408193019342936</v>
      </c>
    </row>
    <row r="155">
      <c r="A155" s="33" t="n">
        <v>1.15</v>
      </c>
      <c r="B155" s="33" t="n">
        <v>-27.22731743517997</v>
      </c>
      <c r="C155" s="29" t="n">
        <v>5.924921010499195e-28</v>
      </c>
      <c r="D155" s="8" t="n">
        <v>0.94434759145222</v>
      </c>
      <c r="E155" s="8" t="n">
        <v>5.348153825658602e-14</v>
      </c>
      <c r="F155" s="8" t="n">
        <v>0.04042634240678209</v>
      </c>
    </row>
    <row r="156">
      <c r="A156" s="33" t="n">
        <v>1.175</v>
      </c>
      <c r="B156" s="33" t="n">
        <v>-27.57225446134954</v>
      </c>
      <c r="C156" s="29" t="n">
        <v>2.677599009224668e-28</v>
      </c>
      <c r="D156" s="8" t="n">
        <v>0.948825726299661</v>
      </c>
      <c r="E156" s="8" t="n">
        <v>3.491767414075097e-14</v>
      </c>
      <c r="F156" s="8" t="n">
        <v>0.03705836810887929</v>
      </c>
    </row>
    <row r="157">
      <c r="A157" s="33" t="n">
        <v>1.2</v>
      </c>
      <c r="B157" s="33" t="n">
        <v>-27.91752690193238</v>
      </c>
      <c r="C157" s="29" t="n">
        <v>1.209130282271149e-28</v>
      </c>
      <c r="D157" s="8" t="n">
        <v>0.9529570315880402</v>
      </c>
      <c r="E157" s="8" t="n">
        <v>2.278867202842735e-14</v>
      </c>
      <c r="F157" s="8" t="n">
        <v>0.03395786868451701</v>
      </c>
    </row>
    <row r="158">
      <c r="A158" s="33" t="n">
        <v>1.225</v>
      </c>
      <c r="B158" s="33" t="n">
        <v>-28.2631082270005</v>
      </c>
      <c r="C158" s="29" t="n">
        <v>5.456218741521564e-29</v>
      </c>
      <c r="D158" s="8" t="n">
        <v>0.9567660228947372</v>
      </c>
      <c r="E158" s="8" t="n">
        <v>1.486751160967966e-14</v>
      </c>
      <c r="F158" s="8" t="n">
        <v>0.03110570980173361</v>
      </c>
    </row>
    <row r="159">
      <c r="A159" s="33" t="n">
        <v>1.25</v>
      </c>
      <c r="B159" s="33" t="n">
        <v>-28.60897385557056</v>
      </c>
      <c r="C159" s="29" t="n">
        <v>2.460515722178411e-29</v>
      </c>
      <c r="D159" s="8" t="n">
        <v>0.9602758732416311</v>
      </c>
      <c r="E159" s="8" t="n">
        <v>9.696508951394802e-15</v>
      </c>
      <c r="F159" s="8" t="n">
        <v>0.02848378215456095</v>
      </c>
    </row>
    <row r="160">
      <c r="A160" s="33" t="n">
        <v>1.275</v>
      </c>
      <c r="B160" s="33" t="n">
        <v>-28.95510103737334</v>
      </c>
      <c r="C160" s="29" t="n">
        <v>1.108916798917687e-29</v>
      </c>
      <c r="D160" s="8" t="n">
        <v>0.963508419832348</v>
      </c>
      <c r="E160" s="8" t="n">
        <v>6.322105553414207e-15</v>
      </c>
      <c r="F160" s="8" t="n">
        <v>0.02607500609570663</v>
      </c>
    </row>
    <row r="161">
      <c r="A161" s="33" t="n">
        <v>1.3</v>
      </c>
      <c r="B161" s="33" t="n">
        <v>-29.30146873759141</v>
      </c>
      <c r="C161" s="29" t="n">
        <v>4.994951347497397e-30</v>
      </c>
      <c r="D161" s="8" t="n">
        <v>0.9664841846931945</v>
      </c>
      <c r="E161" s="8" t="n">
        <v>4.120859647284894e-15</v>
      </c>
      <c r="F161" s="8" t="n">
        <v>0.02386332315393464</v>
      </c>
    </row>
    <row r="162">
      <c r="A162" s="33" t="n">
        <v>1.325</v>
      </c>
      <c r="B162" s="33" t="n">
        <v>-29.64805752529835</v>
      </c>
      <c r="C162" s="29" t="n">
        <v>2.248756722776014e-30</v>
      </c>
      <c r="D162" s="8" t="n">
        <v>0.9692224063475157</v>
      </c>
      <c r="E162" s="8" t="n">
        <v>2.685365221088418e-15</v>
      </c>
      <c r="F162" s="8" t="n">
        <v>0.02183367706529108</v>
      </c>
    </row>
    <row r="163">
      <c r="A163" s="33" t="n">
        <v>1.35</v>
      </c>
      <c r="B163" s="33" t="n">
        <v>-29.99484946615007</v>
      </c>
      <c r="C163" s="29" t="n">
        <v>1.011930145668714e-30</v>
      </c>
      <c r="D163" s="8" t="n">
        <v>0.971741080030603</v>
      </c>
      <c r="E163" s="8" t="n">
        <v>1.749513589377034e-15</v>
      </c>
      <c r="F163" s="8" t="n">
        <v>0.01997198660051618</v>
      </c>
    </row>
    <row r="164">
      <c r="A164" s="33" t="n">
        <v>1.375</v>
      </c>
      <c r="B164" s="33" t="n">
        <v>-30.34182801972175</v>
      </c>
      <c r="C164" s="29" t="n">
        <v>4.551682707485267e-31</v>
      </c>
      <c r="D164" s="8" t="n">
        <v>0.9740570043038657</v>
      </c>
      <c r="E164" s="8" t="n">
        <v>1.139562040338121e-15</v>
      </c>
      <c r="F164" s="8" t="n">
        <v>0.01826511214873929</v>
      </c>
    </row>
    <row r="165">
      <c r="A165" s="33" t="n">
        <v>1.4</v>
      </c>
      <c r="B165" s="33" t="n">
        <v>-30.68897794175204</v>
      </c>
      <c r="C165" s="29" t="n">
        <v>2.046548580319412e-31</v>
      </c>
      <c r="D165" s="8" t="n">
        <v>0.9761858322490036</v>
      </c>
      <c r="E165" s="8" t="n">
        <v>7.421179629737328e-16</v>
      </c>
      <c r="F165" s="8" t="n">
        <v>0.01670081772315803</v>
      </c>
    </row>
    <row r="166">
      <c r="A166" s="33" t="n">
        <v>1.425</v>
      </c>
      <c r="B166" s="33" t="n">
        <v>-31.03628519144527</v>
      </c>
      <c r="C166" s="29" t="n">
        <v>9.198453315817913e-32</v>
      </c>
      <c r="D166" s="8" t="n">
        <v>0.9781421257134619</v>
      </c>
      <c r="E166" s="8" t="n">
        <v>4.832025857754545e-16</v>
      </c>
      <c r="F166" s="8" t="n">
        <v>0.01526772978929962</v>
      </c>
    </row>
    <row r="167">
      <c r="A167" s="33" t="n">
        <v>1.45</v>
      </c>
      <c r="B167" s="33" t="n">
        <v>-31.38373684389129</v>
      </c>
      <c r="C167" s="29" t="n">
        <v>4.132978595611233e-32</v>
      </c>
      <c r="D167" s="8" t="n">
        <v>0.9799394113372996</v>
      </c>
      <c r="E167" s="8" t="n">
        <v>3.145671402386398e-16</v>
      </c>
      <c r="F167" s="8" t="n">
        <v>0.01395529408070122</v>
      </c>
    </row>
    <row r="168">
      <c r="A168" s="33" t="n">
        <v>1.475</v>
      </c>
      <c r="B168" s="33" t="n">
        <v>-31.7313210075891</v>
      </c>
      <c r="C168" s="29" t="n">
        <v>1.85643177133472e-32</v>
      </c>
      <c r="D168" s="8" t="n">
        <v>0.9815902373195927</v>
      </c>
      <c r="E168" s="8" t="n">
        <v>2.047534381400565e-16</v>
      </c>
      <c r="F168" s="8" t="n">
        <v>0.01275373135949831</v>
      </c>
    </row>
    <row r="169">
      <c r="A169" s="33" t="n">
        <v>1.5</v>
      </c>
      <c r="B169" s="33" t="n">
        <v>-32.0790267470005</v>
      </c>
      <c r="C169" s="29" t="n">
        <v>8.336298420736038e-33</v>
      </c>
      <c r="D169" s="8" t="n">
        <v>0.9831062300812398</v>
      </c>
      <c r="E169" s="8" t="n">
        <v>1.332564575686006e-16</v>
      </c>
      <c r="F169" s="8" t="n">
        <v>0.01165399289888729</v>
      </c>
    </row>
    <row r="170">
      <c r="A170" s="33" t="n">
        <v>1.525</v>
      </c>
      <c r="B170" s="33" t="n">
        <v>-32.42684401001452</v>
      </c>
      <c r="C170" s="29" t="n">
        <v>3.742449855286413e-33</v>
      </c>
      <c r="D170" s="8" t="n">
        <v>0.9844981501526303</v>
      </c>
      <c r="E170" s="8" t="n">
        <v>8.671406850119902e-17</v>
      </c>
      <c r="F170" s="8" t="n">
        <v>0.01064771630872511</v>
      </c>
    </row>
    <row r="171">
      <c r="A171" s="33" t="n">
        <v>1.55</v>
      </c>
      <c r="B171" s="33" t="n">
        <v>-32.77476356016732</v>
      </c>
      <c r="C171" s="29" t="n">
        <v>1.679718246204781e-33</v>
      </c>
      <c r="D171" s="8" t="n">
        <v>0.9857759467614616</v>
      </c>
      <c r="E171" s="8" t="n">
        <v>5.642086222976298e-17</v>
      </c>
      <c r="F171" s="8" t="n">
        <v>0.009727182192425901</v>
      </c>
    </row>
    <row r="172">
      <c r="A172" s="33" t="n">
        <v>1.575</v>
      </c>
      <c r="B172" s="33" t="n">
        <v>-33.12277691343655</v>
      </c>
      <c r="C172" s="29" t="n">
        <v>7.537426436604509e-34</v>
      </c>
      <c r="D172" s="8" t="n">
        <v>0.9869488107204903</v>
      </c>
      <c r="E172" s="8" t="n">
        <v>3.670649972848562e-17</v>
      </c>
      <c r="F172" s="8" t="n">
        <v>0.008885272010508448</v>
      </c>
    </row>
    <row r="173">
      <c r="A173" s="33" t="n">
        <v>1.6</v>
      </c>
      <c r="B173" s="33" t="n">
        <v>-33.47087627941047</v>
      </c>
      <c r="C173" s="29" t="n">
        <v>3.381611568840473e-34</v>
      </c>
      <c r="D173" s="8" t="n">
        <v>0.9880252253196414</v>
      </c>
      <c r="E173" s="8" t="n">
        <v>2.387828990186094e-17</v>
      </c>
      <c r="F173" s="8" t="n">
        <v>0.008115427431359862</v>
      </c>
    </row>
    <row r="174">
      <c r="A174" s="33" t="n">
        <v>1.625</v>
      </c>
      <c r="B174" s="33" t="n">
        <v>-33.81905450662005</v>
      </c>
      <c r="C174" s="29" t="n">
        <v>1.516859980285137e-34</v>
      </c>
      <c r="D174" s="8" t="n">
        <v>0.9890130150141004</v>
      </c>
      <c r="E174" s="8" t="n">
        <v>1.553188039940812e-17</v>
      </c>
      <c r="F174" s="8" t="n">
        <v>0.007411611370831013</v>
      </c>
    </row>
    <row r="175">
      <c r="A175" s="33" t="n">
        <v>1.65</v>
      </c>
      <c r="B175" s="33" t="n">
        <v>-34.1673050318156</v>
      </c>
      <c r="C175" s="29" t="n">
        <v>6.802913802383681e-35</v>
      </c>
      <c r="D175" s="8" t="n">
        <v>0.9899193917719077</v>
      </c>
      <c r="E175" s="8" t="n">
        <v>1.010203120665423e-17</v>
      </c>
      <c r="F175" s="8" t="n">
        <v>0.006768270857114182</v>
      </c>
    </row>
    <row r="176">
      <c r="A176" s="33" t="n">
        <v>1.675</v>
      </c>
      <c r="B176" s="33" t="n">
        <v>-34.51562183296695</v>
      </c>
      <c r="C176" s="29" t="n">
        <v>3.050550135905115e-35</v>
      </c>
      <c r="D176" s="8" t="n">
        <v>0.9907509990033554</v>
      </c>
      <c r="E176" s="8" t="n">
        <v>6.569922338551558e-18</v>
      </c>
      <c r="F176" s="8" t="n">
        <v>0.006180301804099325</v>
      </c>
    </row>
    <row r="177">
      <c r="A177" s="33" t="n">
        <v>1.7</v>
      </c>
      <c r="B177" s="33" t="n">
        <v>-34.86399938576629</v>
      </c>
      <c r="C177" s="29" t="n">
        <v>1.367730760010798e-35</v>
      </c>
      <c r="D177" s="8" t="n">
        <v>0.9915139530418973</v>
      </c>
      <c r="E177" s="8" t="n">
        <v>4.272493298574669e-18</v>
      </c>
      <c r="F177" s="8" t="n">
        <v>0.005643015733355243</v>
      </c>
    </row>
    <row r="178">
      <c r="A178" s="33" t="n">
        <v>1.725</v>
      </c>
      <c r="B178" s="33" t="n">
        <v>-35.21243262341742</v>
      </c>
      <c r="C178" s="29" t="n">
        <v>6.131509091963764e-36</v>
      </c>
      <c r="D178" s="8" t="n">
        <v>0.9922138821840755</v>
      </c>
      <c r="E178" s="8" t="n">
        <v>2.778271616423876e-18</v>
      </c>
      <c r="F178" s="8" t="n">
        <v>0.00515210845051121</v>
      </c>
    </row>
    <row r="179">
      <c r="A179" s="33" t="n">
        <v>1.75</v>
      </c>
      <c r="B179" s="33" t="n">
        <v>-35.56091689949941</v>
      </c>
      <c r="C179" s="29" t="n">
        <v>2.74842000189316e-36</v>
      </c>
      <c r="D179" s="8" t="n">
        <v>0.99285596332563</v>
      </c>
      <c r="E179" s="8" t="n">
        <v>1.806518838301249e-18</v>
      </c>
      <c r="F179" s="8" t="n">
        <v>0.004703630654780532</v>
      </c>
    </row>
    <row r="180">
      <c r="A180" s="33" t="n">
        <v>1.775</v>
      </c>
      <c r="B180" s="33" t="n">
        <v>-35.90944795370053</v>
      </c>
      <c r="C180" s="29" t="n">
        <v>1.231833601102604e-36</v>
      </c>
      <c r="D180" s="8" t="n">
        <v>0.9934449562537407</v>
      </c>
      <c r="E180" s="8" t="n">
        <v>1.174591620650756e-18</v>
      </c>
      <c r="F180" s="8" t="n">
        <v>0.00429396043948038</v>
      </c>
    </row>
    <row r="181">
      <c r="A181" s="33" t="n">
        <v>1.8</v>
      </c>
      <c r="B181" s="33" t="n">
        <v>-36.2580218802262</v>
      </c>
      <c r="C181" s="29" t="n">
        <v>5.520496257222881e-37</v>
      </c>
      <c r="D181" s="8" t="n">
        <v>0.9939852356724743</v>
      </c>
      <c r="E181" s="8" t="n">
        <v>7.636772722179166e-19</v>
      </c>
      <c r="F181" s="8" t="n">
        <v>0.003919777625641775</v>
      </c>
    </row>
    <row r="182">
      <c r="A182" s="33" t="n">
        <v>1.825</v>
      </c>
      <c r="B182" s="33" t="n">
        <v>-36.60663509869315</v>
      </c>
      <c r="C182" s="29" t="n">
        <v>2.473801800673399e-37</v>
      </c>
      <c r="D182" s="8" t="n">
        <v>0.9944808210508648</v>
      </c>
      <c r="E182" s="8" t="n">
        <v>4.964930656522429e-19</v>
      </c>
      <c r="F182" s="8" t="n">
        <v>0.003578039859276732</v>
      </c>
    </row>
    <row r="183">
      <c r="A183" s="33" t="n">
        <v>1.85</v>
      </c>
      <c r="B183" s="33" t="n">
        <v>-36.95528432733236</v>
      </c>
      <c r="C183" s="29" t="n">
        <v>1.108448889610651e-37</v>
      </c>
      <c r="D183" s="8" t="n">
        <v>0.9949354043916042</v>
      </c>
      <c r="E183" s="8" t="n">
        <v>3.22773969765327e-19</v>
      </c>
      <c r="F183" s="8" t="n">
        <v>0.003265960394818508</v>
      </c>
    </row>
    <row r="184">
      <c r="A184" s="33" t="n">
        <v>1.875</v>
      </c>
      <c r="B184" s="33" t="n">
        <v>-37.30396655833173</v>
      </c>
      <c r="C184" s="29" t="n">
        <v>4.966305616669893e-38</v>
      </c>
      <c r="D184" s="8" t="n">
        <v>0.9953523760236436</v>
      </c>
      <c r="E184" s="8" t="n">
        <v>2.098298735014391e-19</v>
      </c>
      <c r="F184" s="8" t="n">
        <v>0.002980987482026872</v>
      </c>
    </row>
    <row r="185">
      <c r="A185" s="33" t="n">
        <v>1.9</v>
      </c>
      <c r="B185" s="33" t="n">
        <v>-37.65267903516032</v>
      </c>
      <c r="C185" s="29" t="n">
        <v>2.224953632608881e-38</v>
      </c>
      <c r="D185" s="8" t="n">
        <v>0.9957348485248578</v>
      </c>
      <c r="E185" s="8" t="n">
        <v>1.364020857015549e-19</v>
      </c>
      <c r="F185" s="8" t="n">
        <v>0.002720785270703072</v>
      </c>
    </row>
    <row r="186">
      <c r="A186" s="33" t="n">
        <v>1.925</v>
      </c>
      <c r="B186" s="33" t="n">
        <v>-38.00141923172466</v>
      </c>
      <c r="C186" s="29" t="n">
        <v>9.967374319667455e-39</v>
      </c>
      <c r="D186" s="8" t="n">
        <v>0.9960856788817158</v>
      </c>
      <c r="E186" s="8" t="n">
        <v>8.866676090839799e-20</v>
      </c>
      <c r="F186" s="8" t="n">
        <v>0.002483216146428274</v>
      </c>
    </row>
    <row r="187">
      <c r="A187" s="33" t="n">
        <v>1.95</v>
      </c>
      <c r="B187" s="33" t="n">
        <v>-38.35018483321763</v>
      </c>
      <c r="C187" s="29" t="n">
        <v>4.464935266479853e-39</v>
      </c>
      <c r="D187" s="8" t="n">
        <v>0.9964074889921212</v>
      </c>
      <c r="E187" s="8" t="n">
        <v>5.763522241746019e-20</v>
      </c>
      <c r="F187" s="8" t="n">
        <v>0.00226632441083602</v>
      </c>
    </row>
    <row r="188">
      <c r="A188" s="33" t="n">
        <v>1.975</v>
      </c>
      <c r="B188" s="33" t="n">
        <v>-38.69897371852937</v>
      </c>
      <c r="C188" s="29" t="n">
        <v>1.999982895580652e-39</v>
      </c>
      <c r="D188" s="8" t="n">
        <v>0.9967026846155639</v>
      </c>
      <c r="E188" s="8" t="n">
        <v>3.746307842959421e-20</v>
      </c>
      <c r="F188" s="8" t="n">
        <v>0.002068321221332091</v>
      </c>
    </row>
    <row r="189">
      <c r="A189" s="33" t="n">
        <v>2</v>
      </c>
      <c r="B189" s="33" t="n">
        <v>-39.04778394409857</v>
      </c>
      <c r="C189" s="29" t="n">
        <v>8.958103087851684e-40</v>
      </c>
      <c r="D189" s="8" t="n">
        <v>0.9969734728717912</v>
      </c>
      <c r="E189" s="8" t="n">
        <v>2.435052221529048e-20</v>
      </c>
      <c r="F189" s="8" t="n">
        <v>0.001887570707418153</v>
      </c>
    </row>
    <row r="190">
      <c r="A190" s="33" t="n">
        <v>2.025</v>
      </c>
      <c r="B190" s="33" t="n">
        <v>-39.39661372909075</v>
      </c>
      <c r="C190" s="29" t="n">
        <v>4.012234157637249e-40</v>
      </c>
      <c r="D190" s="8" t="n">
        <v>0.9972218783855783</v>
      </c>
      <c r="E190" s="8" t="n">
        <v>1.582717183944461e-20</v>
      </c>
      <c r="F190" s="8" t="n">
        <v>0.001722577183637918</v>
      </c>
    </row>
    <row r="191">
      <c r="A191" s="33" t="n">
        <v>2.05</v>
      </c>
      <c r="B191" s="33" t="n">
        <v>-39.74546144179872</v>
      </c>
      <c r="C191" s="29" t="n">
        <v>1.796960613615015e-40</v>
      </c>
      <c r="D191" s="8" t="n">
        <v>0.9974497581710654</v>
      </c>
      <c r="E191" s="8" t="n">
        <v>1.02870154469618e-20</v>
      </c>
      <c r="F191" s="8" t="n">
        <v>0.001571973382469008</v>
      </c>
    </row>
    <row r="192">
      <c r="A192" s="33" t="n">
        <v>2.075</v>
      </c>
      <c r="B192" s="33" t="n">
        <v>-40.09432558716721</v>
      </c>
      <c r="C192" s="29" t="n">
        <v>8.047748815679713e-41</v>
      </c>
      <c r="D192" s="8" t="n">
        <v>0.9976588153447077</v>
      </c>
      <c r="E192" s="8" t="n">
        <v>6.686013512726442e-21</v>
      </c>
      <c r="F192" s="8" t="n">
        <v>0.0014345096340839</v>
      </c>
    </row>
    <row r="193">
      <c r="A193" s="33" t="n">
        <v>2.1</v>
      </c>
      <c r="B193" s="33" t="n">
        <v>-40.44320479535166</v>
      </c>
      <c r="C193" s="29" t="n">
        <v>3.604086491011006e-41</v>
      </c>
      <c r="D193" s="8" t="n">
        <v>0.9978506117512649</v>
      </c>
      <c r="E193" s="8" t="n">
        <v>4.345478210572239e-21</v>
      </c>
      <c r="F193" s="8" t="n">
        <v>0.001309043923683016</v>
      </c>
    </row>
    <row r="194">
      <c r="A194" s="33" t="n">
        <v>2.125</v>
      </c>
      <c r="B194" s="33" t="n">
        <v>-40.79209781122752</v>
      </c>
      <c r="C194" s="29" t="n">
        <v>1.613995014072117e-41</v>
      </c>
      <c r="D194" s="8" t="n">
        <v>0.9980265795825612</v>
      </c>
      <c r="E194" s="8" t="n">
        <v>2.824236095976698e-21</v>
      </c>
      <c r="F194" s="8" t="n">
        <v>0.001194532760969696</v>
      </c>
    </row>
    <row r="195">
      <c r="A195" s="33" t="n">
        <v>2.15</v>
      </c>
      <c r="B195" s="33" t="n">
        <v>-41.14100348477277</v>
      </c>
      <c r="C195" s="29" t="n">
        <v>7.227640041307816e-42</v>
      </c>
      <c r="D195" s="8" t="n">
        <v>0.9981880320640407</v>
      </c>
      <c r="E195" s="8" t="n">
        <v>1.835515656493099e-21</v>
      </c>
      <c r="F195" s="8" t="n">
        <v>0.001090022800216666</v>
      </c>
    </row>
    <row r="196">
      <c r="A196" s="33" t="n">
        <v>2.175</v>
      </c>
      <c r="B196" s="33" t="n">
        <v>-41.48992076225253</v>
      </c>
      <c r="C196" s="29" t="n">
        <v>3.236527025145667e-42</v>
      </c>
      <c r="D196" s="8" t="n">
        <v>0.9983361732795113</v>
      </c>
      <c r="E196" s="8" t="n">
        <v>1.192914686036565e-21</v>
      </c>
      <c r="F196" s="8" t="n">
        <v>0.0009946431532108343</v>
      </c>
    </row>
    <row r="197">
      <c r="A197" s="33" t="n">
        <v>2.200000000000001</v>
      </c>
      <c r="B197" s="33" t="n">
        <v>-41.83884867813983</v>
      </c>
      <c r="C197" s="29" t="n">
        <v>1.449276739190027e-42</v>
      </c>
      <c r="D197" s="8" t="n">
        <v>0.9984721071999375</v>
      </c>
      <c r="E197" s="8" t="n">
        <v>7.752742472605372e-22</v>
      </c>
      <c r="F197" s="8" t="n">
        <v>0.000907598341113988</v>
      </c>
    </row>
    <row r="198">
      <c r="A198" s="33" t="n">
        <v>2.225</v>
      </c>
      <c r="B198" s="33" t="n">
        <v>-42.18778634771223</v>
      </c>
      <c r="C198" s="29" t="n">
        <v>6.489536094299474e-43</v>
      </c>
      <c r="D198" s="8" t="n">
        <v>0.9985968459777648</v>
      </c>
      <c r="E198" s="8" t="n">
        <v>5.03844420845112e-22</v>
      </c>
      <c r="F198" s="8" t="n">
        <v>0.0008281618349093902</v>
      </c>
    </row>
    <row r="199">
      <c r="A199" s="33" t="n">
        <v>2.25</v>
      </c>
      <c r="B199" s="33" t="n">
        <v>-42.53673296026832</v>
      </c>
      <c r="C199" s="29" t="n">
        <v>2.905808833954981e-43</v>
      </c>
      <c r="D199" s="8" t="n">
        <v>0.9987113175640415</v>
      </c>
      <c r="E199" s="8" t="n">
        <v>3.274410153507715e-22</v>
      </c>
      <c r="F199" s="8" t="n">
        <v>0.0007556701375953744</v>
      </c>
    </row>
    <row r="200">
      <c r="A200" s="33" t="n">
        <v>2.275</v>
      </c>
      <c r="B200" s="33" t="n">
        <v>-42.88568777291277</v>
      </c>
      <c r="C200" s="29" t="n">
        <v>1.301104644298655e-43</v>
      </c>
      <c r="D200" s="8" t="n">
        <v>0.9988163727016024</v>
      </c>
      <c r="E200" s="8" t="n">
        <v>2.12797049830275e-22</v>
      </c>
      <c r="F200" s="8" t="n">
        <v>0.0006895173646206521</v>
      </c>
    </row>
    <row r="201">
      <c r="A201" s="33" t="n">
        <v>2.3</v>
      </c>
      <c r="B201" s="33" t="n">
        <v>-43.23465010486303</v>
      </c>
      <c r="C201" s="29" t="n">
        <v>5.8257238595609e-44</v>
      </c>
      <c r="D201" s="8" t="n">
        <v>0.9989127913437403</v>
      </c>
      <c r="E201" s="8" t="n">
        <v>1.382911434046045e-22</v>
      </c>
      <c r="F201" s="8" t="n">
        <v>0.0006291502822222966</v>
      </c>
    </row>
    <row r="202">
      <c r="A202" s="33" t="n">
        <v>2.325000000000001</v>
      </c>
      <c r="B202" s="33" t="n">
        <v>-43.58361933223375</v>
      </c>
      <c r="C202" s="29" t="n">
        <v>2.60843889694014e-44</v>
      </c>
      <c r="D202" s="8" t="n">
        <v>0.9990012885441997</v>
      </c>
      <c r="E202" s="8" t="n">
        <v>8.987102282594535e-23</v>
      </c>
      <c r="F202" s="8" t="n">
        <v>0.0005740637663210988</v>
      </c>
    </row>
    <row r="203">
      <c r="A203" s="33" t="n">
        <v>2.35</v>
      </c>
      <c r="B203" s="33" t="n">
        <v>-43.93259488325969</v>
      </c>
      <c r="C203" s="29" t="n">
        <v>1.167898543273836e-44</v>
      </c>
      <c r="D203" s="8" t="n">
        <v>0.9990825198609092</v>
      </c>
      <c r="E203" s="8" t="n">
        <v>5.8403898781931e-23</v>
      </c>
      <c r="F203" s="8" t="n">
        <v>0.0005237966474479641</v>
      </c>
    </row>
    <row r="204">
      <c r="A204" s="33" t="n">
        <v>2.375</v>
      </c>
      <c r="B204" s="33" t="n">
        <v>-44.28157623392014</v>
      </c>
      <c r="C204" s="29" t="n">
        <v>5.229061697450715e-45</v>
      </c>
      <c r="D204" s="8" t="n">
        <v>0.999157086312692</v>
      </c>
      <c r="E204" s="8" t="n">
        <v>3.795430952202655e-23</v>
      </c>
      <c r="F204" s="8" t="n">
        <v>0.0004779279098208485</v>
      </c>
    </row>
    <row r="205">
      <c r="A205" s="33" t="n">
        <v>2.4</v>
      </c>
      <c r="B205" s="33" t="n">
        <v>-44.63056290393121</v>
      </c>
      <c r="C205" s="29" t="n">
        <v>2.341192348437308e-45</v>
      </c>
      <c r="D205" s="8" t="n">
        <v>0.9992255389251868</v>
      </c>
      <c r="E205" s="8" t="n">
        <v>2.466480525060056e-23</v>
      </c>
      <c r="F205" s="8" t="n">
        <v>0.000436073215167548</v>
      </c>
    </row>
    <row r="206">
      <c r="A206" s="33" t="n">
        <v>2.425</v>
      </c>
      <c r="B206" s="33" t="n">
        <v>-44.97955445307539</v>
      </c>
      <c r="C206" s="29" t="n">
        <v>1.048203358627692e-45</v>
      </c>
      <c r="D206" s="8" t="n">
        <v>0.9992883828994226</v>
      </c>
      <c r="E206" s="8" t="n">
        <v>1.60284618114735e-23</v>
      </c>
      <c r="F206" s="8" t="n">
        <v>0.0003978817242</v>
      </c>
    </row>
    <row r="207">
      <c r="A207" s="33" t="n">
        <v>2.450000000000001</v>
      </c>
      <c r="B207" s="33" t="n">
        <v>-45.32855047783998</v>
      </c>
      <c r="C207" s="29" t="n">
        <v>4.692988847621376e-46</v>
      </c>
      <c r="D207" s="8" t="n">
        <v>0.9993460814338909</v>
      </c>
      <c r="E207" s="8" t="n">
        <v>1.04160670086072e-23</v>
      </c>
      <c r="F207" s="8" t="n">
        <v>0.0003630331907973954</v>
      </c>
    </row>
    <row r="208">
      <c r="A208" s="33" t="n">
        <v>2.475</v>
      </c>
      <c r="B208" s="33" t="n">
        <v>-45.67755060833836</v>
      </c>
      <c r="C208" s="29" t="n">
        <v>2.101112912081276e-46</v>
      </c>
      <c r="D208" s="8" t="n">
        <v>0.999399059228527</v>
      </c>
      <c r="E208" s="8" t="n">
        <v>6.7688303695393e-24</v>
      </c>
      <c r="F208" s="8" t="n">
        <v>0.0003312353059545727</v>
      </c>
    </row>
    <row r="209">
      <c r="A209" s="33" t="n">
        <v>2.5</v>
      </c>
      <c r="B209" s="33" t="n">
        <v>-46.02655450549061</v>
      </c>
      <c r="C209" s="29" t="n">
        <v>9.406877629927872e-47</v>
      </c>
      <c r="D209" s="8" t="n">
        <v>0.999447705696766</v>
      </c>
      <c r="E209" s="8" t="n">
        <v>4.398672344131996e-24</v>
      </c>
      <c r="F209" s="8" t="n">
        <v>0.0003022212704066671</v>
      </c>
    </row>
    <row r="210">
      <c r="A210" s="33" t="n">
        <v>2.525</v>
      </c>
      <c r="B210" s="33" t="n">
        <v>-46.37556185844122</v>
      </c>
      <c r="C210" s="29" t="n">
        <v>4.211512960813781e-47</v>
      </c>
      <c r="D210" s="8" t="n">
        <v>0.9994923779097528</v>
      </c>
      <c r="E210" s="8" t="n">
        <v>2.858432011882114e-24</v>
      </c>
      <c r="F210" s="8" t="n">
        <v>0.0002757475765585355</v>
      </c>
    </row>
    <row r="211">
      <c r="A211" s="33" t="n">
        <v>2.55</v>
      </c>
      <c r="B211" s="33" t="n">
        <v>-46.72457238219431</v>
      </c>
      <c r="C211" s="29" t="n">
        <v>1.885504693471572e-47</v>
      </c>
      <c r="D211" s="8" t="n">
        <v>0.9995334032948547</v>
      </c>
      <c r="E211" s="8" t="n">
        <v>1.857515882135457e-24</v>
      </c>
      <c r="F211" s="8" t="n">
        <v>0.0002515919819356634</v>
      </c>
    </row>
    <row r="212">
      <c r="A212" s="33" t="n">
        <v>2.575000000000001</v>
      </c>
      <c r="B212" s="33" t="n">
        <v>-47.07358581544786</v>
      </c>
      <c r="C212" s="29" t="n">
        <v>8.44139425697055e-48</v>
      </c>
      <c r="D212" s="8" t="n">
        <v>0.9995710821088285</v>
      </c>
      <c r="E212" s="8" t="n">
        <v>1.207079154033151e-24</v>
      </c>
      <c r="F212" s="8" t="n">
        <v>0.0002295516578403594</v>
      </c>
    </row>
    <row r="213">
      <c r="A213" s="33" t="n">
        <v>2.6</v>
      </c>
      <c r="B213" s="33" t="n">
        <v>-47.42260191861023</v>
      </c>
      <c r="C213" s="29" t="n">
        <v>3.77918438403983e-48</v>
      </c>
      <c r="D213" s="8" t="n">
        <v>0.9996056897043538</v>
      </c>
      <c r="E213" s="8" t="n">
        <v>7.844000793771048e-25</v>
      </c>
      <c r="F213" s="8" t="n">
        <v>0.0002094414982503112</v>
      </c>
    </row>
    <row r="214">
      <c r="A214" s="33" t="n">
        <v>2.625</v>
      </c>
      <c r="B214" s="33" t="n">
        <v>-47.77162047198358</v>
      </c>
      <c r="C214" s="29" t="n">
        <v>1.691918846133408e-48</v>
      </c>
      <c r="D214" s="8" t="n">
        <v>0.9996374786071168</v>
      </c>
      <c r="E214" s="8" t="n">
        <v>5.097277563068938e-25</v>
      </c>
      <c r="F214" s="8" t="n">
        <v>0.0001910925752438867</v>
      </c>
    </row>
    <row r="215">
      <c r="A215" s="33" t="n">
        <v>2.65</v>
      </c>
      <c r="B215" s="33" t="n">
        <v>-48.12064127410002</v>
      </c>
      <c r="C215" s="29" t="n">
        <v>7.574582949070867e-49</v>
      </c>
      <c r="D215" s="8" t="n">
        <v>0.9996666804192195</v>
      </c>
      <c r="E215" s="8" t="n">
        <v>3.312362144159705e-25</v>
      </c>
      <c r="F215" s="8" t="n">
        <v>0.0001743507283850229</v>
      </c>
    </row>
    <row r="216">
      <c r="A216" s="33" t="n">
        <v>2.675</v>
      </c>
      <c r="B216" s="33" t="n">
        <v>-48.46966414019796</v>
      </c>
      <c r="C216" s="29" t="n">
        <v>3.391063011865551e-49</v>
      </c>
      <c r="D216" s="8" t="n">
        <v>0.9996935075633949</v>
      </c>
      <c r="E216" s="8" t="n">
        <v>2.152466050116748e-25</v>
      </c>
      <c r="F216" s="8" t="n">
        <v>0.0001590752765570195</v>
      </c>
    </row>
    <row r="217">
      <c r="A217" s="33" t="n">
        <v>2.700000000000001</v>
      </c>
      <c r="B217" s="33" t="n">
        <v>-48.81868890082612</v>
      </c>
      <c r="C217" s="29" t="n">
        <v>1.518137468985415e-49</v>
      </c>
      <c r="D217" s="8" t="n">
        <v>0.9997181548813238</v>
      </c>
      <c r="E217" s="8" t="n">
        <v>1.398729906250581e-25</v>
      </c>
      <c r="F217" s="8" t="n">
        <v>0.0001451378417059258</v>
      </c>
    </row>
    <row r="218">
      <c r="A218" s="33" t="n">
        <v>2.725</v>
      </c>
      <c r="B218" s="33" t="n">
        <v>-49.16771540056539</v>
      </c>
      <c r="C218" s="29" t="n">
        <v>6.796488704182147e-50</v>
      </c>
      <c r="D218" s="8" t="n">
        <v>0.999740801098238</v>
      </c>
      <c r="E218" s="8" t="n">
        <v>9.089302167123747e-26</v>
      </c>
      <c r="F218" s="8" t="n">
        <v>0.0001324212748464173</v>
      </c>
    </row>
    <row r="219">
      <c r="A219" s="33" t="n">
        <v>2.75</v>
      </c>
      <c r="B219" s="33" t="n">
        <v>-49.51674349685773</v>
      </c>
      <c r="C219" s="29" t="n">
        <v>3.042681564621959e-50</v>
      </c>
      <c r="D219" s="8" t="n">
        <v>0.9997616101649995</v>
      </c>
      <c r="E219" s="8" t="n">
        <v>5.906448533120559e-26</v>
      </c>
      <c r="F219" s="8" t="n">
        <v>0.0001208186755023409</v>
      </c>
    </row>
    <row r="220">
      <c r="A220" s="33" t="n">
        <v>2.775</v>
      </c>
      <c r="B220" s="33" t="n">
        <v>-49.86577305893354</v>
      </c>
      <c r="C220" s="29" t="n">
        <v>1.362156292815185e-50</v>
      </c>
      <c r="D220" s="8" t="n">
        <v>0.9997807324879037</v>
      </c>
      <c r="E220" s="8" t="n">
        <v>3.838146731296251e-26</v>
      </c>
      <c r="F220" s="8" t="n">
        <v>0.0001102324965057965</v>
      </c>
    </row>
    <row r="221">
      <c r="A221" s="33" t="n">
        <v>2.8</v>
      </c>
      <c r="B221" s="33" t="n">
        <v>-50.21480396682911</v>
      </c>
      <c r="C221" s="29" t="n">
        <v>6.098120939731106e-51</v>
      </c>
      <c r="D221" s="8" t="n">
        <v>0.9997983060556125</v>
      </c>
      <c r="E221" s="8" t="n">
        <v>2.494112565801749e-26</v>
      </c>
      <c r="F221" s="8" t="n">
        <v>0.0001005737267680373</v>
      </c>
    </row>
    <row r="222">
      <c r="A222" s="33" t="n">
        <v>2.825000000000001</v>
      </c>
      <c r="B222" s="33" t="n">
        <v>-50.56383611048648</v>
      </c>
      <c r="C222" s="29" t="n">
        <v>2.730007810266161e-51</v>
      </c>
      <c r="D222" s="8" t="n">
        <v>0.9998144574718364</v>
      </c>
      <c r="E222" s="8" t="n">
        <v>1.620727157193968e-26</v>
      </c>
      <c r="F222" s="8" t="n">
        <v>9.176114526751684e-05</v>
      </c>
    </row>
    <row r="223">
      <c r="A223" s="33" t="n">
        <v>2.85</v>
      </c>
      <c r="B223" s="33" t="n">
        <v>-50.91286938892882</v>
      </c>
      <c r="C223" s="29" t="n">
        <v>1.222167163248192e-51</v>
      </c>
      <c r="D223" s="8" t="n">
        <v>0.9998293029016604</v>
      </c>
      <c r="E223" s="8" t="n">
        <v>1.053181449108643e-26</v>
      </c>
      <c r="F223" s="8" t="n">
        <v>8.372064007948906e-05</v>
      </c>
    </row>
    <row r="224">
      <c r="A224" s="33" t="n">
        <v>2.875</v>
      </c>
      <c r="B224" s="33" t="n">
        <v>-51.26190370950496</v>
      </c>
      <c r="C224" s="29" t="n">
        <v>5.471372591104317e-52</v>
      </c>
      <c r="D224" s="8" t="n">
        <v>0.9998429489387611</v>
      </c>
      <c r="E224" s="8" t="n">
        <v>6.843778911308069e-27</v>
      </c>
      <c r="F224" s="8" t="n">
        <v>7.638458680208581e-05</v>
      </c>
    </row>
    <row r="225">
      <c r="A225" s="33" t="n">
        <v>2.9</v>
      </c>
      <c r="B225" s="33" t="n">
        <v>-51.61093898719714</v>
      </c>
      <c r="C225" s="29" t="n">
        <v>2.449407327978833e-52</v>
      </c>
      <c r="D225" s="8" t="n">
        <v>0.999855493400141</v>
      </c>
      <c r="E225" s="8" t="n">
        <v>4.447216404688749e-27</v>
      </c>
      <c r="F225" s="8" t="n">
        <v>6.969128121951467e-05</v>
      </c>
    </row>
    <row r="226">
      <c r="A226" s="33" t="n">
        <v>2.925</v>
      </c>
      <c r="B226" s="33" t="n">
        <v>-51.95997514398694</v>
      </c>
      <c r="C226" s="29" t="n">
        <v>1.096540952769001e-52</v>
      </c>
      <c r="D226" s="8" t="n">
        <v>0.9998670260544649</v>
      </c>
      <c r="E226" s="8" t="n">
        <v>2.889882035851361e-27</v>
      </c>
      <c r="F226" s="8" t="n">
        <v>6.358442148765617e-05</v>
      </c>
    </row>
    <row r="227">
      <c r="A227" s="33" t="n">
        <v>2.950000000000001</v>
      </c>
      <c r="B227" s="33" t="n">
        <v>-52.309012108274</v>
      </c>
      <c r="C227" s="29" t="n">
        <v>4.908941896692186e-53</v>
      </c>
      <c r="D227" s="8" t="n">
        <v>0.9998776292895646</v>
      </c>
      <c r="E227" s="8" t="n">
        <v>1.877896116840374e-27</v>
      </c>
      <c r="F227" s="8" t="n">
        <v>5.801263553426379e-05</v>
      </c>
    </row>
    <row r="228">
      <c r="A228" s="33" t="n">
        <v>2.975</v>
      </c>
      <c r="B228" s="33" t="n">
        <v>-52.65804981434358</v>
      </c>
      <c r="C228" s="29" t="n">
        <v>2.197607788835795e-53</v>
      </c>
      <c r="D228" s="8" t="n">
        <v>0.9998873787242146</v>
      </c>
      <c r="E228" s="8" t="n">
        <v>1.22028884578685e-27</v>
      </c>
      <c r="F228" s="8" t="n">
        <v>5.292904973820875e-05</v>
      </c>
    </row>
    <row r="229">
      <c r="A229" s="33" t="n">
        <v>3</v>
      </c>
      <c r="B229" s="33" t="n">
        <v>-53.00708820187864</v>
      </c>
      <c r="C229" s="29" t="n">
        <v>9.838112809441298e-54</v>
      </c>
      <c r="D229" s="8" t="n">
        <v>0.9998963437688522</v>
      </c>
      <c r="E229" s="8" t="n">
        <v>7.92963830904793e-28</v>
      </c>
      <c r="F229" s="8" t="n">
        <v>4.829089529274035e-05</v>
      </c>
    </row>
    <row r="230">
      <c r="A230" s="33" t="n">
        <v>3.025</v>
      </c>
      <c r="B230" s="33" t="n">
        <v>-53.35612721551245</v>
      </c>
      <c r="C230" s="29" t="n">
        <v>4.40425833073697e-54</v>
      </c>
      <c r="D230" s="8" t="n">
        <v>0.9999045881395265</v>
      </c>
      <c r="E230" s="8" t="n">
        <v>5.152806124934843e-28</v>
      </c>
      <c r="F230" s="8" t="n">
        <v>4.405914896909732e-05</v>
      </c>
    </row>
    <row r="231">
      <c r="A231" s="33" t="n">
        <v>3.05</v>
      </c>
      <c r="B231" s="33" t="n">
        <v>-53.70516680441893</v>
      </c>
      <c r="C231" s="29" t="n">
        <v>1.971665310756955e-54</v>
      </c>
      <c r="D231" s="8" t="n">
        <v>0.9999121703289934</v>
      </c>
      <c r="E231" s="8" t="n">
        <v>3.348373827553591e-28</v>
      </c>
      <c r="F231" s="8" t="n">
        <v>4.019820528150436e-05</v>
      </c>
    </row>
    <row r="232">
      <c r="A232" s="33" t="n">
        <v>3.075000000000001</v>
      </c>
      <c r="B232" s="33" t="n">
        <v>-54.05420692193689</v>
      </c>
      <c r="C232" s="29" t="n">
        <v>8.826592524782045e-55</v>
      </c>
      <c r="D232" s="8" t="n">
        <v>0.9999191440385519</v>
      </c>
      <c r="E232" s="8" t="n">
        <v>2.175824239061137e-28</v>
      </c>
      <c r="F232" s="8" t="n">
        <v>3.667557731483761e-05</v>
      </c>
    </row>
    <row r="233">
      <c r="A233" s="33" t="n">
        <v>3.1</v>
      </c>
      <c r="B233" s="33" t="n">
        <v>-54.40324752522563</v>
      </c>
      <c r="C233" s="29" t="n">
        <v>3.951413458987642e-55</v>
      </c>
      <c r="D233" s="8" t="n">
        <v>0.9999255585739124</v>
      </c>
      <c r="E233" s="8" t="n">
        <v>1.413882892242766e-28</v>
      </c>
      <c r="F233" s="8" t="n">
        <v>3.346162371409266e-05</v>
      </c>
    </row>
    <row r="234">
      <c r="A234" s="33" t="n">
        <v>3.125</v>
      </c>
      <c r="B234" s="33" t="n">
        <v>-54.7522885749495</v>
      </c>
      <c r="C234" s="29" t="n">
        <v>1.768933167572049e-55</v>
      </c>
      <c r="D234" s="8" t="n">
        <v>0.9999314592081104</v>
      </c>
      <c r="E234" s="8" t="n">
        <v>9.187616212812491e-29</v>
      </c>
      <c r="F234" s="8" t="n">
        <v>3.052929955216644e-05</v>
      </c>
    </row>
    <row r="235">
      <c r="A235" s="33" t="n">
        <v>3.15</v>
      </c>
      <c r="B235" s="33" t="n">
        <v>-55.10133003498836</v>
      </c>
      <c r="C235" s="29" t="n">
        <v>7.918993108327009e-56</v>
      </c>
      <c r="D235" s="8" t="n">
        <v>0.9999368875142219</v>
      </c>
      <c r="E235" s="8" t="n">
        <v>5.970243523090001e-29</v>
      </c>
      <c r="F235" s="8" t="n">
        <v>2.785392899106551e-05</v>
      </c>
    </row>
    <row r="236">
      <c r="A236" s="33" t="n">
        <v>3.175</v>
      </c>
      <c r="B236" s="33" t="n">
        <v>-55.45037187217248</v>
      </c>
      <c r="C236" s="29" t="n">
        <v>3.54509704159727e-56</v>
      </c>
      <c r="D236" s="8" t="n">
        <v>0.9999418816704153</v>
      </c>
      <c r="E236" s="8" t="n">
        <v>3.879547362741585e-29</v>
      </c>
      <c r="F236" s="8" t="n">
        <v>2.541299783310963e-05</v>
      </c>
    </row>
    <row r="237">
      <c r="A237" s="33" t="n">
        <v>3.200000000000001</v>
      </c>
      <c r="B237" s="33" t="n">
        <v>-55.79941405603929</v>
      </c>
      <c r="C237" s="29" t="n">
        <v>1.587032951038667e-56</v>
      </c>
      <c r="D237" s="8" t="n">
        <v>0.9999464767396511</v>
      </c>
      <c r="E237" s="8" t="n">
        <v>2.52098288356888e-29</v>
      </c>
      <c r="F237" s="8" t="n">
        <v>2.318596422445338e-05</v>
      </c>
    </row>
    <row r="238">
      <c r="A238" s="33" t="n">
        <v>3.225</v>
      </c>
      <c r="B238" s="33" t="n">
        <v>-56.14845655861037</v>
      </c>
      <c r="C238" s="29" t="n">
        <v>7.104662326071635e-57</v>
      </c>
      <c r="D238" s="8" t="n">
        <v>0.9999507049261527</v>
      </c>
      <c r="E238" s="8" t="n">
        <v>1.638168521504508e-29</v>
      </c>
      <c r="F238" s="8" t="n">
        <v>2.115408592464941e-05</v>
      </c>
    </row>
    <row r="239">
      <c r="A239" s="33" t="n">
        <v>3.25</v>
      </c>
      <c r="B239" s="33" t="n">
        <v>-56.49749935418712</v>
      </c>
      <c r="C239" s="29" t="n">
        <v>3.180538417911025e-57</v>
      </c>
      <c r="D239" s="8" t="n">
        <v>0.9999545958105862</v>
      </c>
      <c r="E239" s="8" t="n">
        <v>1.064503538309567e-29</v>
      </c>
      <c r="F239" s="8" t="n">
        <v>1.930026269425459e-05</v>
      </c>
    </row>
    <row r="240">
      <c r="A240" s="33" t="n">
        <v>3.275</v>
      </c>
      <c r="B240" s="33" t="n">
        <v>-56.84654241916309</v>
      </c>
      <c r="C240" s="29" t="n">
        <v>1.423828169242419e-57</v>
      </c>
      <c r="D240" s="8" t="n">
        <v>0.9999581765657367</v>
      </c>
      <c r="E240" s="8" t="n">
        <v>6.917282420813814e-30</v>
      </c>
      <c r="F240" s="8" t="n">
        <v>1.760889247875983e-05</v>
      </c>
    </row>
    <row r="241">
      <c r="A241" s="33" t="n">
        <v>3.3</v>
      </c>
      <c r="B241" s="33" t="n">
        <v>-57.19558573185225</v>
      </c>
      <c r="C241" s="29" t="n">
        <v>6.374032421010069e-58</v>
      </c>
      <c r="D241" s="8" t="n">
        <v>0.9999614721543029</v>
      </c>
      <c r="E241" s="8" t="n">
        <v>4.49493878801644e-30</v>
      </c>
      <c r="F241" s="8" t="n">
        <v>1.606574018243731e-05</v>
      </c>
    </row>
    <row r="242">
      <c r="A242" s="33" t="n">
        <v>3.325000000000001</v>
      </c>
      <c r="B242" s="33" t="n">
        <v>-57.54462927233122</v>
      </c>
      <c r="C242" s="29" t="n">
        <v>2.853453026986611e-58</v>
      </c>
      <c r="D242" s="8" t="n">
        <v>0.9999645055103072</v>
      </c>
      <c r="E242" s="8" t="n">
        <v>2.920868077981585e-30</v>
      </c>
      <c r="F242" s="8" t="n">
        <v>1.465781793099157e-05</v>
      </c>
    </row>
    <row r="243">
      <c r="A243" s="33" t="n">
        <v>3.35</v>
      </c>
      <c r="B243" s="33" t="n">
        <v>-57.89367302229465</v>
      </c>
      <c r="C243" s="29" t="n">
        <v>1.277400193784279e-58</v>
      </c>
      <c r="D243" s="8" t="n">
        <v>0.9999672977054893</v>
      </c>
      <c r="E243" s="8" t="n">
        <v>1.898016563454632e-30</v>
      </c>
      <c r="F243" s="8" t="n">
        <v>1.337327581803637e-05</v>
      </c>
    </row>
    <row r="244">
      <c r="A244" s="33" t="n">
        <v>3.375</v>
      </c>
      <c r="B244" s="33" t="n">
        <v>-58.24271696492256</v>
      </c>
      <c r="C244" s="29" t="n">
        <v>5.718511977453549e-59</v>
      </c>
      <c r="D244" s="8" t="n">
        <v>0.9999698681019324</v>
      </c>
      <c r="E244" s="8" t="n">
        <v>1.233354598665425e-30</v>
      </c>
      <c r="F244" s="8" t="n">
        <v>1.220130221818842e-05</v>
      </c>
    </row>
    <row r="245">
      <c r="A245" s="33" t="n">
        <v>3.4</v>
      </c>
      <c r="B245" s="33" t="n">
        <v>-58.59176108475873</v>
      </c>
      <c r="C245" s="29" t="n">
        <v>2.559993810242733e-59</v>
      </c>
      <c r="D245" s="8" t="n">
        <v>0.9999722344920725</v>
      </c>
      <c r="E245" s="8" t="n">
        <v>8.014488835307453e-31</v>
      </c>
      <c r="F245" s="8" t="n">
        <v>1.113203282969659e-05</v>
      </c>
    </row>
  </sheetData>
  <mergeCells count="2">
    <mergeCell ref="A1:J1"/>
    <mergeCell ref="A2:J2"/>
  </mergeCells>
  <pageMargins left="0.25" right="0.25" top="0.5" bottom="0.5" header="0.5" footer="0.5"/>
  <pageSetup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64" customWidth="1" min="2" max="2"/>
    <col width="44" customWidth="1" min="3" max="3"/>
    <col width="58" customWidth="1" min="4" max="4"/>
    <col width="42" customWidth="1" min="5" max="5"/>
    <col width="10" customWidth="1" min="6" max="6"/>
  </cols>
  <sheetData>
    <row r="1" ht="27" customHeight="1">
      <c r="A1" s="1" t="inlineStr">
        <is>
          <t>Sources and model provenance</t>
        </is>
      </c>
    </row>
    <row r="2" ht="32" customHeight="1">
      <c r="A2" s="2" t="inlineStr">
        <is>
          <t>Plain URLs are included for reuse outside ChatGPT. No data-rating system is used.</t>
        </is>
      </c>
    </row>
    <row r="3"/>
    <row r="4" ht="32" customHeight="1">
      <c r="A4" s="10" t="inlineStr">
        <is>
          <t>Item</t>
        </is>
      </c>
      <c r="B4" s="10" t="inlineStr">
        <is>
          <t>URL / file</t>
        </is>
      </c>
      <c r="C4" s="10" t="inlineStr">
        <is>
          <t>Used for</t>
        </is>
      </c>
      <c r="D4" s="10" t="inlineStr">
        <is>
          <t>Specific note</t>
        </is>
      </c>
      <c r="E4" s="10" t="inlineStr">
        <is>
          <t>Access / model status</t>
        </is>
      </c>
      <c r="F4" s="10" t="inlineStr"/>
    </row>
    <row r="5">
      <c r="A5" s="9" t="inlineStr">
        <is>
          <t>Wang &amp; Abild-Pedersen, PNAS 2021</t>
        </is>
      </c>
      <c r="B5" s="7" t="inlineStr">
        <is>
          <t>https://doi.org/10.1073/pnas.2106527118</t>
        </is>
      </c>
      <c r="C5" s="4" t="inlineStr">
        <is>
          <t>DFT energetics / activity-map context</t>
        </is>
      </c>
      <c r="D5" s="4" t="inlineStr">
        <is>
          <t>Theory-aided discovery of high-temperature ammonia synthesis catalysts</t>
        </is>
      </c>
      <c r="E5" s="9" t="inlineStr">
        <is>
          <t>Primary article</t>
        </is>
      </c>
    </row>
    <row r="6">
      <c r="A6" s="9" t="inlineStr">
        <is>
          <t>PMC full text</t>
        </is>
      </c>
      <c r="B6" s="7" t="inlineStr">
        <is>
          <t>https://pmc.ncbi.nlm.nih.gov/articles/PMC8325328/</t>
        </is>
      </c>
      <c r="C6" s="4" t="inlineStr">
        <is>
          <t>Methods / conditions / supplementary link</t>
        </is>
      </c>
      <c r="D6" s="4" t="inlineStr">
        <is>
          <t>673 K; 24.5 bar N2; 74.25 bar H2; 1 bar NH3; CatMAP in source paper</t>
        </is>
      </c>
      <c r="E6" s="9" t="inlineStr">
        <is>
          <t>Primary full text</t>
        </is>
      </c>
    </row>
    <row r="7">
      <c r="A7" s="9" t="inlineStr">
        <is>
          <t>Dataset S1</t>
        </is>
      </c>
      <c r="B7" s="8" t="inlineStr">
        <is>
          <t>pnas.2106527118.sd01.txt</t>
        </is>
      </c>
      <c r="C7" s="4" t="inlineStr">
        <is>
          <t>444 parsed formation-energy/frequency rows</t>
        </is>
      </c>
      <c r="D7" s="4" t="inlineStr">
        <is>
          <t>Uploaded supplementary file used directly in this workbook</t>
        </is>
      </c>
      <c r="E7" s="9" t="inlineStr">
        <is>
          <t>User-uploaded primary supplementary</t>
        </is>
      </c>
    </row>
    <row r="8">
      <c r="A8" s="9" t="inlineStr">
        <is>
          <t>MKM reconstruction</t>
        </is>
      </c>
      <c r="B8" s="8" t="inlineStr">
        <is>
          <t>mkm_s1_activity_v2.py</t>
        </is>
      </c>
      <c r="C8" s="9" t="inlineStr">
        <is>
          <t>Reduced one-site mean-field solver</t>
        </is>
      </c>
      <c r="D8" s="4" t="inlineStr">
        <is>
          <t>TST, detailed balance, harmonic adsorbate/TS vibrations, ideal-gas gases</t>
        </is>
      </c>
      <c r="E8" s="4" t="inlineStr">
        <is>
          <t>This workbook model; not exact source CatMAP</t>
        </is>
      </c>
    </row>
  </sheetData>
  <mergeCells count="2">
    <mergeCell ref="A2:F2"/>
    <mergeCell ref="A1:F1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2026-08-11T10:56:07Z</dcterms:created>
  <dcterms:modified xmlns:dcterms="http://purl.org/dc/terms/" xmlns:xsi="http://www.w3.org/2001/XMLSchema-instance" xsi:type="dcterms:W3CDTF">2026-08-11T10:56:08Z</dcterms:modified>
</cp:coreProperties>
</file>