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再审总览" sheetId="1" state="visible" r:id="rId1"/>
    <sheet xmlns:r="http://schemas.openxmlformats.org/officeDocument/2006/relationships" name="GoogleDrive原文逐项核验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核对表" sheetId="4" state="visible" r:id="rId4"/>
    <sheet xmlns:r="http://schemas.openxmlformats.org/officeDocument/2006/relationships" name="具体修订与边界" sheetId="5" state="visible" r:id="rId5"/>
    <sheet xmlns:r="http://schemas.openxmlformats.org/officeDocument/2006/relationships" name="Drive原始文件与SHA256" sheetId="6" state="visible" r:id="rId6"/>
  </sheets>
  <definedNames>
    <definedName name="_xlnm._FilterDatabase" localSheetId="1" hidden="1">'GoogleDrive原文逐项核验'!$A$1:$W$101</definedName>
    <definedName name="_xlnm._FilterDatabase" localSheetId="4" hidden="1">'具体修订与边界'!$A$1:$F$11</definedName>
    <definedName name="_xlnm._FilterDatabase" localSheetId="5" hidden="1">'Drive原始文件与SHA256'!$A$1:$H$17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</font>
    <font>
      <name val="Aptos"/>
      <b val="1"/>
      <color rgb="00FFFFFF"/>
      <sz val="11"/>
    </font>
    <font>
      <name val="Aptos"/>
      <color rgb="001D3144"/>
      <sz val="10"/>
    </font>
    <font>
      <name val="Aptos"/>
      <color rgb="00344B58"/>
      <sz val="9"/>
    </font>
    <font>
      <name val="Aptos"/>
      <color rgb="0000804C"/>
      <sz val="9"/>
    </font>
    <font>
      <name val="Aptos"/>
      <color rgb="00AD521E"/>
      <sz val="10"/>
    </font>
    <font>
      <name val="Aptos Display"/>
      <b val="1"/>
      <color rgb="00FFFFFF"/>
      <sz val="17"/>
    </font>
    <font>
      <name val="Aptos"/>
      <color rgb="00637683"/>
      <sz val="11"/>
    </font>
    <font>
      <name val="Aptos"/>
      <b val="1"/>
      <color rgb="0026343B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6343B"/>
      </patternFill>
    </fill>
    <fill>
      <patternFill patternType="solid">
        <fgColor rgb="00EAF4EF"/>
      </patternFill>
    </fill>
    <fill>
      <patternFill patternType="solid">
        <fgColor rgb="00FFF1E4"/>
      </patternFill>
    </fill>
    <fill>
      <patternFill patternType="solid">
        <fgColor rgb="00FFF2DC"/>
      </patternFill>
    </fill>
    <fill>
      <patternFill patternType="solid">
        <fgColor rgb="00FBE6E8"/>
      </patternFill>
    </fill>
    <fill>
      <patternFill patternType="solid">
        <fgColor rgb="00947A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9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10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1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H21"/>
  <ns0:sheetViews>
    <ns0:sheetView showGridLines="0" workbookViewId="0">
      <ns0:selection activeCell="A1" sqref="A1"/>
    </ns0:sheetView>
  </ns0:sheetViews>
  <ns0:sheetFormatPr baseColWidth="8" defaultRowHeight="15"/>
  <ns0:cols>
    <ns0:col width="32" customWidth="1" min="1" max="1"/>
    <ns0:col width="25" customWidth="1" min="2" max="2"/>
    <ns0:col width="42" customWidth="1" min="3" max="3"/>
    <ns0:col width="25" customWidth="1" min="4" max="4"/>
    <ns0:col width="25" customWidth="1" min="5" max="5"/>
    <ns0:col width="25" customWidth="1" min="6" max="6"/>
    <ns0:col width="25" customWidth="1" min="7" max="7"/>
    <ns0:col width="25" customWidth="1" min="8" max="8"/>
  </ns0:cols>
  <ns0:sheetData>
    <ns0:row r="1" ht="42" customHeight="1">
      <ns0:c r="A1" s="7" t="inlineStr">
        <ns0:is>
          <ns0:t>甲醇金标准 100 项｜Google Drive 原始论文与 SI 复核</ns0:t>
        </ns0:is>
      </ns0:c>
      <ns0:c r="B1" s="8" t="n"/>
      <ns0:c r="C1" s="8" t="n"/>
      <ns0:c r="D1" s="8" t="n"/>
      <ns0:c r="E1" s="8" t="n"/>
      <ns0:c r="F1" s="8" t="n"/>
      <ns0:c r="G1" s="8" t="n"/>
      <ns0:c r="H1" s="8" t="n"/>
    </ns0:row>
    <ns0:row r="2">
      <ns0:c r="A2" s="9" t="inlineStr">
        <ns0:is>
          <ns0:t>2026-10-12 · 10 篇主文 + 5 篇关键 SI · 原始“人工签署”栏未修改</ns0:t>
        </ns0:is>
      </ns0:c>
    </ns0:row>
    <ns0:row r="4" ht="27" customHeight="1">
      <ns0:c r="A4" t="inlineStr">
        <ns0:is>
          <ns0:t>类别</ns0:t>
        </ns0:is>
      </ns0:c>
      <ns0:c r="B4" t="inlineStr">
        <ns0:is>
          <ns0:t>数量（实时公式）</ns0:t>
        </ns0:is>
      </ns0:c>
      <ns0:c r="C4" t="inlineStr">
        <ns0:is>
          <ns0:t>口径</ns0:t>
        </ns0:is>
      </ns0:c>
      <ns0:c r="D4" t="inlineStr">
        <ns0:is>
          <ns0:t>行动</ns0:t>
        </ns0:is>
      </ns0:c>
    </ns0:row>
    <ns0:row r="5" ht="27" customHeight="1">
      <ns0:c r="A5" s="10" t="inlineStr">
        <ns0:is>
          <ns0:t>直接印刷/单位等价</ns0:t>
        </ns0:is>
      </ns0:c>
      <ns0:c r="B5">
        <ns0:f>COUNTIF('GoogleDrive原文逐项核验'!O$2:O$101,A5)</ns0:f>
        <ns0:v>91</ns0:v>
      </ns0:c>
      <ns0:c r="C5" t="inlineStr">
        <ns0:is>
          <ns0:t>原始表格/正文/图注直接给出数值；允许标准单位转换</ns0:t>
        </ns0:is>
      </ns0:c>
      <ns0:c r="D5" t="inlineStr">
        <ns0:is>
          <ns0:t>可按原文复核后签署</ns0:t>
        </ns0:is>
      </ns0:c>
    </ns0:row>
    <ns0:row r="6" ht="27" customHeight="1">
      <ns0:c r="A6" s="11" t="inlineStr">
        <ns0:is>
          <ns0:t>组成或比值推导</ns0:t>
        </ns0:is>
      </ns0:c>
      <ns0:c r="B6">
        <ns0:f>COUNTIF('GoogleDrive原文逐项核验'!O$2:O$101,A6)</ns0:f>
        <ns0:v>6</ns0:v>
      </ns0:c>
      <ns0:c r="C6" t="inlineStr">
        <ns0:is>
          <ns0:t>数值由组成比或倒序比推得；并非该字段原样印刷</ns0:t>
        </ns0:is>
      </ns0:c>
      <ns0:c r="D6" t="inlineStr">
        <ns0:is>
          <ns0:t>保留计算式并标注 derived</ns0:t>
        </ns0:is>
      </ns0:c>
    </ns0:row>
    <ns0:row r="7" ht="27" customHeight="1">
      <ns0:c r="A7" s="12" t="inlineStr">
        <ns0:is>
          <ns0:t>原文值对但定位错误</ns0:t>
        </ns0:is>
      </ns0:c>
      <ns0:c r="B7">
        <ns0:f>COUNTIF('GoogleDrive原文逐项核验'!O$2:O$101,A7)</ns0:f>
        <ns0:v>1</ns0:v>
      </ns0:c>
      <ns0:c r="C7" t="inlineStr">
        <ns0:is>
          <ns0:t>数值出现在正文，但不是原Excel声称的Table2</ns0:t>
        </ns0:is>
      </ns0:c>
      <ns0:c r="D7" t="inlineStr">
        <ns0:is>
          <ns0:t>修正定位</ns0:t>
        </ns0:is>
      </ns0:c>
    </ns0:row>
    <ns0:row r="8" ht="27" customHeight="1">
      <ns0:c r="A8" s="13" t="inlineStr">
        <ns0:is>
          <ns0:t>上界符号需恢复</ns0:t>
        </ns0:is>
      </ns0:c>
      <ns0:c r="B8">
        <ns0:f>COUNTIF('GoogleDrive原文逐项核验'!O$2:O$101,A8)</ns0:f>
        <ns0:v>1</ns0:v>
      </ns0:c>
      <ns0:c r="C8" t="inlineStr">
        <ns0:is>
          <ns0:t>原文给的是小于号上界，不是等号实测值</ns0:t>
        </ns0:is>
      </ns0:c>
      <ns0:c r="D8" t="inlineStr">
        <ns0:is>
          <ns0:t>恢复 &lt; 限定符</ns0:t>
        </ns0:is>
      </ns0:c>
    </ns0:row>
    <ns0:row r="9" ht="27" customHeight="1">
      <ns0:c r="A9" s="11" t="inlineStr">
        <ns0:is>
          <ns0:t>术语/计量口径需注明</ns0:t>
        </ns0:is>
      </ns0:c>
      <ns0:c r="B9">
        <ns0:f>COUNTIF('GoogleDrive原文逐项核验'!O$2:O$101,A9)</ns0:f>
        <ns0:v>1</ns0:v>
      </ns0:c>
      <ns0:c r="C9" t="inlineStr">
        <ns0:is>
          <ns0:t>原论文列名Rate或Yield，而采集字段STY printed</ns0:t>
        </ns0:is>
      </ns0:c>
      <ns0:c r="D9" t="inlineStr">
        <ns0:is>
          <ns0:t>保留原始单位及论文列名</ns0:t>
        </ns0:is>
      </ns0:c>
    </ns0:row>
    <ns0:row r="10" ht="27" customHeight="1"/>
    <ns0:row r="11" ht="27" customHeight="1">
      <ns0:c r="A11" s="14" t="inlineStr">
        <ns0:is>
          <ns0:t>总抽样数</ns0:t>
        </ns0:is>
      </ns0:c>
      <ns0:c r="B11">
        <ns0:f>SUM(B5:B9)</ns0:f>
        <ns0:v>100</ns0:v>
      </ns0:c>
    </ns0:row>
    <ns0:row r="12" ht="27" customHeight="1">
      <ns0:c r="A12" s="14" t="inlineStr">
        <ns0:is>
          <ns0:t>数值差异 (非有争议的限定符)</ns0:t>
        </ns0:is>
      </ns0:c>
      <ns0:c r="B12">
        <ns0:f>COUNTIF('GoogleDrive原文逐项核验'!N$2:N$101,"MISMATCH")</ns0:f>
        <ns0:v>0</ns0:v>
      </ns0:c>
    </ns0:row>
    <ns0:row r="13" ht="27" customHeight="1">
      <ns0:c r="A13" s="14" t="inlineStr">
        <ns0:is>
          <ns0:t>本次恢复限定符的源记录</ns0:t>
        </ns0:is>
      </ns0:c>
      <ns0:c r="B13" t="inlineStr">
        <ns0:is>
          <ns0:t>ID93（&lt;0.1%，原文为上界）</ns0:t>
        </ns0:is>
      </ns0:c>
    </ns0:row>
    <ns0:row r="14" ht="27" customHeight="1">
      <ns0:c r="A14" s="14" t="inlineStr">
        <ns0:is>
          <ns0:t>未签署的人工金标准</ns0:t>
        </ns0:is>
      </ns0:c>
      <ns0:c r="B14" t="inlineStr">
        <ns0:is>
          <ns0:t>100/100 行（原表核对表N:R未改动）</ns0:t>
        </ns0:is>
      </ns0:c>
    </ns0:row>
    <ns0:row r="15" ht="27" customHeight="1">
      <ns0:c r="A15" s="14" t="inlineStr">
        <ns0:is>
          <ns0:t>冻结版候选成员复核</ns0:t>
        </ns0:is>
      </ns0:c>
      <ns0:c r="B15" t="inlineStr">
        <ns0:is>
          <ns0:t>100/100 条在冻结S5的310条有效比较候选中</ns0:t>
        </ns0:is>
      </ns0:c>
    </ns0:row>
    <ns0:row r="16" ht="27" customHeight="1"/>
    <ns0:row r="17" ht="38" customHeight="1">
      <ns0:c r="A17" t="inlineStr">
        <ns0:is>
          <ns0:t>审计声明</ns0:t>
        </ns0:is>
      </ns0:c>
      <ns0:c r="B17" t="inlineStr">
        <ns0:is>
          <ns0:t>本次是 AI 辅助原始论文审计，不构成独立人类审稿人的签署。非独立同分布抽样（先选10篇，每篇10值）；不能把简单二项Wilson区间直接当数据库总体准确率。</ns0:t>
        </ns0:is>
      </ns0:c>
    </ns0:row>
    <ns0:row r="18" ht="27" customHeight="1"/>
    <ns0:row r="19" ht="27" customHeight="1">
      <ns0:c r="A19" t="inlineStr">
        <ns0:is>
          <ns0:t>来源记录</ns0:t>
        </ns0:is>
      </ns0:c>
      <ns0:c r="B19" t="inlineStr">
        <ns0:is>
          <ns0:t>仅凭 Google Drive 已下载原始主文、SI 表和正文判定；未使用前一轮草稿作为正确性证据。</ns0:t>
        </ns0:is>
      </ns0:c>
    </ns0:row>
    <ns0:row r="20" ht="40" customHeight="1">
      <ns0:c r="A20" t="inlineStr">
        <ns0:is>
          <ns0:t>注意</ns0:t>
        </ns0:is>
      </ns0:c>
      <ns0:c r="B20" t="inlineStr">
        <ns0:is>
          <ns0:t>Bansode 2013 SI使用MPa，且36 MPa不等于36 bar；这些压力只作为本次所抽样的行定位，不能据100项样本推断TheMeCat勘误已完全修好。Malik 2018正文7.6%与Table 6的7.7%原文内部不一致，此数值不在100个抽样字段中。</ns0:t>
        </ns0:is>
      </ns0:c>
    </ns0:row>
    <ns0:row r="21" ht="27" customHeight="1"/>
  </ns0:sheetData>
  <ns0:mergeCells count="5">
    <ns0:mergeCell ref="A1:H1"/>
    <ns0:mergeCell ref="A2:H2"/>
    <ns0:mergeCell ref="B17:H18"/>
    <ns0:mergeCell ref="B19:H19"/>
    <ns0:mergeCell ref="B20:H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W101"/>
  <ns0:sheetViews>
    <ns0:sheetView showGridLines="0" workbookViewId="0">
      <ns0:pane xSplit="4" ySplit="1" topLeftCell="E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7" customWidth="1" min="1" max="1"/>
    <ns0:col width="29" customWidth="1" min="2" max="2"/>
    <ns0:col width="23" customWidth="1" min="3" max="3"/>
    <ns0:col width="44" customWidth="1" min="4" max="4"/>
    <ns0:col width="21" customWidth="1" min="5" max="5"/>
    <ns0:col width="24" customWidth="1" min="6" max="6"/>
    <ns0:col width="17" customWidth="1" min="7" max="7"/>
    <ns0:col width="1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17" customWidth="1" min="14" max="14"/>
    <ns0:col width="26" customWidth="1" min="15" max="15"/>
    <ns0:col width="31" customWidth="1" min="16" max="16"/>
    <ns0:col width="52" customWidth="1" min="17" max="17"/>
    <ns0:col width="20" customWidth="1" min="18" max="18"/>
    <ns0:col width="56" customWidth="1" min="19" max="19"/>
    <ns0:col width="55" customWidth="1" min="20" max="20"/>
    <ns0:col width="64" customWidth="1" min="21" max="21"/>
    <ns0:col width="72" customWidth="1" min="22" max="22"/>
    <ns0:col width="16" customWidth="1" min="23" max="23"/>
  </ns0:cols>
  <ns0:sheetData>
    <ns0:row r="1" ht="42" customHeight="1">
      <ns0:c r="A1" s="8" t="inlineStr">
        <ns0:is>
          <ns0:t>ID</ns0:t>
        </ns0:is>
      </ns0:c>
      <ns0:c r="B1" s="8" t="inlineStr">
        <ns0:is>
          <ns0:t>DOI</ns0:t>
        </ns0:is>
      </ns0:c>
      <ns0:c r="C1" s="8" t="inlineStr">
        <ns0:is>
          <ns0:t>催化剂</ns0:t>
        </ns0:is>
      </ns0:c>
      <ns0:c r="D1" s="8" t="inlineStr">
        <ns0:is>
          <ns0:t>实验点</ns0:t>
        </ns0:is>
      </ns0:c>
      <ns0:c r="E1" s="8" t="inlineStr">
        <ns0:is>
          <ns0:t>核验字段</ns0:t>
        </ns0:is>
      </ns0:c>
      <ns0:c r="F1" s="8" t="inlineStr">
        <ns0:is>
          <ns0:t>原抽取值</ns0:t>
        </ns0:is>
      </ns0:c>
      <ns0:c r="G1" s="8" t="inlineStr">
        <ns0:is>
          <ns0:t>字段单位</ns0:t>
        </ns0:is>
      </ns0:c>
      <ns0:c r="H1" s="8" t="inlineStr">
        <ns0:is>
          <ns0:t>源CSV限定符</ns0:t>
        </ns0:is>
      </ns0:c>
      <ns0:c r="I1" s="8" t="inlineStr">
        <ns0:is>
          <ns0:t>抽取数值(比较用)</ns0:t>
        </ns0:is>
      </ns0:c>
      <ns0:c r="J1" s="8" t="inlineStr">
        <ns0:is>
          <ns0:t>原文数字1</ns0:t>
        </ns0:is>
      </ns0:c>
      <ns0:c r="K1" s="8" t="inlineStr">
        <ns0:is>
          <ns0:t>原文数字2</ns0:t>
        </ns0:is>
      </ns0:c>
      <ns0:c r="L1" s="8" t="inlineStr">
        <ns0:is>
          <ns0:t>换算后原文值(公式)</ns0:t>
        </ns0:is>
      </ns0:c>
      <ns0:c r="M1" s="8" t="inlineStr">
        <ns0:is>
          <ns0:t>差值(公式)</ns0:t>
        </ns0:is>
      </ns0:c>
      <ns0:c r="N1" s="8" t="inlineStr">
        <ns0:is>
          <ns0:t>数值一致(公式)</ns0:t>
        </ns0:is>
      </ns0:c>
      <ns0:c r="O1" s="8" t="inlineStr">
        <ns0:is>
          <ns0:t>证据类别</ns0:t>
        </ns0:is>
      </ns0:c>
      <ns0:c r="P1" s="8" t="inlineStr">
        <ns0:is>
          <ns0:t>印刷资格</ns0:t>
        </ns0:is>
      </ns0:c>
      <ns0:c r="Q1" s="8" t="inlineStr">
        <ns0:is>
          <ns0:t>原文实际表述/单位</ns0:t>
        </ns0:is>
      </ns0:c>
      <ns0:c r="R1" s="8" t="inlineStr">
        <ns0:is>
          <ns0:t>原文位置(PDF页)</ns0:t>
        </ns0:is>
      </ns0:c>
      <ns0:c r="S1" s="8" t="inlineStr">
        <ns0:is>
          <ns0:t>精确表行/图注</ns0:t>
        </ns0:is>
      </ns0:c>
      <ns0:c r="T1" s="8" t="inlineStr">
        <ns0:is>
          <ns0:t>校正/保留事项</ns0:t>
        </ns0:is>
      </ns0:c>
      <ns0:c r="U1" s="8" t="inlineStr">
        <ns0:is>
          <ns0:t>原始PDF链接</ns0:t>
        </ns0:is>
      </ns0:c>
      <ns0:c r="V1" s="8" t="inlineStr">
        <ns0:is>
          <ns0:t>源文件SHA256</ns0:t>
        </ns0:is>
      </ns0:c>
      <ns0:c r="W1" s="8" t="inlineStr">
        <ns0:is>
          <ns0:t>来源标识</ns0:t>
        </ns0:is>
      </ns0:c>
    </ns0:row>
    <ns0:row r="2" ht="45" customHeight="1">
      <ns0:c r="A2" s="5" t="n">
        <ns0:v>1</ns0:v>
      </ns0:c>
      <ns0:c r="B2" s="5" t="inlineStr">
        <ns0:is>
          <ns0:t>10.1016/j.apcata.2018.04.036</ns0:t>
        </ns0:is>
      </ns0:c>
      <ns0:c r="C2" s="5" t="inlineStr">
        <ns0:is>
          <ns0:t>0.5Ca5P5ZC</ns0:t>
        </ns0:is>
      </ns0:c>
      <ns0:c r="D2" s="5" t="inlineStr">
        <ns0:is>
          <ns0:t>Fig 10a,b/text, 0.5Ca5P5ZC, 270 °C</ns0:t>
        </ns0:is>
      </ns0:c>
      <ns0:c r="E2" s="5" t="inlineStr">
        <ns0:is>
          <ns0:t>H2/CO2</ns0:t>
        </ns0:is>
      </ns0:c>
      <ns0:c r="F2" s="5" t="n">
        <ns0:v>3</ns0:v>
      </ns0:c>
      <ns0:c r="G2" s="5" t="inlineStr">
        <ns0:is>
          <ns0:t>mol/mol</ns0:t>
        </ns0:is>
      </ns0:c>
      <ns0:c r="H2" s="5" t="inlineStr"/>
      <ns0:c r="I2" s="5" t="n">
        <ns0:v>3</ns0:v>
      </ns0:c>
      <ns0:c r="J2" s="5" t="n">
        <ns0:v>3</ns0:v>
      </ns0:c>
      <ns0:c r="K2" s="5" t="n"/>
      <ns0:c r="L2" s="15">
        <ns0:f>J2</ns0:f>
        <ns0:v>3.0</ns0:v>
      </ns0:c>
      <ns0:c r="M2" s="15">
        <ns0:f>I2-L2</ns0:f>
        <ns0:v>0.0</ns0:v>
      </ns0:c>
      <ns0:c r="N2" s="15" t="str">
        <ns0:f>IF(ABS(M2)&lt;0.0000001,"MATCH","MISMATCH")</ns0:f>
        <ns0:v>MATCH</ns0:v>
      </ns0:c>
      <ns0:c r="O2" s="16" t="inlineStr">
        <ns0:is>
          <ns0:t>直接印刷/单位等价</ns0:t>
        </ns0:is>
      </ns0:c>
      <ns0:c r="P2" s="5" t="inlineStr">
        <ns0:is>
          <ns0:t>Y: 原文表/正文/图注明确数字</ns0:t>
        </ns0:is>
      </ns0:c>
      <ns0:c r="Q2" s="17" t="inlineStr">
        <ns0:is>
          <ns0:t>V(H2)/V(CO2)=3</ns0:t>
        </ns0:is>
      </ns0:c>
      <ns0:c r="R2" s="5" t="inlineStr">
        <ns0:is>
          <ns0:t>PDF第10页</ns0:t>
        </ns0:is>
      </ns0:c>
      <ns0:c r="S2" s="5" t="inlineStr">
        <ns0:is>
          <ns0:t>Fig. 10 caption, temperature series；Fig.10(a,b) common feed ratio, including 270°C point</ns0:t>
        </ns0:is>
      </ns0:c>
      <ns0:c r="T2" s="5" t="inlineStr">
        <ns0:is>
          <ns0:t>原文数值及工况相符</ns0:t>
        </ns0:is>
      </ns0:c>
      <ns0:c r="U2" s="18" t="inlineStr">
        <ns0:is>
          <ns0:t>https://drive.google.com/file/d/1--kU_GkfzNu3dB71N5o_RA6ri2lVgEcj/view</ns0:t>
        </ns0:is>
      </ns0:c>
      <ns0:c r="V2" s="17" t="inlineStr">
        <ns0:is>
          <ns0:t>58e4e1e6d1ae981bc27217fd90ac31d34660d313ce095820052e13d7c065e1ab</ns0:t>
        </ns0:is>
      </ns0:c>
      <ns0:c r="W2" s="5" t="inlineStr">
        <ns0:is>
          <ns0:t>Malik-main</ns0:t>
        </ns0:is>
      </ns0:c>
    </ns0:row>
    <ns0:row r="3" ht="45" customHeight="1">
      <ns0:c r="A3" s="5" t="n">
        <ns0:v>2</ns0:v>
      </ns0:c>
      <ns0:c r="B3" s="5" t="inlineStr">
        <ns0:is>
          <ns0:t>10.1016/j.apcata.2018.04.036</ns0:t>
        </ns0:is>
      </ns0:c>
      <ns0:c r="C3" s="5" t="inlineStr">
        <ns0:is>
          <ns0:t>5P5ZC</ns0:t>
        </ns0:is>
      </ns0:c>
      <ns0:c r="D3" s="5" t="inlineStr">
        <ns0:is>
          <ns0:t>Table 6, 5P5ZC, 220 °C</ns0:t>
        </ns0:is>
      </ns0:c>
      <ns0:c r="E3" s="5" t="inlineStr">
        <ns0:is>
          <ns0:t>CO selectivity</ns0:t>
        </ns0:is>
      </ns0:c>
      <ns0:c r="F3" s="5" t="n">
        <ns0:v>0</ns0:v>
      </ns0:c>
      <ns0:c r="G3" s="5" t="inlineStr">
        <ns0:is>
          <ns0:t>%</ns0:t>
        </ns0:is>
      </ns0:c>
      <ns0:c r="H3" s="5" t="inlineStr">
        <ns0:is>
          <ns0:t>=</ns0:t>
        </ns0:is>
      </ns0:c>
      <ns0:c r="I3" s="5" t="n">
        <ns0:v>0</ns0:v>
      </ns0:c>
      <ns0:c r="J3" s="5" t="n">
        <ns0:v>0</ns0:v>
      </ns0:c>
      <ns0:c r="K3" s="5" t="n"/>
      <ns0:c r="L3" s="15">
        <ns0:f>J3</ns0:f>
        <ns0:v>0.0</ns0:v>
      </ns0:c>
      <ns0:c r="M3" s="15">
        <ns0:f>I3-L3</ns0:f>
        <ns0:v>0.0</ns0:v>
      </ns0:c>
      <ns0:c r="N3" s="15" t="str">
        <ns0:f>IF(ABS(M3)&lt;0.0000001,"MATCH","MISMATCH")</ns0:f>
        <ns0:v>MATCH</ns0:v>
      </ns0:c>
      <ns0:c r="O3" s="16" t="inlineStr">
        <ns0:is>
          <ns0:t>直接印刷/单位等价</ns0:t>
        </ns0:is>
      </ns0:c>
      <ns0:c r="P3" s="5" t="inlineStr">
        <ns0:is>
          <ns0:t>Y: 原文表/正文/图注明确数字</ns0:t>
        </ns0:is>
      </ns0:c>
      <ns0:c r="Q3" s="17" t="inlineStr">
        <ns0:is>
          <ns0:t>5P5ZC: CO Sel. 0%</ns0:t>
        </ns0:is>
      </ns0:c>
      <ns0:c r="R3" s="5" t="inlineStr">
        <ns0:is>
          <ns0:t>PDF第8页</ns0:t>
        </ns0:is>
      </ns0:c>
      <ns0:c r="S3" s="5" t="inlineStr">
        <ns0:is>
          <ns0:t>Table 6, 5P5ZC row, CO Sel.；Table 6 5P5ZC: X=6.3, SMeOH=100, SCO=0, SCH4=0</ns0:t>
        </ns0:is>
      </ns0:c>
      <ns0:c r="T3" s="5" t="inlineStr">
        <ns0:is>
          <ns0:t>原文数值及工况相符</ns0:t>
        </ns0:is>
      </ns0:c>
      <ns0:c r="U3" s="18" t="inlineStr">
        <ns0:is>
          <ns0:t>https://drive.google.com/file/d/1--kU_GkfzNu3dB71N5o_RA6ri2lVgEcj/view</ns0:t>
        </ns0:is>
      </ns0:c>
      <ns0:c r="V3" s="17" t="inlineStr">
        <ns0:is>
          <ns0:t>58e4e1e6d1ae981bc27217fd90ac31d34660d313ce095820052e13d7c065e1ab</ns0:t>
        </ns0:is>
      </ns0:c>
      <ns0:c r="W3" s="5" t="inlineStr">
        <ns0:is>
          <ns0:t>Malik-main</ns0:t>
        </ns0:is>
      </ns0:c>
    </ns0:row>
    <ns0:row r="4" ht="45" customHeight="1">
      <ns0:c r="A4" s="5" t="n">
        <ns0:v>3</ns0:v>
      </ns0:c>
      <ns0:c r="B4" s="5" t="inlineStr">
        <ns0:is>
          <ns0:t>10.1016/j.apcata.2018.04.036</ns0:t>
        </ns0:is>
      </ns0:c>
      <ns0:c r="C4" s="5" t="inlineStr">
        <ns0:is>
          <ns0:t>5P5ZC</ns0:t>
        </ns0:is>
      </ns0:c>
      <ns0:c r="D4" s="5" t="inlineStr">
        <ns0:is>
          <ns0:t>Table 6, 5P5ZC, 220 °C</ns0:t>
        </ns0:is>
      </ns0:c>
      <ns0:c r="E4" s="5" t="inlineStr">
        <ns0:is>
          <ns0:t>pressure</ns0:t>
        </ns0:is>
      </ns0:c>
      <ns0:c r="F4" s="5" t="n">
        <ns0:v>30</ns0:v>
      </ns0:c>
      <ns0:c r="G4" s="5" t="inlineStr">
        <ns0:is>
          <ns0:t>bar</ns0:t>
        </ns0:is>
      </ns0:c>
      <ns0:c r="H4" s="5" t="inlineStr"/>
      <ns0:c r="I4" s="5" t="n">
        <ns0:v>30</ns0:v>
      </ns0:c>
      <ns0:c r="J4" s="5" t="n">
        <ns0:v>30</ns0:v>
      </ns0:c>
      <ns0:c r="K4" s="5" t="n"/>
      <ns0:c r="L4" s="15">
        <ns0:f>J4</ns0:f>
        <ns0:v>30.0</ns0:v>
      </ns0:c>
      <ns0:c r="M4" s="15">
        <ns0:f>I4-L4</ns0:f>
        <ns0:v>0.0</ns0:v>
      </ns0:c>
      <ns0:c r="N4" s="15" t="str">
        <ns0:f>IF(ABS(M4)&lt;0.0000001,"MATCH","MISMATCH")</ns0:f>
        <ns0:v>MATCH</ns0:v>
      </ns0:c>
      <ns0:c r="O4" s="16" t="inlineStr">
        <ns0:is>
          <ns0:t>直接印刷/单位等价</ns0:t>
        </ns0:is>
      </ns0:c>
      <ns0:c r="P4" s="5" t="inlineStr">
        <ns0:is>
          <ns0:t>Y: 原文表/正文/图注明确数字</ns0:t>
        </ns0:is>
      </ns0:c>
      <ns0:c r="Q4" s="17" t="inlineStr">
        <ns0:is>
          <ns0:t>P=30 bar</ns0:t>
        </ns0:is>
      </ns0:c>
      <ns0:c r="R4" s="5" t="inlineStr">
        <ns0:is>
          <ns0:t>PDF第8页</ns0:t>
        </ns0:is>
      </ns0:c>
      <ns0:c r="S4" s="5" t="inlineStr">
        <ns0:is>
          <ns0:t>Table 6 reaction conditions；Table 6 shared pressure</ns0:t>
        </ns0:is>
      </ns0:c>
      <ns0:c r="T4" s="5" t="inlineStr">
        <ns0:is>
          <ns0:t>原文数值及工况相符</ns0:t>
        </ns0:is>
      </ns0:c>
      <ns0:c r="U4" s="18" t="inlineStr">
        <ns0:is>
          <ns0:t>https://drive.google.com/file/d/1--kU_GkfzNu3dB71N5o_RA6ri2lVgEcj/view</ns0:t>
        </ns0:is>
      </ns0:c>
      <ns0:c r="V4" s="17" t="inlineStr">
        <ns0:is>
          <ns0:t>58e4e1e6d1ae981bc27217fd90ac31d34660d313ce095820052e13d7c065e1ab</ns0:t>
        </ns0:is>
      </ns0:c>
      <ns0:c r="W4" s="5" t="inlineStr">
        <ns0:is>
          <ns0:t>Malik-main</ns0:t>
        </ns0:is>
      </ns0:c>
    </ns0:row>
    <ns0:row r="5" ht="45" customHeight="1">
      <ns0:c r="A5" s="5" t="n">
        <ns0:v>4</ns0:v>
      </ns0:c>
      <ns0:c r="B5" s="5" t="inlineStr">
        <ns0:is>
          <ns0:t>10.1016/j.apcata.2018.04.036</ns0:t>
        </ns0:is>
      </ns0:c>
      <ns0:c r="C5" s="5" t="inlineStr">
        <ns0:is>
          <ns0:t>5PC</ns0:t>
        </ns0:is>
      </ns0:c>
      <ns0:c r="D5" s="5" t="inlineStr">
        <ns0:is>
          <ns0:t>Table 6, 5PC, 220 °C</ns0:t>
        </ns0:is>
      </ns0:c>
      <ns0:c r="E5" s="5" t="inlineStr">
        <ns0:is>
          <ns0:t>CH3OH selectivity</ns0:t>
        </ns0:is>
      </ns0:c>
      <ns0:c r="F5" s="5" t="n">
        <ns0:v>70.09999999999999</ns0:v>
      </ns0:c>
      <ns0:c r="G5" s="5" t="inlineStr">
        <ns0:is>
          <ns0:t>%</ns0:t>
        </ns0:is>
      </ns0:c>
      <ns0:c r="H5" s="5" t="inlineStr">
        <ns0:is>
          <ns0:t>=</ns0:t>
        </ns0:is>
      </ns0:c>
      <ns0:c r="I5" s="5" t="n">
        <ns0:v>70.09999999999999</ns0:v>
      </ns0:c>
      <ns0:c r="J5" s="5" t="n">
        <ns0:v>70.09999999999999</ns0:v>
      </ns0:c>
      <ns0:c r="K5" s="5" t="n"/>
      <ns0:c r="L5" s="15">
        <ns0:f>J5</ns0:f>
        <ns0:v>70.1</ns0:v>
      </ns0:c>
      <ns0:c r="M5" s="15">
        <ns0:f>I5-L5</ns0:f>
        <ns0:v>0.0</ns0:v>
      </ns0:c>
      <ns0:c r="N5" s="15" t="str">
        <ns0:f>IF(ABS(M5)&lt;0.0000001,"MATCH","MISMATCH")</ns0:f>
        <ns0:v>MATCH</ns0:v>
      </ns0:c>
      <ns0:c r="O5" s="16" t="inlineStr">
        <ns0:is>
          <ns0:t>直接印刷/单位等价</ns0:t>
        </ns0:is>
      </ns0:c>
      <ns0:c r="P5" s="5" t="inlineStr">
        <ns0:is>
          <ns0:t>Y: 原文表/正文/图注明确数字</ns0:t>
        </ns0:is>
      </ns0:c>
      <ns0:c r="Q5" s="17" t="inlineStr">
        <ns0:is>
          <ns0:t>5PC: CH3OH Sel. 70.1%</ns0:t>
        </ns0:is>
      </ns0:c>
      <ns0:c r="R5" s="5" t="inlineStr">
        <ns0:is>
          <ns0:t>PDF第8页</ns0:t>
        </ns0:is>
      </ns0:c>
      <ns0:c r="S5" s="5" t="inlineStr">
        <ns0:is>
          <ns0:t>Table 6, 5PC row；5PC X=1.7, SMeOH=70.1, SCO=27.6, SCH4=2.3</ns0:t>
        </ns0:is>
      </ns0:c>
      <ns0:c r="T5" s="5" t="inlineStr">
        <ns0:is>
          <ns0:t>原文数值及工况相符</ns0:t>
        </ns0:is>
      </ns0:c>
      <ns0:c r="U5" s="18" t="inlineStr">
        <ns0:is>
          <ns0:t>https://drive.google.com/file/d/1--kU_GkfzNu3dB71N5o_RA6ri2lVgEcj/view</ns0:t>
        </ns0:is>
      </ns0:c>
      <ns0:c r="V5" s="17" t="inlineStr">
        <ns0:is>
          <ns0:t>58e4e1e6d1ae981bc27217fd90ac31d34660d313ce095820052e13d7c065e1ab</ns0:t>
        </ns0:is>
      </ns0:c>
      <ns0:c r="W5" s="5" t="inlineStr">
        <ns0:is>
          <ns0:t>Malik-main</ns0:t>
        </ns0:is>
      </ns0:c>
    </ns0:row>
    <ns0:row r="6" ht="45" customHeight="1">
      <ns0:c r="A6" s="5" t="n">
        <ns0:v>5</ns0:v>
      </ns0:c>
      <ns0:c r="B6" s="5" t="inlineStr">
        <ns0:is>
          <ns0:t>10.1016/j.apcata.2018.04.036</ns0:t>
        </ns0:is>
      </ns0:c>
      <ns0:c r="C6" s="5" t="inlineStr">
        <ns0:is>
          <ns0:t>0.5Ca5P5ZC</ns0:t>
        </ns0:is>
      </ns0:c>
      <ns0:c r="D6" s="5" t="inlineStr">
        <ns0:is>
          <ns0:t>Table 6, 0.5Ca5P5ZC, 220 °C</ns0:t>
        </ns0:is>
      </ns0:c>
      <ns0:c r="E6" s="5" t="inlineStr">
        <ns0:is>
          <ns0:t>CH4 selectivity</ns0:t>
        </ns0:is>
      </ns0:c>
      <ns0:c r="F6" s="5" t="n">
        <ns0:v>0</ns0:v>
      </ns0:c>
      <ns0:c r="G6" s="5" t="inlineStr">
        <ns0:is>
          <ns0:t>%</ns0:t>
        </ns0:is>
      </ns0:c>
      <ns0:c r="H6" s="5" t="inlineStr">
        <ns0:is>
          <ns0:t>=</ns0:t>
        </ns0:is>
      </ns0:c>
      <ns0:c r="I6" s="5" t="n">
        <ns0:v>0</ns0:v>
      </ns0:c>
      <ns0:c r="J6" s="5" t="n">
        <ns0:v>0</ns0:v>
      </ns0:c>
      <ns0:c r="K6" s="5" t="n"/>
      <ns0:c r="L6" s="15">
        <ns0:f>J6</ns0:f>
        <ns0:v>0.0</ns0:v>
      </ns0:c>
      <ns0:c r="M6" s="15">
        <ns0:f>I6-L6</ns0:f>
        <ns0:v>0.0</ns0:v>
      </ns0:c>
      <ns0:c r="N6" s="15" t="str">
        <ns0:f>IF(ABS(M6)&lt;0.0000001,"MATCH","MISMATCH")</ns0:f>
        <ns0:v>MATCH</ns0:v>
      </ns0:c>
      <ns0:c r="O6" s="16" t="inlineStr">
        <ns0:is>
          <ns0:t>直接印刷/单位等价</ns0:t>
        </ns0:is>
      </ns0:c>
      <ns0:c r="P6" s="5" t="inlineStr">
        <ns0:is>
          <ns0:t>Y: 原文表/正文/图注明确数字</ns0:t>
        </ns0:is>
      </ns0:c>
      <ns0:c r="Q6" s="17" t="inlineStr">
        <ns0:is>
          <ns0:t>0.5Ca5P5ZC: CH4 Sel. 0%</ns0:t>
        </ns0:is>
      </ns0:c>
      <ns0:c r="R6" s="5" t="inlineStr">
        <ns0:is>
          <ns0:t>PDF第8页</ns0:t>
        </ns0:is>
      </ns0:c>
      <ns0:c r="S6" s="5" t="inlineStr">
        <ns0:is>
          <ns0:t>Table 6, 0.5Ca5P5ZC row；0.5Ca5P5ZC X=7.7, SMeOH=100, SCO=0, SCH4=0</ns0:t>
        </ns0:is>
      </ns0:c>
      <ns0:c r="T6" s="5" t="inlineStr">
        <ns0:is>
          <ns0:t>原文数值及工况相符</ns0:t>
        </ns0:is>
      </ns0:c>
      <ns0:c r="U6" s="18" t="inlineStr">
        <ns0:is>
          <ns0:t>https://drive.google.com/file/d/1--kU_GkfzNu3dB71N5o_RA6ri2lVgEcj/view</ns0:t>
        </ns0:is>
      </ns0:c>
      <ns0:c r="V6" s="17" t="inlineStr">
        <ns0:is>
          <ns0:t>58e4e1e6d1ae981bc27217fd90ac31d34660d313ce095820052e13d7c065e1ab</ns0:t>
        </ns0:is>
      </ns0:c>
      <ns0:c r="W6" s="5" t="inlineStr">
        <ns0:is>
          <ns0:t>Malik-main</ns0:t>
        </ns0:is>
      </ns0:c>
    </ns0:row>
    <ns0:row r="7" ht="45" customHeight="1">
      <ns0:c r="A7" s="5" t="n">
        <ns0:v>6</ns0:v>
      </ns0:c>
      <ns0:c r="B7" s="5" t="inlineStr">
        <ns0:is>
          <ns0:t>10.1016/j.apcata.2018.04.036</ns0:t>
        </ns0:is>
      </ns0:c>
      <ns0:c r="C7" s="5" t="inlineStr">
        <ns0:is>
          <ns0:t>5PC</ns0:t>
        </ns0:is>
      </ns0:c>
      <ns0:c r="D7" s="5" t="inlineStr">
        <ns0:is>
          <ns0:t>Table 6, 5PC, 220 °C</ns0:t>
        </ns0:is>
      </ns0:c>
      <ns0:c r="E7" s="5" t="inlineStr">
        <ns0:is>
          <ns0:t>H2/CO2</ns0:t>
        </ns0:is>
      </ns0:c>
      <ns0:c r="F7" s="5" t="n">
        <ns0:v>3</ns0:v>
      </ns0:c>
      <ns0:c r="G7" s="5" t="inlineStr">
        <ns0:is>
          <ns0:t>mol/mol</ns0:t>
        </ns0:is>
      </ns0:c>
      <ns0:c r="H7" s="5" t="inlineStr"/>
      <ns0:c r="I7" s="5" t="n">
        <ns0:v>3</ns0:v>
      </ns0:c>
      <ns0:c r="J7" s="5" t="n">
        <ns0:v>3</ns0:v>
      </ns0:c>
      <ns0:c r="K7" s="5" t="n"/>
      <ns0:c r="L7" s="15">
        <ns0:f>J7</ns0:f>
        <ns0:v>3.0</ns0:v>
      </ns0:c>
      <ns0:c r="M7" s="15">
        <ns0:f>I7-L7</ns0:f>
        <ns0:v>0.0</ns0:v>
      </ns0:c>
      <ns0:c r="N7" s="15" t="str">
        <ns0:f>IF(ABS(M7)&lt;0.0000001,"MATCH","MISMATCH")</ns0:f>
        <ns0:v>MATCH</ns0:v>
      </ns0:c>
      <ns0:c r="O7" s="16" t="inlineStr">
        <ns0:is>
          <ns0:t>直接印刷/单位等价</ns0:t>
        </ns0:is>
      </ns0:c>
      <ns0:c r="P7" s="5" t="inlineStr">
        <ns0:is>
          <ns0:t>Y: 原文表/正文/图注明确数字</ns0:t>
        </ns0:is>
      </ns0:c>
      <ns0:c r="Q7" s="17" t="inlineStr">
        <ns0:is>
          <ns0:t>V(H2)/V(CO2)=3</ns0:t>
        </ns0:is>
      </ns0:c>
      <ns0:c r="R7" s="5" t="inlineStr">
        <ns0:is>
          <ns0:t>PDF第8页</ns0:t>
        </ns0:is>
      </ns0:c>
      <ns0:c r="S7" s="5" t="inlineStr">
        <ns0:is>
          <ns0:t>Table 6 reaction conditions；Shared feed applies to 5PC row</ns0:t>
        </ns0:is>
      </ns0:c>
      <ns0:c r="T7" s="5" t="inlineStr">
        <ns0:is>
          <ns0:t>原文数值及工况相符</ns0:t>
        </ns0:is>
      </ns0:c>
      <ns0:c r="U7" s="18" t="inlineStr">
        <ns0:is>
          <ns0:t>https://drive.google.com/file/d/1--kU_GkfzNu3dB71N5o_RA6ri2lVgEcj/view</ns0:t>
        </ns0:is>
      </ns0:c>
      <ns0:c r="V7" s="17" t="inlineStr">
        <ns0:is>
          <ns0:t>58e4e1e6d1ae981bc27217fd90ac31d34660d313ce095820052e13d7c065e1ab</ns0:t>
        </ns0:is>
      </ns0:c>
      <ns0:c r="W7" s="5" t="inlineStr">
        <ns0:is>
          <ns0:t>Malik-main</ns0:t>
        </ns0:is>
      </ns0:c>
    </ns0:row>
    <ns0:row r="8" ht="45" customHeight="1">
      <ns0:c r="A8" s="5" t="n">
        <ns0:v>7</ns0:v>
      </ns0:c>
      <ns0:c r="B8" s="5" t="inlineStr">
        <ns0:is>
          <ns0:t>10.1016/j.apcata.2018.04.036</ns0:t>
        </ns0:is>
      </ns0:c>
      <ns0:c r="C8" s="5" t="inlineStr">
        <ns0:is>
          <ns0:t>5PC</ns0:t>
        </ns0:is>
      </ns0:c>
      <ns0:c r="D8" s="5" t="inlineStr">
        <ns0:is>
          <ns0:t>Table 6, 5PC, 220 °C</ns0:t>
        </ns0:is>
      </ns0:c>
      <ns0:c r="E8" s="5" t="inlineStr">
        <ns0:is>
          <ns0:t>CH4 selectivity</ns0:t>
        </ns0:is>
      </ns0:c>
      <ns0:c r="F8" s="5" t="n">
        <ns0:v>2.3</ns0:v>
      </ns0:c>
      <ns0:c r="G8" s="5" t="inlineStr">
        <ns0:is>
          <ns0:t>%</ns0:t>
        </ns0:is>
      </ns0:c>
      <ns0:c r="H8" s="5" t="inlineStr">
        <ns0:is>
          <ns0:t>=</ns0:t>
        </ns0:is>
      </ns0:c>
      <ns0:c r="I8" s="5" t="n">
        <ns0:v>2.3</ns0:v>
      </ns0:c>
      <ns0:c r="J8" s="5" t="n">
        <ns0:v>2.3</ns0:v>
      </ns0:c>
      <ns0:c r="K8" s="5" t="n"/>
      <ns0:c r="L8" s="15">
        <ns0:f>J8</ns0:f>
        <ns0:v>2.3</ns0:v>
      </ns0:c>
      <ns0:c r="M8" s="15">
        <ns0:f>I8-L8</ns0:f>
        <ns0:v>0.0</ns0:v>
      </ns0:c>
      <ns0:c r="N8" s="15" t="str">
        <ns0:f>IF(ABS(M8)&lt;0.0000001,"MATCH","MISMATCH")</ns0:f>
        <ns0:v>MATCH</ns0:v>
      </ns0:c>
      <ns0:c r="O8" s="16" t="inlineStr">
        <ns0:is>
          <ns0:t>直接印刷/单位等价</ns0:t>
        </ns0:is>
      </ns0:c>
      <ns0:c r="P8" s="5" t="inlineStr">
        <ns0:is>
          <ns0:t>Y: 原文表/正文/图注明确数字</ns0:t>
        </ns0:is>
      </ns0:c>
      <ns0:c r="Q8" s="17" t="inlineStr">
        <ns0:is>
          <ns0:t>5PC: CH4 Sel. 2.3%</ns0:t>
        </ns0:is>
      </ns0:c>
      <ns0:c r="R8" s="5" t="inlineStr">
        <ns0:is>
          <ns0:t>PDF第8页</ns0:t>
        </ns0:is>
      </ns0:c>
      <ns0:c r="S8" s="5" t="inlineStr">
        <ns0:is>
          <ns0:t>Table 6, 5PC row；5PC X=1.7, SMeOH=70.1, SCO=27.6, SCH4=2.3</ns0:t>
        </ns0:is>
      </ns0:c>
      <ns0:c r="T8" s="5" t="inlineStr">
        <ns0:is>
          <ns0:t>原文数值及工况相符</ns0:t>
        </ns0:is>
      </ns0:c>
      <ns0:c r="U8" s="18" t="inlineStr">
        <ns0:is>
          <ns0:t>https://drive.google.com/file/d/1--kU_GkfzNu3dB71N5o_RA6ri2lVgEcj/view</ns0:t>
        </ns0:is>
      </ns0:c>
      <ns0:c r="V8" s="17" t="inlineStr">
        <ns0:is>
          <ns0:t>58e4e1e6d1ae981bc27217fd90ac31d34660d313ce095820052e13d7c065e1ab</ns0:t>
        </ns0:is>
      </ns0:c>
      <ns0:c r="W8" s="5" t="inlineStr">
        <ns0:is>
          <ns0:t>Malik-main</ns0:t>
        </ns0:is>
      </ns0:c>
    </ns0:row>
    <ns0:row r="9" ht="45" customHeight="1">
      <ns0:c r="A9" s="5" t="n">
        <ns0:v>8</ns0:v>
      </ns0:c>
      <ns0:c r="B9" s="5" t="inlineStr">
        <ns0:is>
          <ns0:t>10.1016/j.apcata.2018.04.036</ns0:t>
        </ns0:is>
      </ns0:c>
      <ns0:c r="C9" s="5" t="inlineStr">
        <ns0:is>
          <ns0:t>5PC</ns0:t>
        </ns0:is>
      </ns0:c>
      <ns0:c r="D9" s="5" t="inlineStr">
        <ns0:is>
          <ns0:t>Table 6, 5PC, 220 °C</ns0:t>
        </ns0:is>
      </ns0:c>
      <ns0:c r="E9" s="5" t="inlineStr">
        <ns0:is>
          <ns0:t>CO2 conversion</ns0:t>
        </ns0:is>
      </ns0:c>
      <ns0:c r="F9" s="5" t="n">
        <ns0:v>1.7</ns0:v>
      </ns0:c>
      <ns0:c r="G9" s="5" t="inlineStr">
        <ns0:is>
          <ns0:t>%</ns0:t>
        </ns0:is>
      </ns0:c>
      <ns0:c r="H9" s="5" t="inlineStr">
        <ns0:is>
          <ns0:t>=</ns0:t>
        </ns0:is>
      </ns0:c>
      <ns0:c r="I9" s="5" t="n">
        <ns0:v>1.7</ns0:v>
      </ns0:c>
      <ns0:c r="J9" s="5" t="n">
        <ns0:v>1.7</ns0:v>
      </ns0:c>
      <ns0:c r="K9" s="5" t="n"/>
      <ns0:c r="L9" s="15">
        <ns0:f>J9</ns0:f>
        <ns0:v>1.7</ns0:v>
      </ns0:c>
      <ns0:c r="M9" s="15">
        <ns0:f>I9-L9</ns0:f>
        <ns0:v>0.0</ns0:v>
      </ns0:c>
      <ns0:c r="N9" s="15" t="str">
        <ns0:f>IF(ABS(M9)&lt;0.0000001,"MATCH","MISMATCH")</ns0:f>
        <ns0:v>MATCH</ns0:v>
      </ns0:c>
      <ns0:c r="O9" s="16" t="inlineStr">
        <ns0:is>
          <ns0:t>直接印刷/单位等价</ns0:t>
        </ns0:is>
      </ns0:c>
      <ns0:c r="P9" s="5" t="inlineStr">
        <ns0:is>
          <ns0:t>Y: 原文表/正文/图注明确数字</ns0:t>
        </ns0:is>
      </ns0:c>
      <ns0:c r="Q9" s="17" t="inlineStr">
        <ns0:is>
          <ns0:t>5PC: CO2 Conv. 1.7%</ns0:t>
        </ns0:is>
      </ns0:c>
      <ns0:c r="R9" s="5" t="inlineStr">
        <ns0:is>
          <ns0:t>PDF第8页</ns0:t>
        </ns0:is>
      </ns0:c>
      <ns0:c r="S9" s="5" t="inlineStr">
        <ns0:is>
          <ns0:t>Table 6, 5PC row；5PC X=1.7, SMeOH=70.1, SCO=27.6, SCH4=2.3</ns0:t>
        </ns0:is>
      </ns0:c>
      <ns0:c r="T9" s="5" t="inlineStr">
        <ns0:is>
          <ns0:t>原文数值及工况相符</ns0:t>
        </ns0:is>
      </ns0:c>
      <ns0:c r="U9" s="18" t="inlineStr">
        <ns0:is>
          <ns0:t>https://drive.google.com/file/d/1--kU_GkfzNu3dB71N5o_RA6ri2lVgEcj/view</ns0:t>
        </ns0:is>
      </ns0:c>
      <ns0:c r="V9" s="17" t="inlineStr">
        <ns0:is>
          <ns0:t>58e4e1e6d1ae981bc27217fd90ac31d34660d313ce095820052e13d7c065e1ab</ns0:t>
        </ns0:is>
      </ns0:c>
      <ns0:c r="W9" s="5" t="inlineStr">
        <ns0:is>
          <ns0:t>Malik-main</ns0:t>
        </ns0:is>
      </ns0:c>
    </ns0:row>
    <ns0:row r="10" ht="45" customHeight="1">
      <ns0:c r="A10" s="5" t="n">
        <ns0:v>9</ns0:v>
      </ns0:c>
      <ns0:c r="B10" s="5" t="inlineStr">
        <ns0:is>
          <ns0:t>10.1016/j.apcata.2018.04.036</ns0:t>
        </ns0:is>
      </ns0:c>
      <ns0:c r="C10" s="5" t="inlineStr">
        <ns0:is>
          <ns0:t>5P5ZC</ns0:t>
        </ns0:is>
      </ns0:c>
      <ns0:c r="D10" s="5" t="inlineStr">
        <ns0:is>
          <ns0:t>Table 6, 5P5ZC, 220 °C</ns0:t>
        </ns0:is>
      </ns0:c>
      <ns0:c r="E10" s="5" t="inlineStr">
        <ns0:is>
          <ns0:t>H2/CO2</ns0:t>
        </ns0:is>
      </ns0:c>
      <ns0:c r="F10" s="5" t="n">
        <ns0:v>3</ns0:v>
      </ns0:c>
      <ns0:c r="G10" s="5" t="inlineStr">
        <ns0:is>
          <ns0:t>mol/mol</ns0:t>
        </ns0:is>
      </ns0:c>
      <ns0:c r="H10" s="5" t="inlineStr"/>
      <ns0:c r="I10" s="5" t="n">
        <ns0:v>3</ns0:v>
      </ns0:c>
      <ns0:c r="J10" s="5" t="n">
        <ns0:v>3</ns0:v>
      </ns0:c>
      <ns0:c r="K10" s="5" t="n"/>
      <ns0:c r="L10" s="15">
        <ns0:f>J10</ns0:f>
        <ns0:v>3.0</ns0:v>
      </ns0:c>
      <ns0:c r="M10" s="15">
        <ns0:f>I10-L10</ns0:f>
        <ns0:v>0.0</ns0:v>
      </ns0:c>
      <ns0:c r="N10" s="15" t="str">
        <ns0:f>IF(ABS(M10)&lt;0.0000001,"MATCH","MISMATCH")</ns0:f>
        <ns0:v>MATCH</ns0:v>
      </ns0:c>
      <ns0:c r="O10" s="16" t="inlineStr">
        <ns0:is>
          <ns0:t>直接印刷/单位等价</ns0:t>
        </ns0:is>
      </ns0:c>
      <ns0:c r="P10" s="5" t="inlineStr">
        <ns0:is>
          <ns0:t>Y: 原文表/正文/图注明确数字</ns0:t>
        </ns0:is>
      </ns0:c>
      <ns0:c r="Q10" s="17" t="inlineStr">
        <ns0:is>
          <ns0:t>V(H2)/V(CO2)=3</ns0:t>
        </ns0:is>
      </ns0:c>
      <ns0:c r="R10" s="5" t="inlineStr">
        <ns0:is>
          <ns0:t>PDF第8页</ns0:t>
        </ns0:is>
      </ns0:c>
      <ns0:c r="S10" s="5" t="inlineStr">
        <ns0:is>
          <ns0:t>Table 6 reaction conditions；Shared feed applies to 5P5ZC</ns0:t>
        </ns0:is>
      </ns0:c>
      <ns0:c r="T10" s="5" t="inlineStr">
        <ns0:is>
          <ns0:t>原文数值及工况相符</ns0:t>
        </ns0:is>
      </ns0:c>
      <ns0:c r="U10" s="18" t="inlineStr">
        <ns0:is>
          <ns0:t>https://drive.google.com/file/d/1--kU_GkfzNu3dB71N5o_RA6ri2lVgEcj/view</ns0:t>
        </ns0:is>
      </ns0:c>
      <ns0:c r="V10" s="17" t="inlineStr">
        <ns0:is>
          <ns0:t>58e4e1e6d1ae981bc27217fd90ac31d34660d313ce095820052e13d7c065e1ab</ns0:t>
        </ns0:is>
      </ns0:c>
      <ns0:c r="W10" s="5" t="inlineStr">
        <ns0:is>
          <ns0:t>Malik-main</ns0:t>
        </ns0:is>
      </ns0:c>
    </ns0:row>
    <ns0:row r="11" ht="45" customHeight="1">
      <ns0:c r="A11" s="5" t="n">
        <ns0:v>10</ns0:v>
      </ns0:c>
      <ns0:c r="B11" s="5" t="inlineStr">
        <ns0:is>
          <ns0:t>10.1016/j.apcata.2018.04.036</ns0:t>
        </ns0:is>
      </ns0:c>
      <ns0:c r="C11" s="5" t="inlineStr">
        <ns0:is>
          <ns0:t>0.5Ca5P5ZC</ns0:t>
        </ns0:is>
      </ns0:c>
      <ns0:c r="D11" s="5" t="inlineStr">
        <ns0:is>
          <ns0:t>Table 6, 0.5Ca5P5ZC, 220 °C</ns0:t>
        </ns0:is>
      </ns0:c>
      <ns0:c r="E11" s="5" t="inlineStr">
        <ns0:is>
          <ns0:t>CO selectivity</ns0:t>
        </ns0:is>
      </ns0:c>
      <ns0:c r="F11" s="5" t="n">
        <ns0:v>0</ns0:v>
      </ns0:c>
      <ns0:c r="G11" s="5" t="inlineStr">
        <ns0:is>
          <ns0:t>%</ns0:t>
        </ns0:is>
      </ns0:c>
      <ns0:c r="H11" s="5" t="inlineStr">
        <ns0:is>
          <ns0:t>=</ns0:t>
        </ns0:is>
      </ns0:c>
      <ns0:c r="I11" s="5" t="n">
        <ns0:v>0</ns0:v>
      </ns0:c>
      <ns0:c r="J11" s="5" t="n">
        <ns0:v>0</ns0:v>
      </ns0:c>
      <ns0:c r="K11" s="5" t="n"/>
      <ns0:c r="L11" s="15">
        <ns0:f>J11</ns0:f>
        <ns0:v>0.0</ns0:v>
      </ns0:c>
      <ns0:c r="M11" s="15">
        <ns0:f>I11-L11</ns0:f>
        <ns0:v>0.0</ns0:v>
      </ns0:c>
      <ns0:c r="N11" s="15" t="str">
        <ns0:f>IF(ABS(M11)&lt;0.0000001,"MATCH","MISMATCH")</ns0:f>
        <ns0:v>MATCH</ns0:v>
      </ns0:c>
      <ns0:c r="O11" s="16" t="inlineStr">
        <ns0:is>
          <ns0:t>直接印刷/单位等价</ns0:t>
        </ns0:is>
      </ns0:c>
      <ns0:c r="P11" s="5" t="inlineStr">
        <ns0:is>
          <ns0:t>Y: 原文表/正文/图注明确数字</ns0:t>
        </ns0:is>
      </ns0:c>
      <ns0:c r="Q11" s="17" t="inlineStr">
        <ns0:is>
          <ns0:t>0.5Ca5P5ZC: CO Sel. 0%</ns0:t>
        </ns0:is>
      </ns0:c>
      <ns0:c r="R11" s="5" t="inlineStr">
        <ns0:is>
          <ns0:t>PDF第8页</ns0:t>
        </ns0:is>
      </ns0:c>
      <ns0:c r="S11" s="5" t="inlineStr">
        <ns0:is>
          <ns0:t>Table 6, 0.5Ca5P5ZC row；0.5Ca5P5ZC X=7.7, SMeOH=100, SCO=0, SCH4=0</ns0:t>
        </ns0:is>
      </ns0:c>
      <ns0:c r="T11" s="5" t="inlineStr">
        <ns0:is>
          <ns0:t>原文数值及工况相符</ns0:t>
        </ns0:is>
      </ns0:c>
      <ns0:c r="U11" s="18" t="inlineStr">
        <ns0:is>
          <ns0:t>https://drive.google.com/file/d/1--kU_GkfzNu3dB71N5o_RA6ri2lVgEcj/view</ns0:t>
        </ns0:is>
      </ns0:c>
      <ns0:c r="V11" s="17" t="inlineStr">
        <ns0:is>
          <ns0:t>58e4e1e6d1ae981bc27217fd90ac31d34660d313ce095820052e13d7c065e1ab</ns0:t>
        </ns0:is>
      </ns0:c>
      <ns0:c r="W11" s="5" t="inlineStr">
        <ns0:is>
          <ns0:t>Malik-main</ns0:t>
        </ns0:is>
      </ns0:c>
    </ns0:row>
    <ns0:row r="12" ht="45" customHeight="1">
      <ns0:c r="A12" s="5" t="n">
        <ns0:v>11</ns0:v>
      </ns0:c>
      <ns0:c r="B12" s="5" t="inlineStr">
        <ns0:is>
          <ns0:t>10.1126/sciadv.abi6012</ns0:t>
        </ns0:is>
      </ns0:c>
      <ns0:c r="C12" s="5" t="inlineStr">
        <ns0:is>
          <ns0:t>a-ZrO2</ns0:t>
        </ns0:is>
      </ns0:c>
      <ns0:c r="D12" s="5" t="inlineStr">
        <ns0:is>
          <ns0:t>SI Table S2 row a-ZrO2</ns0:t>
        </ns0:is>
      </ns0:c>
      <ns0:c r="E12" s="5" t="inlineStr">
        <ns0:is>
          <ns0:t>CO selectivity</ns0:t>
        </ns0:is>
      </ns0:c>
      <ns0:c r="F12" s="5" t="n">
        <ns0:v>26.8</ns0:v>
      </ns0:c>
      <ns0:c r="G12" s="5" t="inlineStr">
        <ns0:is>
          <ns0:t>%</ns0:t>
        </ns0:is>
      </ns0:c>
      <ns0:c r="H12" s="5" t="inlineStr">
        <ns0:is>
          <ns0:t>=</ns0:t>
        </ns0:is>
      </ns0:c>
      <ns0:c r="I12" s="5" t="n">
        <ns0:v>26.8</ns0:v>
      </ns0:c>
      <ns0:c r="J12" s="5" t="n">
        <ns0:v>26.8</ns0:v>
      </ns0:c>
      <ns0:c r="K12" s="5" t="n"/>
      <ns0:c r="L12" s="15">
        <ns0:f>J12</ns0:f>
        <ns0:v>26.8</ns0:v>
      </ns0:c>
      <ns0:c r="M12" s="15">
        <ns0:f>I12-L12</ns0:f>
        <ns0:v>0.0</ns0:v>
      </ns0:c>
      <ns0:c r="N12" s="15" t="str">
        <ns0:f>IF(ABS(M12)&lt;0.0000001,"MATCH","MISMATCH")</ns0:f>
        <ns0:v>MATCH</ns0:v>
      </ns0:c>
      <ns0:c r="O12" s="16" t="inlineStr">
        <ns0:is>
          <ns0:t>直接印刷/单位等价</ns0:t>
        </ns0:is>
      </ns0:c>
      <ns0:c r="P12" s="5" t="inlineStr">
        <ns0:is>
          <ns0:t>Y: 原文表/正文/图注明确数字</ns0:t>
        </ns0:is>
      </ns0:c>
      <ns0:c r="Q12" s="17" t="inlineStr">
        <ns0:is>
          <ns0:t>a-ZrO2: CO selectivity 26.8%</ns0:t>
        </ns0:is>
      </ns0:c>
      <ns0:c r="R12" s="5" t="inlineStr">
        <ns0:is>
          <ns0:t>PDF第19页</ns0:t>
        </ns0:is>
      </ns0:c>
      <ns0:c r="S12" s="5" t="inlineStr">
        <ns0:is>
          <ns0:t>Table S2, a-ZrO2 row, CO</ns0:t>
        </ns0:is>
      </ns0:c>
      <ns0:c r="T12" s="5" t="inlineStr">
        <ns0:is>
          <ns0:t>原文数值及工况相符</ns0:t>
        </ns0:is>
      </ns0:c>
      <ns0:c r="U12" s="18" t="inlineStr">
        <ns0:is>
          <ns0:t>https://drive.google.com/file/d/1w4nbo1f-SQjZ1_mP63Uc7HuFbekYMUyA/view</ns0:t>
        </ns0:is>
      </ns0:c>
      <ns0:c r="V12" s="17" t="inlineStr">
        <ns0:is>
          <ns0:t>ebff6b65cec05a24ea067333c5cb805b9dcc83408f1205ac2781c578bde9b866</ns0:t>
        </ns0:is>
      </ns0:c>
      <ns0:c r="W12" s="5" t="inlineStr">
        <ns0:is>
          <ns0:t>Meng-SI</ns0:t>
        </ns0:is>
      </ns0:c>
    </ns0:row>
    <ns0:row r="13" ht="45" customHeight="1">
      <ns0:c r="A13" s="5" t="n">
        <ns0:v>12</ns0:v>
      </ns0:c>
      <ns0:c r="B13" s="5" t="inlineStr">
        <ns0:is>
          <ns0:t>10.1126/sciadv.abi6012</ns0:t>
        </ns0:is>
      </ns0:c>
      <ns0:c r="C13" s="5" t="inlineStr">
        <ns0:is>
          <ns0:t>InNi3C0.5/t-ZrO2</ns0:t>
        </ns0:is>
      </ns0:c>
      <ns0:c r="D13" s="5" t="inlineStr">
        <ns0:is>
          <ns0:t>Fig. 2B, InNi3C0.5/t-ZrO2, 24000 ml gcat-1 hour-1</ns0:t>
        </ns0:is>
      </ns0:c>
      <ns0:c r="E13" s="5" t="inlineStr">
        <ns0:is>
          <ns0:t>STY (printed)</ns0:t>
        </ns0:is>
      </ns0:c>
      <ns0:c r="F13" s="5" t="inlineStr">
        <ns0:is>
          <ns0:t>0.3 gMeOH gcat−1 hour−1</ns0:t>
        </ns0:is>
      </ns0:c>
      <ns0:c r="G13" s="5" t="inlineStr">
        <ns0:is>
          <ns0:t>as printed</ns0:t>
        </ns0:is>
      </ns0:c>
      <ns0:c r="H13" s="5" t="inlineStr">
        <ns0:is>
          <ns0:t>=</ns0:t>
        </ns0:is>
      </ns0:c>
      <ns0:c r="I13" s="5" t="n">
        <ns0:v>0.3</ns0:v>
      </ns0:c>
      <ns0:c r="J13" s="5" t="n">
        <ns0:v>0.3</ns0:v>
      </ns0:c>
      <ns0:c r="K13" s="5" t="n"/>
      <ns0:c r="L13" s="15">
        <ns0:f>J13</ns0:f>
        <ns0:v>0.3</ns0:v>
      </ns0:c>
      <ns0:c r="M13" s="15">
        <ns0:f>I13-L13</ns0:f>
        <ns0:v>0.0</ns0:v>
      </ns0:c>
      <ns0:c r="N13" s="15" t="str">
        <ns0:f>IF(ABS(M13)&lt;0.0000001,"MATCH","MISMATCH")</ns0:f>
        <ns0:v>MATCH</ns0:v>
      </ns0:c>
      <ns0:c r="O13" s="16" t="inlineStr">
        <ns0:is>
          <ns0:t>直接印刷/单位等价</ns0:t>
        </ns0:is>
      </ns0:c>
      <ns0:c r="P13" s="5" t="inlineStr">
        <ns0:is>
          <ns0:t>Y: 原文表/正文/图注明确数字</ns0:t>
        </ns0:is>
      </ns0:c>
      <ns0:c r="Q13" s="17" t="inlineStr">
        <ns0:is>
          <ns0:t>0.30 gMeOH gcat^-1 h^-1</ns0:t>
        </ns0:is>
      </ns0:c>
      <ns0:c r="R13" s="5" t="inlineStr">
        <ns0:is>
          <ns0:t>PDF第20页</ns0:t>
        </ns0:is>
      </ns0:c>
      <ns0:c r="S13" s="5" t="inlineStr">
        <ns0:is>
          <ns0:t>Table S3, InNi3C0.5/t-ZrO2 row, STY；Table S3 300°C/4MPa/GHSV=24000</ns0:t>
        </ns0:is>
      </ns0:c>
      <ns0:c r="T13" s="5" t="inlineStr">
        <ns0:is>
          <ns0:t>原文数值及工况相符</ns0:t>
        </ns0:is>
      </ns0:c>
      <ns0:c r="U13" s="18" t="inlineStr">
        <ns0:is>
          <ns0:t>https://drive.google.com/file/d/1w4nbo1f-SQjZ1_mP63Uc7HuFbekYMUyA/view</ns0:t>
        </ns0:is>
      </ns0:c>
      <ns0:c r="V13" s="17" t="inlineStr">
        <ns0:is>
          <ns0:t>ebff6b65cec05a24ea067333c5cb805b9dcc83408f1205ac2781c578bde9b866</ns0:t>
        </ns0:is>
      </ns0:c>
      <ns0:c r="W13" s="5" t="inlineStr">
        <ns0:is>
          <ns0:t>Meng-SI</ns0:t>
        </ns0:is>
      </ns0:c>
    </ns0:row>
    <ns0:row r="14" ht="45" customHeight="1">
      <ns0:c r="A14" s="5" t="n">
        <ns0:v>13</ns0:v>
      </ns0:c>
      <ns0:c r="B14" s="5" t="inlineStr">
        <ns0:is>
          <ns0:t>10.1126/sciadv.abi6012</ns0:t>
        </ns0:is>
      </ns0:c>
      <ns0:c r="C14" s="5" t="inlineStr">
        <ns0:is>
          <ns0:t>SiO2</ns0:t>
        </ns0:is>
      </ns0:c>
      <ns0:c r="D14" s="5" t="inlineStr">
        <ns0:is>
          <ns0:t>SI Table S2 row SiO2</ns0:t>
        </ns0:is>
      </ns0:c>
      <ns0:c r="E14" s="5" t="inlineStr">
        <ns0:is>
          <ns0:t>H2/CO2</ns0:t>
        </ns0:is>
      </ns0:c>
      <ns0:c r="F14" s="5" t="n">
        <ns0:v>3</ns0:v>
      </ns0:c>
      <ns0:c r="G14" s="5" t="inlineStr">
        <ns0:is>
          <ns0:t>mol/mol</ns0:t>
        </ns0:is>
      </ns0:c>
      <ns0:c r="H14" s="5" t="inlineStr"/>
      <ns0:c r="I14" s="5" t="n">
        <ns0:v>3</ns0:v>
      </ns0:c>
      <ns0:c r="J14" s="5" t="n">
        <ns0:v>3</ns0:v>
      </ns0:c>
      <ns0:c r="K14" s="5" t="n"/>
      <ns0:c r="L14" s="15">
        <ns0:f>J14</ns0:f>
        <ns0:v>3.0</ns0:v>
      </ns0:c>
      <ns0:c r="M14" s="15">
        <ns0:f>I14-L14</ns0:f>
        <ns0:v>0.0</ns0:v>
      </ns0:c>
      <ns0:c r="N14" s="15" t="str">
        <ns0:f>IF(ABS(M14)&lt;0.0000001,"MATCH","MISMATCH")</ns0:f>
        <ns0:v>MATCH</ns0:v>
      </ns0:c>
      <ns0:c r="O14" s="16" t="inlineStr">
        <ns0:is>
          <ns0:t>直接印刷/单位等价</ns0:t>
        </ns0:is>
      </ns0:c>
      <ns0:c r="P14" s="5" t="inlineStr">
        <ns0:is>
          <ns0:t>Y: 原文表/正文/图注明确数字</ns0:t>
        </ns0:is>
      </ns0:c>
      <ns0:c r="Q14" s="17" t="inlineStr">
        <ns0:is>
          <ns0:t>H2/CO2=3/1</ns0:t>
        </ns0:is>
      </ns0:c>
      <ns0:c r="R14" s="5" t="inlineStr">
        <ns0:is>
          <ns0:t>PDF第19页</ns0:t>
        </ns0:is>
      </ns0:c>
      <ns0:c r="S14" s="5" t="inlineStr">
        <ns0:is>
          <ns0:t>Table S2, footnote reaction conditions；Same conditions for SiO2 row</ns0:t>
        </ns0:is>
      </ns0:c>
      <ns0:c r="T14" s="5" t="inlineStr">
        <ns0:is>
          <ns0:t>原文数值及工况相符</ns0:t>
        </ns0:is>
      </ns0:c>
      <ns0:c r="U14" s="18" t="inlineStr">
        <ns0:is>
          <ns0:t>https://drive.google.com/file/d/1w4nbo1f-SQjZ1_mP63Uc7HuFbekYMUyA/view</ns0:t>
        </ns0:is>
      </ns0:c>
      <ns0:c r="V14" s="17" t="inlineStr">
        <ns0:is>
          <ns0:t>ebff6b65cec05a24ea067333c5cb805b9dcc83408f1205ac2781c578bde9b866</ns0:t>
        </ns0:is>
      </ns0:c>
      <ns0:c r="W14" s="5" t="inlineStr">
        <ns0:is>
          <ns0:t>Meng-SI</ns0:t>
        </ns0:is>
      </ns0:c>
    </ns0:row>
    <ns0:row r="15" ht="45" customHeight="1">
      <ns0:c r="A15" s="5" t="n">
        <ns0:v>14</ns0:v>
      </ns0:c>
      <ns0:c r="B15" s="5" t="inlineStr">
        <ns0:is>
          <ns0:t>10.1126/sciadv.abi6012</ns0:t>
        </ns0:is>
      </ns0:c>
      <ns0:c r="C15" s="5" t="inlineStr">
        <ns0:is>
          <ns0:t>InNi3C0.5/ZnO</ns0:t>
        </ns0:is>
      </ns0:c>
      <ns0:c r="D15" s="5" t="inlineStr">
        <ns0:is>
          <ns0:t>SI Table S2 row InNi3C0.5/ZnO</ns0:t>
        </ns0:is>
      </ns0:c>
      <ns0:c r="E15" s="5" t="inlineStr">
        <ns0:is>
          <ns0:t>CO2 conversion</ns0:t>
        </ns0:is>
      </ns0:c>
      <ns0:c r="F15" s="5" t="n">
        <ns0:v>7.8</ns0:v>
      </ns0:c>
      <ns0:c r="G15" s="5" t="inlineStr">
        <ns0:is>
          <ns0:t>%</ns0:t>
        </ns0:is>
      </ns0:c>
      <ns0:c r="H15" s="5" t="inlineStr">
        <ns0:is>
          <ns0:t>=</ns0:t>
        </ns0:is>
      </ns0:c>
      <ns0:c r="I15" s="5" t="n">
        <ns0:v>7.8</ns0:v>
      </ns0:c>
      <ns0:c r="J15" s="5" t="n">
        <ns0:v>7.8</ns0:v>
      </ns0:c>
      <ns0:c r="K15" s="5" t="n"/>
      <ns0:c r="L15" s="15">
        <ns0:f>J15</ns0:f>
        <ns0:v>7.8</ns0:v>
      </ns0:c>
      <ns0:c r="M15" s="15">
        <ns0:f>I15-L15</ns0:f>
        <ns0:v>0.0</ns0:v>
      </ns0:c>
      <ns0:c r="N15" s="15" t="str">
        <ns0:f>IF(ABS(M15)&lt;0.0000001,"MATCH","MISMATCH")</ns0:f>
        <ns0:v>MATCH</ns0:v>
      </ns0:c>
      <ns0:c r="O15" s="16" t="inlineStr">
        <ns0:is>
          <ns0:t>直接印刷/单位等价</ns0:t>
        </ns0:is>
      </ns0:c>
      <ns0:c r="P15" s="5" t="inlineStr">
        <ns0:is>
          <ns0:t>Y: 原文表/正文/图注明确数字</ns0:t>
        </ns0:is>
      </ns0:c>
      <ns0:c r="Q15" s="17" t="inlineStr">
        <ns0:is>
          <ns0:t>InNi3C0.5/ZnO: CO2 Conv. 7.8%</ns0:t>
        </ns0:is>
      </ns0:c>
      <ns0:c r="R15" s="5" t="inlineStr">
        <ns0:is>
          <ns0:t>PDF第19页</ns0:t>
        </ns0:is>
      </ns0:c>
      <ns0:c r="S15" s="5" t="inlineStr">
        <ns0:is>
          <ns0:t>Table S2, InNi3C0.5/ZnO row</ns0:t>
        </ns0:is>
      </ns0:c>
      <ns0:c r="T15" s="5" t="inlineStr">
        <ns0:is>
          <ns0:t>原文数值及工况相符</ns0:t>
        </ns0:is>
      </ns0:c>
      <ns0:c r="U15" s="18" t="inlineStr">
        <ns0:is>
          <ns0:t>https://drive.google.com/file/d/1w4nbo1f-SQjZ1_mP63Uc7HuFbekYMUyA/view</ns0:t>
        </ns0:is>
      </ns0:c>
      <ns0:c r="V15" s="17" t="inlineStr">
        <ns0:is>
          <ns0:t>ebff6b65cec05a24ea067333c5cb805b9dcc83408f1205ac2781c578bde9b866</ns0:t>
        </ns0:is>
      </ns0:c>
      <ns0:c r="W15" s="5" t="inlineStr">
        <ns0:is>
          <ns0:t>Meng-SI</ns0:t>
        </ns0:is>
      </ns0:c>
    </ns0:row>
    <ns0:row r="16" ht="45" customHeight="1">
      <ns0:c r="A16" s="5" t="n">
        <ns0:v>15</ns0:v>
      </ns0:c>
      <ns0:c r="B16" s="5" t="inlineStr">
        <ns0:is>
          <ns0:t>10.1126/sciadv.abi6012</ns0:t>
        </ns0:is>
      </ns0:c>
      <ns0:c r="C16" s="5" t="inlineStr">
        <ns0:is>
          <ns0:t>InNi3C0.5/TiO2</ns0:t>
        </ns0:is>
      </ns0:c>
      <ns0:c r="D16" s="5" t="inlineStr">
        <ns0:is>
          <ns0:t>SI Table S2 row InNi3C0.5/TiO2</ns0:t>
        </ns0:is>
      </ns0:c>
      <ns0:c r="E16" s="5" t="inlineStr">
        <ns0:is>
          <ns0:t>CH3OH selectivity</ns0:t>
        </ns0:is>
      </ns0:c>
      <ns0:c r="F16" s="5" t="n">
        <ns0:v>66.3</ns0:v>
      </ns0:c>
      <ns0:c r="G16" s="5" t="inlineStr">
        <ns0:is>
          <ns0:t>%</ns0:t>
        </ns0:is>
      </ns0:c>
      <ns0:c r="H16" s="5" t="inlineStr">
        <ns0:is>
          <ns0:t>=</ns0:t>
        </ns0:is>
      </ns0:c>
      <ns0:c r="I16" s="5" t="n">
        <ns0:v>66.3</ns0:v>
      </ns0:c>
      <ns0:c r="J16" s="5" t="n">
        <ns0:v>66.3</ns0:v>
      </ns0:c>
      <ns0:c r="K16" s="5" t="n"/>
      <ns0:c r="L16" s="15">
        <ns0:f>J16</ns0:f>
        <ns0:v>66.3</ns0:v>
      </ns0:c>
      <ns0:c r="M16" s="15">
        <ns0:f>I16-L16</ns0:f>
        <ns0:v>0.0</ns0:v>
      </ns0:c>
      <ns0:c r="N16" s="15" t="str">
        <ns0:f>IF(ABS(M16)&lt;0.0000001,"MATCH","MISMATCH")</ns0:f>
        <ns0:v>MATCH</ns0:v>
      </ns0:c>
      <ns0:c r="O16" s="16" t="inlineStr">
        <ns0:is>
          <ns0:t>直接印刷/单位等价</ns0:t>
        </ns0:is>
      </ns0:c>
      <ns0:c r="P16" s="5" t="inlineStr">
        <ns0:is>
          <ns0:t>Y: 原文表/正文/图注明确数字</ns0:t>
        </ns0:is>
      </ns0:c>
      <ns0:c r="Q16" s="17" t="inlineStr">
        <ns0:is>
          <ns0:t>InNi3C0.5/TiO2: CH3OH Sel. 66.3%</ns0:t>
        </ns0:is>
      </ns0:c>
      <ns0:c r="R16" s="5" t="inlineStr">
        <ns0:is>
          <ns0:t>PDF第19页</ns0:t>
        </ns0:is>
      </ns0:c>
      <ns0:c r="S16" s="5" t="inlineStr">
        <ns0:is>
          <ns0:t>Table S2, InNi3C0.5/TiO2 row</ns0:t>
        </ns0:is>
      </ns0:c>
      <ns0:c r="T16" s="5" t="inlineStr">
        <ns0:is>
          <ns0:t>原文数值及工况相符</ns0:t>
        </ns0:is>
      </ns0:c>
      <ns0:c r="U16" s="18" t="inlineStr">
        <ns0:is>
          <ns0:t>https://drive.google.com/file/d/1w4nbo1f-SQjZ1_mP63Uc7HuFbekYMUyA/view</ns0:t>
        </ns0:is>
      </ns0:c>
      <ns0:c r="V16" s="17" t="inlineStr">
        <ns0:is>
          <ns0:t>ebff6b65cec05a24ea067333c5cb805b9dcc83408f1205ac2781c578bde9b866</ns0:t>
        </ns0:is>
      </ns0:c>
      <ns0:c r="W16" s="5" t="inlineStr">
        <ns0:is>
          <ns0:t>Meng-SI</ns0:t>
        </ns0:is>
      </ns0:c>
    </ns0:row>
    <ns0:row r="17" ht="45" customHeight="1">
      <ns0:c r="A17" s="5" t="n">
        <ns0:v>16</ns0:v>
      </ns0:c>
      <ns0:c r="B17" s="5" t="inlineStr">
        <ns0:is>
          <ns0:t>10.1126/sciadv.abi6012</ns0:t>
        </ns0:is>
      </ns0:c>
      <ns0:c r="C17" s="5" t="inlineStr">
        <ns0:is>
          <ns0:t>m-ZrO2</ns0:t>
        </ns0:is>
      </ns0:c>
      <ns0:c r="D17" s="5" t="inlineStr">
        <ns0:is>
          <ns0:t>SI Table S2 row m-ZrO2</ns0:t>
        </ns0:is>
      </ns0:c>
      <ns0:c r="E17" s="5" t="inlineStr">
        <ns0:is>
          <ns0:t>space velocity</ns0:t>
        </ns0:is>
      </ns0:c>
      <ns0:c r="F17" s="5" t="inlineStr">
        <ns0:is>
          <ns0:t>12000 mL gcat−1 h−1</ns0:t>
        </ns0:is>
      </ns0:c>
      <ns0:c r="G17" s="5" t="inlineStr">
        <ns0:is>
          <ns0:t>as printed</ns0:t>
        </ns0:is>
      </ns0:c>
      <ns0:c r="H17" s="5" t="inlineStr"/>
      <ns0:c r="I17" s="5" t="n">
        <ns0:v>12000</ns0:v>
      </ns0:c>
      <ns0:c r="J17" s="5" t="n">
        <ns0:v>12000</ns0:v>
      </ns0:c>
      <ns0:c r="K17" s="5" t="n"/>
      <ns0:c r="L17" s="15">
        <ns0:f>J17</ns0:f>
        <ns0:v>12000.0</ns0:v>
      </ns0:c>
      <ns0:c r="M17" s="15">
        <ns0:f>I17-L17</ns0:f>
        <ns0:v>0.0</ns0:v>
      </ns0:c>
      <ns0:c r="N17" s="15" t="str">
        <ns0:f>IF(ABS(M17)&lt;0.0000001,"MATCH","MISMATCH")</ns0:f>
        <ns0:v>MATCH</ns0:v>
      </ns0:c>
      <ns0:c r="O17" s="16" t="inlineStr">
        <ns0:is>
          <ns0:t>直接印刷/单位等价</ns0:t>
        </ns0:is>
      </ns0:c>
      <ns0:c r="P17" s="5" t="inlineStr">
        <ns0:is>
          <ns0:t>Y: 原文表/正文/图注明确数字</ns0:t>
        </ns0:is>
      </ns0:c>
      <ns0:c r="Q17" s="17" t="inlineStr">
        <ns0:is>
          <ns0:t>GHSV 12,000 mL gcat^-1 h^-1</ns0:t>
        </ns0:is>
      </ns0:c>
      <ns0:c r="R17" s="5" t="inlineStr">
        <ns0:is>
          <ns0:t>PDF第19页</ns0:t>
        </ns0:is>
      </ns0:c>
      <ns0:c r="S17" s="5" t="inlineStr">
        <ns0:is>
          <ns0:t>Table S2, footnote reaction conditions</ns0:t>
        </ns0:is>
      </ns0:c>
      <ns0:c r="T17" s="5" t="inlineStr">
        <ns0:is>
          <ns0:t>原文数值及工况相符</ns0:t>
        </ns0:is>
      </ns0:c>
      <ns0:c r="U17" s="18" t="inlineStr">
        <ns0:is>
          <ns0:t>https://drive.google.com/file/d/1w4nbo1f-SQjZ1_mP63Uc7HuFbekYMUyA/view</ns0:t>
        </ns0:is>
      </ns0:c>
      <ns0:c r="V17" s="17" t="inlineStr">
        <ns0:is>
          <ns0:t>ebff6b65cec05a24ea067333c5cb805b9dcc83408f1205ac2781c578bde9b866</ns0:t>
        </ns0:is>
      </ns0:c>
      <ns0:c r="W17" s="5" t="inlineStr">
        <ns0:is>
          <ns0:t>Meng-SI</ns0:t>
        </ns0:is>
      </ns0:c>
    </ns0:row>
    <ns0:row r="18" ht="45" customHeight="1">
      <ns0:c r="A18" s="5" t="n">
        <ns0:v>17</ns0:v>
      </ns0:c>
      <ns0:c r="B18" s="5" t="inlineStr">
        <ns0:is>
          <ns0:t>10.1126/sciadv.abi6012</ns0:t>
        </ns0:is>
      </ns0:c>
      <ns0:c r="C18" s="5" t="inlineStr">
        <ns0:is>
          <ns0:t>InNi3C0.5/a-ZrO2</ns0:t>
        </ns0:is>
      </ns0:c>
      <ns0:c r="D18" s="5" t="inlineStr">
        <ns0:is>
          <ns0:t>Fig. 2A, InNi3C0.5/a-ZrO2, 12000 ml gcat-1 hour-1</ns0:t>
        </ns0:is>
      </ns0:c>
      <ns0:c r="E18" s="5" t="inlineStr">
        <ns0:is>
          <ns0:t>CH4 selectivity</ns0:t>
        </ns0:is>
      </ns0:c>
      <ns0:c r="F18" s="5" t="n">
        <ns0:v>0.4</ns0:v>
      </ns0:c>
      <ns0:c r="G18" s="5" t="inlineStr">
        <ns0:is>
          <ns0:t>%</ns0:t>
        </ns0:is>
      </ns0:c>
      <ns0:c r="H18" s="5" t="inlineStr">
        <ns0:is>
          <ns0:t>=</ns0:t>
        </ns0:is>
      </ns0:c>
      <ns0:c r="I18" s="5" t="n">
        <ns0:v>0.4</ns0:v>
      </ns0:c>
      <ns0:c r="J18" s="5" t="n">
        <ns0:v>0.4</ns0:v>
      </ns0:c>
      <ns0:c r="K18" s="5" t="n"/>
      <ns0:c r="L18" s="15">
        <ns0:f>J18</ns0:f>
        <ns0:v>0.4</ns0:v>
      </ns0:c>
      <ns0:c r="M18" s="15">
        <ns0:f>I18-L18</ns0:f>
        <ns0:v>0.0</ns0:v>
      </ns0:c>
      <ns0:c r="N18" s="15" t="str">
        <ns0:f>IF(ABS(M18)&lt;0.0000001,"MATCH","MISMATCH")</ns0:f>
        <ns0:v>MATCH</ns0:v>
      </ns0:c>
      <ns0:c r="O18" s="16" t="inlineStr">
        <ns0:is>
          <ns0:t>直接印刷/单位等价</ns0:t>
        </ns0:is>
      </ns0:c>
      <ns0:c r="P18" s="5" t="inlineStr">
        <ns0:is>
          <ns0:t>Y: 原文表/正文/图注明确数字</ns0:t>
        </ns0:is>
      </ns0:c>
      <ns0:c r="Q18" s="17" t="inlineStr">
        <ns0:is>
          <ns0:t>InNi3C0.5/a-ZrO2: CH4 Sel. 0.4%</ns0:t>
        </ns0:is>
      </ns0:c>
      <ns0:c r="R18" s="5" t="inlineStr">
        <ns0:is>
          <ns0:t>PDF第19页</ns0:t>
        </ns0:is>
      </ns0:c>
      <ns0:c r="S18" s="5" t="inlineStr">
        <ns0:is>
          <ns0:t>Table S2, InNi3C0.5/a-ZrO2 row；Exact numeric printed in SI Table S2, not only Fig.2A graph</ns0:t>
        </ns0:is>
      </ns0:c>
      <ns0:c r="T18" s="5" t="inlineStr">
        <ns0:is>
          <ns0:t>原文数值及工况相符</ns0:t>
        </ns0:is>
      </ns0:c>
      <ns0:c r="U18" s="18" t="inlineStr">
        <ns0:is>
          <ns0:t>https://drive.google.com/file/d/1w4nbo1f-SQjZ1_mP63Uc7HuFbekYMUyA/view</ns0:t>
        </ns0:is>
      </ns0:c>
      <ns0:c r="V18" s="17" t="inlineStr">
        <ns0:is>
          <ns0:t>ebff6b65cec05a24ea067333c5cb805b9dcc83408f1205ac2781c578bde9b866</ns0:t>
        </ns0:is>
      </ns0:c>
      <ns0:c r="W18" s="5" t="inlineStr">
        <ns0:is>
          <ns0:t>Meng-SI</ns0:t>
        </ns0:is>
      </ns0:c>
    </ns0:row>
    <ns0:row r="19" ht="45" customHeight="1">
      <ns0:c r="A19" s="5" t="n">
        <ns0:v>18</ns0:v>
      </ns0:c>
      <ns0:c r="B19" s="5" t="inlineStr">
        <ns0:is>
          <ns0:t>10.1126/sciadv.abi6012</ns0:t>
        </ns0:is>
      </ns0:c>
      <ns0:c r="C19" s="5" t="inlineStr">
        <ns0:is>
          <ns0:t>InNi3C0.5/m-ZrO2</ns0:t>
        </ns0:is>
      </ns0:c>
      <ns0:c r="D19" s="5" t="inlineStr">
        <ns0:is>
          <ns0:t>Fig. 2A, InNi3C0.5/m-ZrO2, 12000 ml gcat-1 hour-1</ns0:t>
        </ns0:is>
      </ns0:c>
      <ns0:c r="E19" s="5" t="inlineStr">
        <ns0:is>
          <ns0:t>H2/CO2</ns0:t>
        </ns0:is>
      </ns0:c>
      <ns0:c r="F19" s="5" t="n">
        <ns0:v>3</ns0:v>
      </ns0:c>
      <ns0:c r="G19" s="5" t="inlineStr">
        <ns0:is>
          <ns0:t>mol/mol</ns0:t>
        </ns0:is>
      </ns0:c>
      <ns0:c r="H19" s="5" t="inlineStr"/>
      <ns0:c r="I19" s="5" t="n">
        <ns0:v>3</ns0:v>
      </ns0:c>
      <ns0:c r="J19" s="5" t="n">
        <ns0:v>3</ns0:v>
      </ns0:c>
      <ns0:c r="K19" s="5" t="n"/>
      <ns0:c r="L19" s="15">
        <ns0:f>J19</ns0:f>
        <ns0:v>3.0</ns0:v>
      </ns0:c>
      <ns0:c r="M19" s="15">
        <ns0:f>I19-L19</ns0:f>
        <ns0:v>0.0</ns0:v>
      </ns0:c>
      <ns0:c r="N19" s="15" t="str">
        <ns0:f>IF(ABS(M19)&lt;0.0000001,"MATCH","MISMATCH")</ns0:f>
        <ns0:v>MATCH</ns0:v>
      </ns0:c>
      <ns0:c r="O19" s="16" t="inlineStr">
        <ns0:is>
          <ns0:t>直接印刷/单位等价</ns0:t>
        </ns0:is>
      </ns0:c>
      <ns0:c r="P19" s="5" t="inlineStr">
        <ns0:is>
          <ns0:t>Y: 原文表/正文/图注明确数字</ns0:t>
        </ns0:is>
      </ns0:c>
      <ns0:c r="Q19" s="17" t="inlineStr">
        <ns0:is>
          <ns0:t>H2/CO2=3/1</ns0:t>
        </ns0:is>
      </ns0:c>
      <ns0:c r="R19" s="5" t="inlineStr">
        <ns0:is>
          <ns0:t>PDF第19页</ns0:t>
        </ns0:is>
      </ns0:c>
      <ns0:c r="S19" s="5" t="inlineStr">
        <ns0:is>
          <ns0:t>Table S2, footnote reaction conditions；Also Fig.2A caption</ns0:t>
        </ns0:is>
      </ns0:c>
      <ns0:c r="T19" s="5" t="inlineStr">
        <ns0:is>
          <ns0:t>原文数值及工况相符</ns0:t>
        </ns0:is>
      </ns0:c>
      <ns0:c r="U19" s="18" t="inlineStr">
        <ns0:is>
          <ns0:t>https://drive.google.com/file/d/1w4nbo1f-SQjZ1_mP63Uc7HuFbekYMUyA/view</ns0:t>
        </ns0:is>
      </ns0:c>
      <ns0:c r="V19" s="17" t="inlineStr">
        <ns0:is>
          <ns0:t>ebff6b65cec05a24ea067333c5cb805b9dcc83408f1205ac2781c578bde9b866</ns0:t>
        </ns0:is>
      </ns0:c>
      <ns0:c r="W19" s="5" t="inlineStr">
        <ns0:is>
          <ns0:t>Meng-SI</ns0:t>
        </ns0:is>
      </ns0:c>
    </ns0:row>
    <ns0:row r="20" ht="45" customHeight="1">
      <ns0:c r="A20" s="5" t="n">
        <ns0:v>19</ns0:v>
      </ns0:c>
      <ns0:c r="B20" s="5" t="inlineStr">
        <ns0:is>
          <ns0:t>10.1126/sciadv.abi6012</ns0:t>
        </ns0:is>
      </ns0:c>
      <ns0:c r="C20" s="5" t="inlineStr">
        <ns0:is>
          <ns0:t>m-ZrO2</ns0:t>
        </ns0:is>
      </ns0:c>
      <ns0:c r="D20" s="5" t="inlineStr">
        <ns0:is>
          <ns0:t>SI Table S2 row m-ZrO2</ns0:t>
        </ns0:is>
      </ns0:c>
      <ns0:c r="E20" s="5" t="inlineStr">
        <ns0:is>
          <ns0:t>temperature</ns0:t>
        </ns0:is>
      </ns0:c>
      <ns0:c r="F20" s="5" t="n">
        <ns0:v>300</ns0:v>
      </ns0:c>
      <ns0:c r="G20" s="5" t="inlineStr">
        <ns0:is>
          <ns0:t>°C (from K)</ns0:t>
        </ns0:is>
      </ns0:c>
      <ns0:c r="H20" s="5" t="inlineStr"/>
      <ns0:c r="I20" s="5" t="n">
        <ns0:v>300</ns0:v>
      </ns0:c>
      <ns0:c r="J20" s="5" t="n">
        <ns0:v>300</ns0:v>
      </ns0:c>
      <ns0:c r="K20" s="5" t="n"/>
      <ns0:c r="L20" s="15">
        <ns0:f>J20</ns0:f>
        <ns0:v>300.0</ns0:v>
      </ns0:c>
      <ns0:c r="M20" s="15">
        <ns0:f>I20-L20</ns0:f>
        <ns0:v>0.0</ns0:v>
      </ns0:c>
      <ns0:c r="N20" s="15" t="str">
        <ns0:f>IF(ABS(M20)&lt;0.0000001,"MATCH","MISMATCH")</ns0:f>
        <ns0:v>MATCH</ns0:v>
      </ns0:c>
      <ns0:c r="O20" s="16" t="inlineStr">
        <ns0:is>
          <ns0:t>直接印刷/单位等价</ns0:t>
        </ns0:is>
      </ns0:c>
      <ns0:c r="P20" s="5" t="inlineStr">
        <ns0:is>
          <ns0:t>Y: 原文表/正文/图注明确数字</ns0:t>
        </ns0:is>
      </ns0:c>
      <ns0:c r="Q20" s="17" t="inlineStr">
        <ns0:is>
          <ns0:t>T=300°C</ns0:t>
        </ns0:is>
      </ns0:c>
      <ns0:c r="R20" s="5" t="inlineStr">
        <ns0:is>
          <ns0:t>PDF第19页</ns0:t>
        </ns0:is>
      </ns0:c>
      <ns0:c r="S20" s="5" t="inlineStr">
        <ns0:is>
          <ns0:t>Table S2, footnote reaction conditions；Direct 300°C print in SI, despite workbook unit label from K</ns0:t>
        </ns0:is>
      </ns0:c>
      <ns0:c r="T20" s="5" t="inlineStr">
        <ns0:is>
          <ns0:t>原文数值及工况相符</ns0:t>
        </ns0:is>
      </ns0:c>
      <ns0:c r="U20" s="18" t="inlineStr">
        <ns0:is>
          <ns0:t>https://drive.google.com/file/d/1w4nbo1f-SQjZ1_mP63Uc7HuFbekYMUyA/view</ns0:t>
        </ns0:is>
      </ns0:c>
      <ns0:c r="V20" s="17" t="inlineStr">
        <ns0:is>
          <ns0:t>ebff6b65cec05a24ea067333c5cb805b9dcc83408f1205ac2781c578bde9b866</ns0:t>
        </ns0:is>
      </ns0:c>
      <ns0:c r="W20" s="5" t="inlineStr">
        <ns0:is>
          <ns0:t>Meng-SI</ns0:t>
        </ns0:is>
      </ns0:c>
    </ns0:row>
    <ns0:row r="21" ht="45" customHeight="1">
      <ns0:c r="A21" s="5" t="n">
        <ns0:v>20</ns0:v>
      </ns0:c>
      <ns0:c r="B21" s="5" t="inlineStr">
        <ns0:is>
          <ns0:t>10.1126/sciadv.abi6012</ns0:t>
        </ns0:is>
      </ns0:c>
      <ns0:c r="C21" s="5" t="inlineStr">
        <ns0:is>
          <ns0:t>InNi3C0.5/Fe3O4</ns0:t>
        </ns0:is>
      </ns0:c>
      <ns0:c r="D21" s="5" t="inlineStr">
        <ns0:is>
          <ns0:t>Text/Table S7, InNi3C0.5/Fe3O4, 325C, 4.0 MPa, H2/CO2 8:1, GHSV 30000</ns0:t>
        </ns0:is>
      </ns0:c>
      <ns0:c r="E21" s="5" t="inlineStr">
        <ns0:is>
          <ns0:t>pressure</ns0:t>
        </ns0:is>
      </ns0:c>
      <ns0:c r="F21" s="5" t="n">
        <ns0:v>40</ns0:v>
      </ns0:c>
      <ns0:c r="G21" s="5" t="inlineStr">
        <ns0:is>
          <ns0:t>bar</ns0:t>
        </ns0:is>
      </ns0:c>
      <ns0:c r="H21" s="5" t="inlineStr"/>
      <ns0:c r="I21" s="5" t="n">
        <ns0:v>40</ns0:v>
      </ns0:c>
      <ns0:c r="J21" s="5" t="n">
        <ns0:v>4</ns0:v>
      </ns0:c>
      <ns0:c r="K21" s="5" t="n"/>
      <ns0:c r="L21" s="15">
        <ns0:f>J21*10</ns0:f>
        <ns0:v>40.0</ns0:v>
      </ns0:c>
      <ns0:c r="M21" s="15">
        <ns0:f>I21-L21</ns0:f>
        <ns0:v>0.0</ns0:v>
      </ns0:c>
      <ns0:c r="N21" s="15" t="str">
        <ns0:f>IF(ABS(M21)&lt;0.0000001,"MATCH","MISMATCH")</ns0:f>
        <ns0:v>MATCH</ns0:v>
      </ns0:c>
      <ns0:c r="O21" s="16" t="inlineStr">
        <ns0:is>
          <ns0:t>直接印刷/单位等价</ns0:t>
        </ns0:is>
      </ns0:c>
      <ns0:c r="P21" s="5" t="inlineStr">
        <ns0:is>
          <ns0:t>Y: 原文数字直印；已换算单位</ns0:t>
        </ns0:is>
      </ns0:c>
      <ns0:c r="Q21" s="17" t="inlineStr">
        <ns0:is>
          <ns0:t>P=4.0 MPa</ns0:t>
        </ns0:is>
      </ns0:c>
      <ns0:c r="R21" s="5" t="inlineStr">
        <ns0:is>
          <ns0:t>PDF第25页</ns0:t>
        </ns0:is>
      </ns0:c>
      <ns0:c r="S21" s="5" t="inlineStr">
        <ns0:is>
          <ns0:t>Table S7, InNi3C0.5/Fe3O4, 325°C, P=4MPa, ratio 8/1；Two P4MPa ratio=8 rows exist at different GHSV; pressure is unchanged</ns0:t>
        </ns0:is>
      </ns0:c>
      <ns0:c r="T21" s="5" t="inlineStr">
        <ns0:is>
          <ns0:t>原文数值及工况相符</ns0:t>
        </ns0:is>
      </ns0:c>
      <ns0:c r="U21" s="18" t="inlineStr">
        <ns0:is>
          <ns0:t>https://drive.google.com/file/d/1w4nbo1f-SQjZ1_mP63Uc7HuFbekYMUyA/view</ns0:t>
        </ns0:is>
      </ns0:c>
      <ns0:c r="V21" s="17" t="inlineStr">
        <ns0:is>
          <ns0:t>ebff6b65cec05a24ea067333c5cb805b9dcc83408f1205ac2781c578bde9b866</ns0:t>
        </ns0:is>
      </ns0:c>
      <ns0:c r="W21" s="5" t="inlineStr">
        <ns0:is>
          <ns0:t>Meng-SI</ns0:t>
        </ns0:is>
      </ns0:c>
    </ns0:row>
    <ns0:row r="22" ht="45" customHeight="1">
      <ns0:c r="A22" s="5" t="n">
        <ns0:v>21</ns0:v>
      </ns0:c>
      <ns0:c r="B22" s="5" t="inlineStr">
        <ns0:is>
          <ns0:t>10.1039/c2cy20604h</ns0:t>
        </ns0:is>
      </ns0:c>
      <ns0:c r="C22" s="5" t="inlineStr">
        <ns0:is>
          <ns0:t>Cu–Ba/Al2O3</ns0:t>
        </ns0:is>
      </ns0:c>
      <ns0:c r="D22" s="5" t="inlineStr">
        <ns0:is>
          <ns0:t>Text, Cu-Ba/Al2O3, 443 K, 36 MPa</ns0:t>
        </ns0:is>
      </ns0:c>
      <ns0:c r="E22" s="5" t="inlineStr">
        <ns0:is>
          <ns0:t>temperature</ns0:t>
        </ns0:is>
      </ns0:c>
      <ns0:c r="F22" s="5" t="n">
        <ns0:v>169.85</ns0:v>
      </ns0:c>
      <ns0:c r="G22" s="5" t="inlineStr">
        <ns0:is>
          <ns0:t>°C (from K)</ns0:t>
        </ns0:is>
      </ns0:c>
      <ns0:c r="H22" s="5" t="inlineStr"/>
      <ns0:c r="I22" s="5" t="n">
        <ns0:v>169.85</ns0:v>
      </ns0:c>
      <ns0:c r="J22" s="5" t="n">
        <ns0:v>443</ns0:v>
      </ns0:c>
      <ns0:c r="K22" s="5" t="n"/>
      <ns0:c r="L22" s="15">
        <ns0:f>ROUND(J22-273.15,2)</ns0:f>
        <ns0:v>169.85</ns0:v>
      </ns0:c>
      <ns0:c r="M22" s="15">
        <ns0:f>I22-L22</ns0:f>
        <ns0:v>0.0</ns0:v>
      </ns0:c>
      <ns0:c r="N22" s="15" t="str">
        <ns0:f>IF(ABS(M22)&lt;0.0000001,"MATCH","MISMATCH")</ns0:f>
        <ns0:v>MATCH</ns0:v>
      </ns0:c>
      <ns0:c r="O22" s="16" t="inlineStr">
        <ns0:is>
          <ns0:t>直接印刷/单位等价</ns0:t>
        </ns0:is>
      </ns0:c>
      <ns0:c r="P22" s="5" t="inlineStr">
        <ns0:is>
          <ns0:t>Y: 原文数字直印；已换算单位</ns0:t>
        </ns0:is>
      </ns0:c>
      <ns0:c r="Q22" s="17" t="inlineStr">
        <ns0:is>
          <ns0:t>443 K</ns0:t>
        </ns0:is>
      </ns0:c>
      <ns0:c r="R22" s="5" t="inlineStr">
        <ns0:is>
          <ns0:t>PDF第4页</ns0:t>
        </ns0:is>
      </ns0:c>
      <ns0:c r="S22" s="5" t="inlineStr">
        <ns0:is>
          <ns0:t>Table 3 (= S3), Cu-Ba, 443K / 36MPa</ns0:t>
        </ns0:is>
      </ns0:c>
      <ns0:c r="T22" s="5" t="inlineStr">
        <ns0:is>
          <ns0:t>原文数值及工况相符</ns0:t>
        </ns0:is>
      </ns0:c>
      <ns0:c r="U22" s="18" t="inlineStr">
        <ns0:is>
          <ns0:t>https://drive.google.com/file/d/1vAP6iNS7sXYNV2z9__QqhMEJt5o0Rllo/view</ns0:t>
        </ns0:is>
      </ns0:c>
      <ns0:c r="V22" s="17" t="inlineStr">
        <ns0:is>
          <ns0:t>9a45c3d5c0555001a60b3b6485b3a9799500a57079fc266f8cdf0562ad5ebcf0</ns0:t>
        </ns0:is>
      </ns0:c>
      <ns0:c r="W22" s="5" t="inlineStr">
        <ns0:is>
          <ns0:t>Bansode-SI</ns0:t>
        </ns0:is>
      </ns0:c>
    </ns0:row>
    <ns0:row r="23" ht="45" customHeight="1">
      <ns0:c r="A23" s="5" t="n">
        <ns0:v>22</ns0:v>
      </ns0:c>
      <ns0:c r="B23" s="5" t="inlineStr">
        <ns0:is>
          <ns0:t>10.1039/c2cy20604h</ns0:t>
        </ns0:is>
      </ns0:c>
      <ns0:c r="C23" s="5" t="inlineStr">
        <ns0:is>
          <ns0:t>Cu–Ba/Al2O3</ns0:t>
        </ns0:is>
      </ns0:c>
      <ns0:c r="D23" s="5" t="inlineStr">
        <ns0:is>
          <ns0:t>SI Table 3, 503 K, 36 MPa</ns0:t>
        </ns0:is>
      </ns0:c>
      <ns0:c r="E23" s="5" t="inlineStr">
        <ns0:is>
          <ns0:t>STY (printed)</ns0:t>
        </ns0:is>
      </ns0:c>
      <ns0:c r="F23" s="5" t="inlineStr">
        <ns0:is>
          <ns0:t>56.5 mg gcat-1 h-1</ns0:t>
        </ns0:is>
      </ns0:c>
      <ns0:c r="G23" s="5" t="inlineStr">
        <ns0:is>
          <ns0:t>as printed</ns0:t>
        </ns0:is>
      </ns0:c>
      <ns0:c r="H23" s="5" t="inlineStr">
        <ns0:is>
          <ns0:t>=</ns0:t>
        </ns0:is>
      </ns0:c>
      <ns0:c r="I23" s="5" t="n">
        <ns0:v>56.5</ns0:v>
      </ns0:c>
      <ns0:c r="J23" s="5" t="n">
        <ns0:v>56.5</ns0:v>
      </ns0:c>
      <ns0:c r="K23" s="5" t="n"/>
      <ns0:c r="L23" s="15">
        <ns0:f>J23</ns0:f>
        <ns0:v>56.5</ns0:v>
      </ns0:c>
      <ns0:c r="M23" s="15">
        <ns0:f>I23-L23</ns0:f>
        <ns0:v>0.0</ns0:v>
      </ns0:c>
      <ns0:c r="N23" s="15" t="str">
        <ns0:f>IF(ABS(M23)&lt;0.0000001,"MATCH","MISMATCH")</ns0:f>
        <ns0:v>MATCH</ns0:v>
      </ns0:c>
      <ns0:c r="O23" s="16" t="inlineStr">
        <ns0:is>
          <ns0:t>直接印刷/单位等价</ns0:t>
        </ns0:is>
      </ns0:c>
      <ns0:c r="P23" s="5" t="inlineStr">
        <ns0:is>
          <ns0:t>Y: 原文表/正文/图注明确数字</ns0:t>
        </ns0:is>
      </ns0:c>
      <ns0:c r="Q23" s="17" t="inlineStr">
        <ns0:is>
          <ns0:t>56.5 mg gcat^-1 h^-1</ns0:t>
        </ns0:is>
      </ns0:c>
      <ns0:c r="R23" s="5" t="inlineStr">
        <ns0:is>
          <ns0:t>PDF第4页</ns0:t>
        </ns0:is>
      </ns0:c>
      <ns0:c r="S23" s="5" t="inlineStr">
        <ns0:is>
          <ns0:t>Table 3 (= S3), Cu-Ba, 503K / 36MPa, CH3OH yield；This is printed yield, not a percent selectivity</ns0:t>
        </ns0:is>
      </ns0:c>
      <ns0:c r="T23" s="5" t="inlineStr">
        <ns0:is>
          <ns0:t>原文数值及工况相符</ns0:t>
        </ns0:is>
      </ns0:c>
      <ns0:c r="U23" s="18" t="inlineStr">
        <ns0:is>
          <ns0:t>https://drive.google.com/file/d/1vAP6iNS7sXYNV2z9__QqhMEJt5o0Rllo/view</ns0:t>
        </ns0:is>
      </ns0:c>
      <ns0:c r="V23" s="17" t="inlineStr">
        <ns0:is>
          <ns0:t>9a45c3d5c0555001a60b3b6485b3a9799500a57079fc266f8cdf0562ad5ebcf0</ns0:t>
        </ns0:is>
      </ns0:c>
      <ns0:c r="W23" s="5" t="inlineStr">
        <ns0:is>
          <ns0:t>Bansode-SI</ns0:t>
        </ns0:is>
      </ns0:c>
    </ns0:row>
    <ns0:row r="24" ht="45" customHeight="1">
      <ns0:c r="A24" s="5" t="n">
        <ns0:v>23</ns0:v>
      </ns0:c>
      <ns0:c r="B24" s="5" t="inlineStr">
        <ns0:is>
          <ns0:t>10.1039/c2cy20604h</ns0:t>
        </ns0:is>
      </ns0:c>
      <ns0:c r="C24" s="5" t="inlineStr">
        <ns0:is>
          <ns0:t>Cu–Ba/Al2O3</ns0:t>
        </ns0:is>
      </ns0:c>
      <ns0:c r="D24" s="5" t="inlineStr">
        <ns0:is>
          <ns0:t>SI Table 3, 533 K, 0.4 MPa</ns0:t>
        </ns0:is>
      </ns0:c>
      <ns0:c r="E24" s="5" t="inlineStr">
        <ns0:is>
          <ns0:t>CH3OH selectivity</ns0:t>
        </ns0:is>
      </ns0:c>
      <ns0:c r="F24" s="5" t="n">
        <ns0:v>4.4</ns0:v>
      </ns0:c>
      <ns0:c r="G24" s="5" t="inlineStr">
        <ns0:is>
          <ns0:t>%</ns0:t>
        </ns0:is>
      </ns0:c>
      <ns0:c r="H24" s="5" t="inlineStr">
        <ns0:is>
          <ns0:t>=</ns0:t>
        </ns0:is>
      </ns0:c>
      <ns0:c r="I24" s="5" t="n">
        <ns0:v>4.4</ns0:v>
      </ns0:c>
      <ns0:c r="J24" s="5" t="n">
        <ns0:v>4.4</ns0:v>
      </ns0:c>
      <ns0:c r="K24" s="5" t="n"/>
      <ns0:c r="L24" s="15">
        <ns0:f>J24</ns0:f>
        <ns0:v>4.4</ns0:v>
      </ns0:c>
      <ns0:c r="M24" s="15">
        <ns0:f>I24-L24</ns0:f>
        <ns0:v>0.0</ns0:v>
      </ns0:c>
      <ns0:c r="N24" s="15" t="str">
        <ns0:f>IF(ABS(M24)&lt;0.0000001,"MATCH","MISMATCH")</ns0:f>
        <ns0:v>MATCH</ns0:v>
      </ns0:c>
      <ns0:c r="O24" s="16" t="inlineStr">
        <ns0:is>
          <ns0:t>直接印刷/单位等价</ns0:t>
        </ns0:is>
      </ns0:c>
      <ns0:c r="P24" s="5" t="inlineStr">
        <ns0:is>
          <ns0:t>Y: 原文表/正文/图注明确数字</ns0:t>
        </ns0:is>
      </ns0:c>
      <ns0:c r="Q24" s="17" t="inlineStr">
        <ns0:is>
          <ns0:t>4.4%</ns0:t>
        </ns0:is>
      </ns0:c>
      <ns0:c r="R24" s="5" t="inlineStr">
        <ns0:is>
          <ns0:t>PDF第4页</ns0:t>
        </ns0:is>
      </ns0:c>
      <ns0:c r="S24" s="5" t="inlineStr">
        <ns0:is>
          <ns0:t>Table 3 (= S3), Cu-Ba, 533K / 0.4MPa, CH3OH Sel.</ns0:t>
        </ns0:is>
      </ns0:c>
      <ns0:c r="T24" s="5" t="inlineStr">
        <ns0:is>
          <ns0:t>原文数值及工况相符</ns0:t>
        </ns0:is>
      </ns0:c>
      <ns0:c r="U24" s="18" t="inlineStr">
        <ns0:is>
          <ns0:t>https://drive.google.com/file/d/1vAP6iNS7sXYNV2z9__QqhMEJt5o0Rllo/view</ns0:t>
        </ns0:is>
      </ns0:c>
      <ns0:c r="V24" s="17" t="inlineStr">
        <ns0:is>
          <ns0:t>9a45c3d5c0555001a60b3b6485b3a9799500a57079fc266f8cdf0562ad5ebcf0</ns0:t>
        </ns0:is>
      </ns0:c>
      <ns0:c r="W24" s="5" t="inlineStr">
        <ns0:is>
          <ns0:t>Bansode-SI</ns0:t>
        </ns0:is>
      </ns0:c>
    </ns0:row>
    <ns0:row r="25" ht="45" customHeight="1">
      <ns0:c r="A25" s="5" t="n">
        <ns0:v>24</ns0:v>
      </ns0:c>
      <ns0:c r="B25" s="5" t="inlineStr">
        <ns0:is>
          <ns0:t>10.1039/c2cy20604h</ns0:t>
        </ns0:is>
      </ns0:c>
      <ns0:c r="C25" s="5" t="inlineStr">
        <ns0:is>
          <ns0:t>Cu/Al2O3</ns0:t>
        </ns0:is>
      </ns0:c>
      <ns0:c r="D25" s="5" t="inlineStr">
        <ns0:is>
          <ns0:t>Fig 5/Fig 6, Cu/Al2O3, 443 K, 10 MPa</ns0:t>
        </ns0:is>
      </ns0:c>
      <ns0:c r="E25" s="5" t="inlineStr">
        <ns0:is>
          <ns0:t>CH3OH selectivity</ns0:t>
        </ns0:is>
      </ns0:c>
      <ns0:c r="F25" s="5" t="n">
        <ns0:v>80</ns0:v>
      </ns0:c>
      <ns0:c r="G25" s="5" t="inlineStr">
        <ns0:is>
          <ns0:t>%</ns0:t>
        </ns0:is>
      </ns0:c>
      <ns0:c r="H25" s="5" t="inlineStr">
        <ns0:is>
          <ns0:t>=</ns0:t>
        </ns0:is>
      </ns0:c>
      <ns0:c r="I25" s="5" t="n">
        <ns0:v>80</ns0:v>
      </ns0:c>
      <ns0:c r="J25" s="5" t="n">
        <ns0:v>80</ns0:v>
      </ns0:c>
      <ns0:c r="K25" s="5" t="n"/>
      <ns0:c r="L25" s="15">
        <ns0:f>J25</ns0:f>
        <ns0:v>80.0</ns0:v>
      </ns0:c>
      <ns0:c r="M25" s="15">
        <ns0:f>I25-L25</ns0:f>
        <ns0:v>0.0</ns0:v>
      </ns0:c>
      <ns0:c r="N25" s="15" t="str">
        <ns0:f>IF(ABS(M25)&lt;0.0000001,"MATCH","MISMATCH")</ns0:f>
        <ns0:v>MATCH</ns0:v>
      </ns0:c>
      <ns0:c r="O25" s="16" t="inlineStr">
        <ns0:is>
          <ns0:t>直接印刷/单位等价</ns0:t>
        </ns0:is>
      </ns0:c>
      <ns0:c r="P25" s="5" t="inlineStr">
        <ns0:is>
          <ns0:t>Y: 原文表/正文/图注明确数字</ns0:t>
        </ns0:is>
      </ns0:c>
      <ns0:c r="Q25" s="17" t="inlineStr">
        <ns0:is>
          <ns0:t>80.0%</ns0:t>
        </ns0:is>
      </ns0:c>
      <ns0:c r="R25" s="5" t="inlineStr">
        <ns0:is>
          <ns0:t>PDF第2页</ns0:t>
        </ns0:is>
      </ns0:c>
      <ns0:c r="S25" s="5" t="inlineStr">
        <ns0:is>
          <ns0:t>Table S1, Cu/Al2O3, 443K / 10MPa, CH3OH Sel.</ns0:t>
        </ns0:is>
      </ns0:c>
      <ns0:c r="T25" s="5" t="inlineStr">
        <ns0:is>
          <ns0:t>原文数值及工况相符</ns0:t>
        </ns0:is>
      </ns0:c>
      <ns0:c r="U25" s="18" t="inlineStr">
        <ns0:is>
          <ns0:t>https://drive.google.com/file/d/1vAP6iNS7sXYNV2z9__QqhMEJt5o0Rllo/view</ns0:t>
        </ns0:is>
      </ns0:c>
      <ns0:c r="V25" s="17" t="inlineStr">
        <ns0:is>
          <ns0:t>9a45c3d5c0555001a60b3b6485b3a9799500a57079fc266f8cdf0562ad5ebcf0</ns0:t>
        </ns0:is>
      </ns0:c>
      <ns0:c r="W25" s="5" t="inlineStr">
        <ns0:is>
          <ns0:t>Bansode-SI</ns0:t>
        </ns0:is>
      </ns0:c>
    </ns0:row>
    <ns0:row r="26" ht="45" customHeight="1">
      <ns0:c r="A26" s="5" t="n">
        <ns0:v>25</ns0:v>
      </ns0:c>
      <ns0:c r="B26" s="5" t="inlineStr">
        <ns0:is>
          <ns0:t>10.1039/c2cy20604h</ns0:t>
        </ns0:is>
      </ns0:c>
      <ns0:c r="C26" s="5" t="inlineStr">
        <ns0:is>
          <ns0:t>Cu–K/Al2O3</ns0:t>
        </ns0:is>
      </ns0:c>
      <ns0:c r="D26" s="5" t="inlineStr">
        <ns0:is>
          <ns0:t>Fig 7, Cu-K/Al2O3, 533 K, 36 MPa</ns0:t>
        </ns0:is>
      </ns0:c>
      <ns0:c r="E26" s="5" t="inlineStr">
        <ns0:is>
          <ns0:t>STY (printed)</ns0:t>
        </ns0:is>
      </ns0:c>
      <ns0:c r="F26" s="5" t="inlineStr">
        <ns0:is>
          <ns0:t>10.6 mg gcat-1 h-1</ns0:t>
        </ns0:is>
      </ns0:c>
      <ns0:c r="G26" s="5" t="inlineStr">
        <ns0:is>
          <ns0:t>as printed</ns0:t>
        </ns0:is>
      </ns0:c>
      <ns0:c r="H26" s="5" t="inlineStr">
        <ns0:is>
          <ns0:t>=</ns0:t>
        </ns0:is>
      </ns0:c>
      <ns0:c r="I26" s="5" t="n">
        <ns0:v>10.6</ns0:v>
      </ns0:c>
      <ns0:c r="J26" s="5" t="n">
        <ns0:v>10.6</ns0:v>
      </ns0:c>
      <ns0:c r="K26" s="5" t="n"/>
      <ns0:c r="L26" s="15">
        <ns0:f>J26</ns0:f>
        <ns0:v>10.6</ns0:v>
      </ns0:c>
      <ns0:c r="M26" s="15">
        <ns0:f>I26-L26</ns0:f>
        <ns0:v>0.0</ns0:v>
      </ns0:c>
      <ns0:c r="N26" s="15" t="str">
        <ns0:f>IF(ABS(M26)&lt;0.0000001,"MATCH","MISMATCH")</ns0:f>
        <ns0:v>MATCH</ns0:v>
      </ns0:c>
      <ns0:c r="O26" s="16" t="inlineStr">
        <ns0:is>
          <ns0:t>直接印刷/单位等价</ns0:t>
        </ns0:is>
      </ns0:c>
      <ns0:c r="P26" s="5" t="inlineStr">
        <ns0:is>
          <ns0:t>Y: 原文表/正文/图注明确数字</ns0:t>
        </ns0:is>
      </ns0:c>
      <ns0:c r="Q26" s="17" t="inlineStr">
        <ns0:is>
          <ns0:t>10.6 mg gcat^-1 h^-1</ns0:t>
        </ns0:is>
      </ns0:c>
      <ns0:c r="R26" s="5" t="inlineStr">
        <ns0:is>
          <ns0:t>PDF第3页</ns0:t>
        </ns0:is>
      </ns0:c>
      <ns0:c r="S26" s="5" t="inlineStr">
        <ns0:is>
          <ns0:t>Table S2, Cu-K, 533K / 36MPa, CH3OH yield</ns0:t>
        </ns0:is>
      </ns0:c>
      <ns0:c r="T26" s="5" t="inlineStr">
        <ns0:is>
          <ns0:t>原文数值及工况相符</ns0:t>
        </ns0:is>
      </ns0:c>
      <ns0:c r="U26" s="18" t="inlineStr">
        <ns0:is>
          <ns0:t>https://drive.google.com/file/d/1vAP6iNS7sXYNV2z9__QqhMEJt5o0Rllo/view</ns0:t>
        </ns0:is>
      </ns0:c>
      <ns0:c r="V26" s="17" t="inlineStr">
        <ns0:is>
          <ns0:t>9a45c3d5c0555001a60b3b6485b3a9799500a57079fc266f8cdf0562ad5ebcf0</ns0:t>
        </ns0:is>
      </ns0:c>
      <ns0:c r="W26" s="5" t="inlineStr">
        <ns0:is>
          <ns0:t>Bansode-SI</ns0:t>
        </ns0:is>
      </ns0:c>
    </ns0:row>
    <ns0:row r="27" ht="45" customHeight="1">
      <ns0:c r="A27" s="5" t="n">
        <ns0:v>26</ns0:v>
      </ns0:c>
      <ns0:c r="B27" s="5" t="inlineStr">
        <ns0:is>
          <ns0:t>10.1039/c2cy20604h</ns0:t>
        </ns0:is>
      </ns0:c>
      <ns0:c r="C27" s="5" t="inlineStr">
        <ns0:is>
          <ns0:t>Cu–Ba/Al2O3</ns0:t>
        </ns0:is>
      </ns0:c>
      <ns0:c r="D27" s="5" t="inlineStr">
        <ns0:is>
          <ns0:t>SI Table 3, 553 K, 0.4 MPa</ns0:t>
        </ns0:is>
      </ns0:c>
      <ns0:c r="E27" s="5" t="inlineStr">
        <ns0:is>
          <ns0:t>CO selectivity</ns0:t>
        </ns0:is>
      </ns0:c>
      <ns0:c r="F27" s="5" t="n">
        <ns0:v>98.09999999999999</ns0:v>
      </ns0:c>
      <ns0:c r="G27" s="5" t="inlineStr">
        <ns0:is>
          <ns0:t>%</ns0:t>
        </ns0:is>
      </ns0:c>
      <ns0:c r="H27" s="5" t="inlineStr">
        <ns0:is>
          <ns0:t>=</ns0:t>
        </ns0:is>
      </ns0:c>
      <ns0:c r="I27" s="5" t="n">
        <ns0:v>98.09999999999999</ns0:v>
      </ns0:c>
      <ns0:c r="J27" s="5" t="n">
        <ns0:v>98.09999999999999</ns0:v>
      </ns0:c>
      <ns0:c r="K27" s="5" t="n"/>
      <ns0:c r="L27" s="15">
        <ns0:f>J27</ns0:f>
        <ns0:v>98.1</ns0:v>
      </ns0:c>
      <ns0:c r="M27" s="15">
        <ns0:f>I27-L27</ns0:f>
        <ns0:v>0.0</ns0:v>
      </ns0:c>
      <ns0:c r="N27" s="15" t="str">
        <ns0:f>IF(ABS(M27)&lt;0.0000001,"MATCH","MISMATCH")</ns0:f>
        <ns0:v>MATCH</ns0:v>
      </ns0:c>
      <ns0:c r="O27" s="16" t="inlineStr">
        <ns0:is>
          <ns0:t>直接印刷/单位等价</ns0:t>
        </ns0:is>
      </ns0:c>
      <ns0:c r="P27" s="5" t="inlineStr">
        <ns0:is>
          <ns0:t>Y: 原文表/正文/图注明确数字</ns0:t>
        </ns0:is>
      </ns0:c>
      <ns0:c r="Q27" s="17" t="inlineStr">
        <ns0:is>
          <ns0:t>98.1%</ns0:t>
        </ns0:is>
      </ns0:c>
      <ns0:c r="R27" s="5" t="inlineStr">
        <ns0:is>
          <ns0:t>PDF第4页</ns0:t>
        </ns0:is>
      </ns0:c>
      <ns0:c r="S27" s="5" t="inlineStr">
        <ns0:is>
          <ns0:t>Table 3 (= S3), Cu-Ba, 553K / 0.4MPa, CO Sel.</ns0:t>
        </ns0:is>
      </ns0:c>
      <ns0:c r="T27" s="5" t="inlineStr">
        <ns0:is>
          <ns0:t>原文数值及工况相符</ns0:t>
        </ns0:is>
      </ns0:c>
      <ns0:c r="U27" s="18" t="inlineStr">
        <ns0:is>
          <ns0:t>https://drive.google.com/file/d/1vAP6iNS7sXYNV2z9__QqhMEJt5o0Rllo/view</ns0:t>
        </ns0:is>
      </ns0:c>
      <ns0:c r="V27" s="17" t="inlineStr">
        <ns0:is>
          <ns0:t>9a45c3d5c0555001a60b3b6485b3a9799500a57079fc266f8cdf0562ad5ebcf0</ns0:t>
        </ns0:is>
      </ns0:c>
      <ns0:c r="W27" s="5" t="inlineStr">
        <ns0:is>
          <ns0:t>Bansode-SI</ns0:t>
        </ns0:is>
      </ns0:c>
    </ns0:row>
    <ns0:row r="28" ht="45" customHeight="1">
      <ns0:c r="A28" s="5" t="n">
        <ns0:v>27</ns0:v>
      </ns0:c>
      <ns0:c r="B28" s="5" t="inlineStr">
        <ns0:is>
          <ns0:t>10.1039/c2cy20604h</ns0:t>
        </ns0:is>
      </ns0:c>
      <ns0:c r="C28" s="5" t="inlineStr">
        <ns0:is>
          <ns0:t>Cu–Ba/Al2O3</ns0:t>
        </ns0:is>
      </ns0:c>
      <ns0:c r="D28" s="5" t="inlineStr">
        <ns0:is>
          <ns0:t>SI Table 3, 443 K, 0.4 MPa</ns0:t>
        </ns0:is>
      </ns0:c>
      <ns0:c r="E28" s="5" t="inlineStr">
        <ns0:is>
          <ns0:t>CO selectivity</ns0:t>
        </ns0:is>
      </ns0:c>
      <ns0:c r="F28" s="5" t="n">
        <ns0:v>72.5</ns0:v>
      </ns0:c>
      <ns0:c r="G28" s="5" t="inlineStr">
        <ns0:is>
          <ns0:t>%</ns0:t>
        </ns0:is>
      </ns0:c>
      <ns0:c r="H28" s="5" t="inlineStr">
        <ns0:is>
          <ns0:t>=</ns0:t>
        </ns0:is>
      </ns0:c>
      <ns0:c r="I28" s="5" t="n">
        <ns0:v>72.5</ns0:v>
      </ns0:c>
      <ns0:c r="J28" s="5" t="n">
        <ns0:v>72.5</ns0:v>
      </ns0:c>
      <ns0:c r="K28" s="5" t="n"/>
      <ns0:c r="L28" s="15">
        <ns0:f>J28</ns0:f>
        <ns0:v>72.5</ns0:v>
      </ns0:c>
      <ns0:c r="M28" s="15">
        <ns0:f>I28-L28</ns0:f>
        <ns0:v>0.0</ns0:v>
      </ns0:c>
      <ns0:c r="N28" s="15" t="str">
        <ns0:f>IF(ABS(M28)&lt;0.0000001,"MATCH","MISMATCH")</ns0:f>
        <ns0:v>MATCH</ns0:v>
      </ns0:c>
      <ns0:c r="O28" s="16" t="inlineStr">
        <ns0:is>
          <ns0:t>直接印刷/单位等价</ns0:t>
        </ns0:is>
      </ns0:c>
      <ns0:c r="P28" s="5" t="inlineStr">
        <ns0:is>
          <ns0:t>Y: 原文表/正文/图注明确数字</ns0:t>
        </ns0:is>
      </ns0:c>
      <ns0:c r="Q28" s="17" t="inlineStr">
        <ns0:is>
          <ns0:t>72.5%</ns0:t>
        </ns0:is>
      </ns0:c>
      <ns0:c r="R28" s="5" t="inlineStr">
        <ns0:is>
          <ns0:t>PDF第4页</ns0:t>
        </ns0:is>
      </ns0:c>
      <ns0:c r="S28" s="5" t="inlineStr">
        <ns0:is>
          <ns0:t>Table 3 (= S3), Cu-Ba, 443K / 0.4MPa, CO Sel.</ns0:t>
        </ns0:is>
      </ns0:c>
      <ns0:c r="T28" s="5" t="inlineStr">
        <ns0:is>
          <ns0:t>原文数值及工况相符</ns0:t>
        </ns0:is>
      </ns0:c>
      <ns0:c r="U28" s="18" t="inlineStr">
        <ns0:is>
          <ns0:t>https://drive.google.com/file/d/1vAP6iNS7sXYNV2z9__QqhMEJt5o0Rllo/view</ns0:t>
        </ns0:is>
      </ns0:c>
      <ns0:c r="V28" s="17" t="inlineStr">
        <ns0:is>
          <ns0:t>9a45c3d5c0555001a60b3b6485b3a9799500a57079fc266f8cdf0562ad5ebcf0</ns0:t>
        </ns0:is>
      </ns0:c>
      <ns0:c r="W28" s="5" t="inlineStr">
        <ns0:is>
          <ns0:t>Bansode-SI</ns0:t>
        </ns0:is>
      </ns0:c>
    </ns0:row>
    <ns0:row r="29" ht="45" customHeight="1">
      <ns0:c r="A29" s="5" t="n">
        <ns0:v>28</ns0:v>
      </ns0:c>
      <ns0:c r="B29" s="5" t="inlineStr">
        <ns0:is>
          <ns0:t>10.1039/c2cy20604h</ns0:t>
        </ns0:is>
      </ns0:c>
      <ns0:c r="C29" s="5" t="inlineStr">
        <ns0:is>
          <ns0:t>Cu–Ba/Al2O3</ns0:t>
        </ns0:is>
      </ns0:c>
      <ns0:c r="D29" s="5" t="inlineStr">
        <ns0:is>
          <ns0:t>Fig 8, Cu-Ba/Al2O3, 473 K, 10 MPa</ns0:t>
        </ns0:is>
      </ns0:c>
      <ns0:c r="E29" s="5" t="inlineStr">
        <ns0:is>
          <ns0:t>temperature</ns0:t>
        </ns0:is>
      </ns0:c>
      <ns0:c r="F29" s="5" t="n">
        <ns0:v>199.85</ns0:v>
      </ns0:c>
      <ns0:c r="G29" s="5" t="inlineStr">
        <ns0:is>
          <ns0:t>°C (from K)</ns0:t>
        </ns0:is>
      </ns0:c>
      <ns0:c r="H29" s="5" t="inlineStr"/>
      <ns0:c r="I29" s="5" t="n">
        <ns0:v>199.85</ns0:v>
      </ns0:c>
      <ns0:c r="J29" s="5" t="n">
        <ns0:v>473</ns0:v>
      </ns0:c>
      <ns0:c r="K29" s="5" t="n"/>
      <ns0:c r="L29" s="15">
        <ns0:f>ROUND(J29-273.15,2)</ns0:f>
        <ns0:v>199.85</ns0:v>
      </ns0:c>
      <ns0:c r="M29" s="15">
        <ns0:f>I29-L29</ns0:f>
        <ns0:v>0.0</ns0:v>
      </ns0:c>
      <ns0:c r="N29" s="15" t="str">
        <ns0:f>IF(ABS(M29)&lt;0.0000001,"MATCH","MISMATCH")</ns0:f>
        <ns0:v>MATCH</ns0:v>
      </ns0:c>
      <ns0:c r="O29" s="16" t="inlineStr">
        <ns0:is>
          <ns0:t>直接印刷/单位等价</ns0:t>
        </ns0:is>
      </ns0:c>
      <ns0:c r="P29" s="5" t="inlineStr">
        <ns0:is>
          <ns0:t>Y: 原文数字直印；已换算单位</ns0:t>
        </ns0:is>
      </ns0:c>
      <ns0:c r="Q29" s="17" t="inlineStr">
        <ns0:is>
          <ns0:t>473 K</ns0:t>
        </ns0:is>
      </ns0:c>
      <ns0:c r="R29" s="5" t="inlineStr">
        <ns0:is>
          <ns0:t>PDF第4页</ns0:t>
        </ns0:is>
      </ns0:c>
      <ns0:c r="S29" s="5" t="inlineStr">
        <ns0:is>
          <ns0:t>Table 3 (= S3), Cu-Ba, 473K / 10MPa</ns0:t>
        </ns0:is>
      </ns0:c>
      <ns0:c r="T29" s="5" t="inlineStr">
        <ns0:is>
          <ns0:t>原文数值及工况相符</ns0:t>
        </ns0:is>
      </ns0:c>
      <ns0:c r="U29" s="18" t="inlineStr">
        <ns0:is>
          <ns0:t>https://drive.google.com/file/d/1vAP6iNS7sXYNV2z9__QqhMEJt5o0Rllo/view</ns0:t>
        </ns0:is>
      </ns0:c>
      <ns0:c r="V29" s="17" t="inlineStr">
        <ns0:is>
          <ns0:t>9a45c3d5c0555001a60b3b6485b3a9799500a57079fc266f8cdf0562ad5ebcf0</ns0:t>
        </ns0:is>
      </ns0:c>
      <ns0:c r="W29" s="5" t="inlineStr">
        <ns0:is>
          <ns0:t>Bansode-SI</ns0:t>
        </ns0:is>
      </ns0:c>
    </ns0:row>
    <ns0:row r="30" ht="45" customHeight="1">
      <ns0:c r="A30" s="5" t="n">
        <ns0:v>29</ns0:v>
      </ns0:c>
      <ns0:c r="B30" s="5" t="inlineStr">
        <ns0:is>
          <ns0:t>10.1039/c2cy20604h</ns0:t>
        </ns0:is>
      </ns0:c>
      <ns0:c r="C30" s="5" t="inlineStr">
        <ns0:is>
          <ns0:t>Cu–K/Al2O3</ns0:t>
        </ns0:is>
      </ns0:c>
      <ns0:c r="D30" s="5" t="inlineStr">
        <ns0:is>
          <ns0:t>Fig 7/Fig 8, Cu-K/Al2O3, 473 K, 36 MPa</ns0:t>
        </ns0:is>
      </ns0:c>
      <ns0:c r="E30" s="5" t="inlineStr">
        <ns0:is>
          <ns0:t>CO2 conversion</ns0:t>
        </ns0:is>
      </ns0:c>
      <ns0:c r="F30" s="5" t="n">
        <ns0:v>8.9</ns0:v>
      </ns0:c>
      <ns0:c r="G30" s="5" t="inlineStr">
        <ns0:is>
          <ns0:t>%</ns0:t>
        </ns0:is>
      </ns0:c>
      <ns0:c r="H30" s="5" t="inlineStr">
        <ns0:is>
          <ns0:t>=</ns0:t>
        </ns0:is>
      </ns0:c>
      <ns0:c r="I30" s="5" t="n">
        <ns0:v>8.9</ns0:v>
      </ns0:c>
      <ns0:c r="J30" s="5" t="n">
        <ns0:v>8.9</ns0:v>
      </ns0:c>
      <ns0:c r="K30" s="5" t="n"/>
      <ns0:c r="L30" s="15">
        <ns0:f>J30</ns0:f>
        <ns0:v>8.9</ns0:v>
      </ns0:c>
      <ns0:c r="M30" s="15">
        <ns0:f>I30-L30</ns0:f>
        <ns0:v>0.0</ns0:v>
      </ns0:c>
      <ns0:c r="N30" s="15" t="str">
        <ns0:f>IF(ABS(M30)&lt;0.0000001,"MATCH","MISMATCH")</ns0:f>
        <ns0:v>MATCH</ns0:v>
      </ns0:c>
      <ns0:c r="O30" s="16" t="inlineStr">
        <ns0:is>
          <ns0:t>直接印刷/单位等价</ns0:t>
        </ns0:is>
      </ns0:c>
      <ns0:c r="P30" s="5" t="inlineStr">
        <ns0:is>
          <ns0:t>Y: 原文表/正文/图注明确数字</ns0:t>
        </ns0:is>
      </ns0:c>
      <ns0:c r="Q30" s="17" t="inlineStr">
        <ns0:is>
          <ns0:t>8.9%</ns0:t>
        </ns0:is>
      </ns0:c>
      <ns0:c r="R30" s="5" t="inlineStr">
        <ns0:is>
          <ns0:t>PDF第3页</ns0:t>
        </ns0:is>
      </ns0:c>
      <ns0:c r="S30" s="5" t="inlineStr">
        <ns0:is>
          <ns0:t>Table S2, Cu-K, 473K / 36MPa, CO2 conversion</ns0:t>
        </ns0:is>
      </ns0:c>
      <ns0:c r="T30" s="5" t="inlineStr">
        <ns0:is>
          <ns0:t>原文数值及工况相符</ns0:t>
        </ns0:is>
      </ns0:c>
      <ns0:c r="U30" s="18" t="inlineStr">
        <ns0:is>
          <ns0:t>https://drive.google.com/file/d/1vAP6iNS7sXYNV2z9__QqhMEJt5o0Rllo/view</ns0:t>
        </ns0:is>
      </ns0:c>
      <ns0:c r="V30" s="17" t="inlineStr">
        <ns0:is>
          <ns0:t>9a45c3d5c0555001a60b3b6485b3a9799500a57079fc266f8cdf0562ad5ebcf0</ns0:t>
        </ns0:is>
      </ns0:c>
      <ns0:c r="W30" s="5" t="inlineStr">
        <ns0:is>
          <ns0:t>Bansode-SI</ns0:t>
        </ns0:is>
      </ns0:c>
    </ns0:row>
    <ns0:row r="31" ht="45" customHeight="1">
      <ns0:c r="A31" s="5" t="n">
        <ns0:v>30</ns0:v>
      </ns0:c>
      <ns0:c r="B31" s="5" t="inlineStr">
        <ns0:is>
          <ns0:t>10.1039/c2cy20604h</ns0:t>
        </ns0:is>
      </ns0:c>
      <ns0:c r="C31" s="5" t="inlineStr">
        <ns0:is>
          <ns0:t>Cu–K/Al2O3</ns0:t>
        </ns0:is>
      </ns0:c>
      <ns0:c r="D31" s="5" t="inlineStr">
        <ns0:is>
          <ns0:t>Fig 7, Cu-K/Al2O3, 533 K, 3 MPa</ns0:t>
        </ns0:is>
      </ns0:c>
      <ns0:c r="E31" s="5" t="inlineStr">
        <ns0:is>
          <ns0:t>CO selectivity</ns0:t>
        </ns0:is>
      </ns0:c>
      <ns0:c r="F31" s="5" t="n">
        <ns0:v>98.09999999999999</ns0:v>
      </ns0:c>
      <ns0:c r="G31" s="5" t="inlineStr">
        <ns0:is>
          <ns0:t>%</ns0:t>
        </ns0:is>
      </ns0:c>
      <ns0:c r="H31" s="5" t="inlineStr">
        <ns0:is>
          <ns0:t>=</ns0:t>
        </ns0:is>
      </ns0:c>
      <ns0:c r="I31" s="5" t="n">
        <ns0:v>98.09999999999999</ns0:v>
      </ns0:c>
      <ns0:c r="J31" s="5" t="n">
        <ns0:v>98.09999999999999</ns0:v>
      </ns0:c>
      <ns0:c r="K31" s="5" t="n"/>
      <ns0:c r="L31" s="15">
        <ns0:f>J31</ns0:f>
        <ns0:v>98.1</ns0:v>
      </ns0:c>
      <ns0:c r="M31" s="15">
        <ns0:f>I31-L31</ns0:f>
        <ns0:v>0.0</ns0:v>
      </ns0:c>
      <ns0:c r="N31" s="15" t="str">
        <ns0:f>IF(ABS(M31)&lt;0.0000001,"MATCH","MISMATCH")</ns0:f>
        <ns0:v>MATCH</ns0:v>
      </ns0:c>
      <ns0:c r="O31" s="16" t="inlineStr">
        <ns0:is>
          <ns0:t>直接印刷/单位等价</ns0:t>
        </ns0:is>
      </ns0:c>
      <ns0:c r="P31" s="5" t="inlineStr">
        <ns0:is>
          <ns0:t>Y: 原文表/正文/图注明确数字</ns0:t>
        </ns0:is>
      </ns0:c>
      <ns0:c r="Q31" s="17" t="inlineStr">
        <ns0:is>
          <ns0:t>98.1%</ns0:t>
        </ns0:is>
      </ns0:c>
      <ns0:c r="R31" s="5" t="inlineStr">
        <ns0:is>
          <ns0:t>PDF第3页</ns0:t>
        </ns0:is>
      </ns0:c>
      <ns0:c r="S31" s="5" t="inlineStr">
        <ns0:is>
          <ns0:t>Table S2, Cu-K, 533K / 3MPa, CO Sel.</ns0:t>
        </ns0:is>
      </ns0:c>
      <ns0:c r="T31" s="5" t="inlineStr">
        <ns0:is>
          <ns0:t>原文数值及工况相符</ns0:t>
        </ns0:is>
      </ns0:c>
      <ns0:c r="U31" s="18" t="inlineStr">
        <ns0:is>
          <ns0:t>https://drive.google.com/file/d/1vAP6iNS7sXYNV2z9__QqhMEJt5o0Rllo/view</ns0:t>
        </ns0:is>
      </ns0:c>
      <ns0:c r="V31" s="17" t="inlineStr">
        <ns0:is>
          <ns0:t>9a45c3d5c0555001a60b3b6485b3a9799500a57079fc266f8cdf0562ad5ebcf0</ns0:t>
        </ns0:is>
      </ns0:c>
      <ns0:c r="W31" s="5" t="inlineStr">
        <ns0:is>
          <ns0:t>Bansode-SI</ns0:t>
        </ns0:is>
      </ns0:c>
    </ns0:row>
    <ns0:row r="32" ht="45" customHeight="1">
      <ns0:c r="A32" s="5" t="n">
        <ns0:v>31</ns0:v>
      </ns0:c>
      <ns0:c r="B32" s="5" t="inlineStr">
        <ns0:is>
          <ns0:t>10.1038/s41467-019-11349-9</ns0:t>
        </ns0:is>
      </ns0:c>
      <ns0:c r="C32" s="5" t="inlineStr">
        <ns0:is>
          <ns0:t>Pd–In2O3 CP</ns0:t>
        </ns0:is>
      </ns0:c>
      <ns0:c r="D32" s="5" t="inlineStr">
        <ns0:is>
          <ns0:t>Table 2 Pd–In2O3 CP, WHSV 48,000 initial</ns0:t>
        </ns0:is>
      </ns0:c>
      <ns0:c r="E32" s="5" t="inlineStr">
        <ns0:is>
          <ns0:t>pressure</ns0:t>
        </ns0:is>
      </ns0:c>
      <ns0:c r="F32" s="5" t="n">
        <ns0:v>50</ns0:v>
      </ns0:c>
      <ns0:c r="G32" s="5" t="inlineStr">
        <ns0:is>
          <ns0:t>bar</ns0:t>
        </ns0:is>
      </ns0:c>
      <ns0:c r="H32" s="5" t="inlineStr"/>
      <ns0:c r="I32" s="5" t="n">
        <ns0:v>50</ns0:v>
      </ns0:c>
      <ns0:c r="J32" s="5" t="n">
        <ns0:v>5</ns0:v>
      </ns0:c>
      <ns0:c r="K32" s="5" t="n"/>
      <ns0:c r="L32" s="15">
        <ns0:f>J32*10</ns0:f>
        <ns0:v>50.0</ns0:v>
      </ns0:c>
      <ns0:c r="M32" s="15">
        <ns0:f>I32-L32</ns0:f>
        <ns0:v>0.0</ns0:v>
      </ns0:c>
      <ns0:c r="N32" s="15" t="str">
        <ns0:f>IF(ABS(M32)&lt;0.0000001,"MATCH","MISMATCH")</ns0:f>
        <ns0:v>MATCH</ns0:v>
      </ns0:c>
      <ns0:c r="O32" s="16" t="inlineStr">
        <ns0:is>
          <ns0:t>直接印刷/单位等价</ns0:t>
        </ns0:is>
      </ns0:c>
      <ns0:c r="P32" s="5" t="inlineStr">
        <ns0:is>
          <ns0:t>Y: 原文数字直印；已换算单位</ns0:t>
        </ns0:is>
      </ns0:c>
      <ns0:c r="Q32" s="17" t="inlineStr">
        <ns0:is>
          <ns0:t>5 MPa</ns0:t>
        </ns0:is>
      </ns0:c>
      <ns0:c r="R32" s="5" t="inlineStr">
        <ns0:is>
          <ns0:t>PDF第9页</ns0:t>
        </ns0:is>
      </ns0:c>
      <ns0:c r="S32" s="5" t="inlineStr">
        <ns0:is>
          <ns0:t>Table 2, Pd-In2O3 CP row, P</ns0:t>
        </ns0:is>
      </ns0:c>
      <ns0:c r="T32" s="5" t="inlineStr">
        <ns0:is>
          <ns0:t>原文数值及工况相符</ns0:t>
        </ns0:is>
      </ns0:c>
      <ns0:c r="U32" s="18" t="inlineStr">
        <ns0:is>
          <ns0:t>https://drive.google.com/file/d/1SpUJIHvYqa2nrDV6DeXCxRVpO02YyOJ1/view</ns0:t>
        </ns0:is>
      </ns0:c>
      <ns0:c r="V32" s="17" t="inlineStr">
        <ns0:is>
          <ns0:t>ee86dd4c833be2702f5e825c66a6dd3b1cc8c609bd9cc441ee955a26b3cd5330</ns0:t>
        </ns0:is>
      </ns0:c>
      <ns0:c r="W32" s="5" t="inlineStr">
        <ns0:is>
          <ns0:t>Frei-main</ns0:t>
        </ns0:is>
      </ns0:c>
    </ns0:row>
    <ns0:row r="33" ht="45" customHeight="1">
      <ns0:c r="A33" s="5" t="n">
        <ns0:v>32</ns0:v>
      </ns0:c>
      <ns0:c r="B33" s="5" t="inlineStr">
        <ns0:is>
          <ns0:t>10.1038/s41467-019-11349-9</ns0:t>
        </ns0:is>
      </ns0:c>
      <ns0:c r="C33" s="5" t="inlineStr">
        <ns0:is>
          <ns0:t>CP</ns0:t>
        </ns0:is>
      </ns0:c>
      <ns0:c r="D33" s="5" t="inlineStr">
        <ns0:is>
          <ns0:t>Fig. 6/text Pd–In2O3 CP stability, start</ns0:t>
        </ns0:is>
      </ns0:c>
      <ns0:c r="E33" s="5" t="inlineStr">
        <ns0:is>
          <ns0:t>CH3OH selectivity</ns0:t>
        </ns0:is>
      </ns0:c>
      <ns0:c r="F33" s="5" t="n">
        <ns0:v>75</ns0:v>
      </ns0:c>
      <ns0:c r="G33" s="5" t="inlineStr">
        <ns0:is>
          <ns0:t>%</ns0:t>
        </ns0:is>
      </ns0:c>
      <ns0:c r="H33" s="5" t="inlineStr">
        <ns0:is>
          <ns0:t>=</ns0:t>
        </ns0:is>
      </ns0:c>
      <ns0:c r="I33" s="5" t="n">
        <ns0:v>75</ns0:v>
      </ns0:c>
      <ns0:c r="J33" s="5" t="n">
        <ns0:v>75</ns0:v>
      </ns0:c>
      <ns0:c r="K33" s="5" t="n"/>
      <ns0:c r="L33" s="15">
        <ns0:f>J33</ns0:f>
        <ns0:v>75.0</ns0:v>
      </ns0:c>
      <ns0:c r="M33" s="15">
        <ns0:f>I33-L33</ns0:f>
        <ns0:v>0.0</ns0:v>
      </ns0:c>
      <ns0:c r="N33" s="15" t="str">
        <ns0:f>IF(ABS(M33)&lt;0.0000001,"MATCH","MISMATCH")</ns0:f>
        <ns0:v>MATCH</ns0:v>
      </ns0:c>
      <ns0:c r="O33" s="16" t="inlineStr">
        <ns0:is>
          <ns0:t>直接印刷/单位等价</ns0:t>
        </ns0:is>
      </ns0:c>
      <ns0:c r="P33" s="5" t="inlineStr">
        <ns0:is>
          <ns0:t>Y: 原文表/正文/图注明确数字</ns0:t>
        </ns0:is>
      </ns0:c>
      <ns0:c r="Q33" s="17" t="inlineStr">
        <ns0:is>
          <ns0:t>selectivity from 75% to 78%</ns0:t>
        </ns0:is>
      </ns0:c>
      <ns0:c r="R33" s="5" t="inlineStr">
        <ns0:is>
          <ns0:t>PDF第8页</ns0:t>
        </ns0:is>
      </ns0:c>
      <ns0:c r="S33" s="5" t="inlineStr">
        <ns0:is>
          <ns0:t>Fig.6 stability paragraph, selectivity start</ns0:t>
        </ns0:is>
      </ns0:c>
      <ns0:c r="T33" s="19" t="inlineStr">
        <ns0:is>
          <ns0:t>Table2另报78%（不同测量口径）；必须保留Fig6起点上下文</ns0:t>
        </ns0:is>
      </ns0:c>
      <ns0:c r="U33" s="18" t="inlineStr">
        <ns0:is>
          <ns0:t>https://drive.google.com/file/d/1SpUJIHvYqa2nrDV6DeXCxRVpO02YyOJ1/view</ns0:t>
        </ns0:is>
      </ns0:c>
      <ns0:c r="V33" s="17" t="inlineStr">
        <ns0:is>
          <ns0:t>ee86dd4c833be2702f5e825c66a6dd3b1cc8c609bd9cc441ee955a26b3cd5330</ns0:t>
        </ns0:is>
      </ns0:c>
      <ns0:c r="W33" s="5" t="inlineStr">
        <ns0:is>
          <ns0:t>Frei-main</ns0:t>
        </ns0:is>
      </ns0:c>
    </ns0:row>
    <ns0:row r="34" ht="45" customHeight="1">
      <ns0:c r="A34" s="5" t="n">
        <ns0:v>33</ns0:v>
      </ns0:c>
      <ns0:c r="B34" s="5" t="inlineStr">
        <ns0:is>
          <ns0:t>10.1038/s41467-019-11349-9</ns0:t>
        </ns0:is>
      </ns0:c>
      <ns0:c r="C34" s="5" t="inlineStr">
        <ns0:is>
          <ns0:t>Pd–In2O3 CP</ns0:t>
        </ns0:is>
      </ns0:c>
      <ns0:c r="D34" s="5" t="inlineStr">
        <ns0:is>
          <ns0:t>Table 2 Pd–In2O3 CP, WHSV 48,000 initial</ns0:t>
        </ns0:is>
      </ns0:c>
      <ns0:c r="E34" s="5" t="inlineStr">
        <ns0:is>
          <ns0:t>temperature</ns0:t>
        </ns0:is>
      </ns0:c>
      <ns0:c r="F34" s="5" t="n">
        <ns0:v>279.85</ns0:v>
      </ns0:c>
      <ns0:c r="G34" s="5" t="inlineStr">
        <ns0:is>
          <ns0:t>°C (from K)</ns0:t>
        </ns0:is>
      </ns0:c>
      <ns0:c r="H34" s="5" t="inlineStr"/>
      <ns0:c r="I34" s="5" t="n">
        <ns0:v>279.85</ns0:v>
      </ns0:c>
      <ns0:c r="J34" s="5" t="n">
        <ns0:v>553</ns0:v>
      </ns0:c>
      <ns0:c r="K34" s="5" t="n"/>
      <ns0:c r="L34" s="15">
        <ns0:f>ROUND(J34-273.15,2)</ns0:f>
        <ns0:v>279.85</ns0:v>
      </ns0:c>
      <ns0:c r="M34" s="15">
        <ns0:f>I34-L34</ns0:f>
        <ns0:v>0.0</ns0:v>
      </ns0:c>
      <ns0:c r="N34" s="15" t="str">
        <ns0:f>IF(ABS(M34)&lt;0.0000001,"MATCH","MISMATCH")</ns0:f>
        <ns0:v>MATCH</ns0:v>
      </ns0:c>
      <ns0:c r="O34" s="16" t="inlineStr">
        <ns0:is>
          <ns0:t>直接印刷/单位等价</ns0:t>
        </ns0:is>
      </ns0:c>
      <ns0:c r="P34" s="5" t="inlineStr">
        <ns0:is>
          <ns0:t>Y: 原文数字直印；已换算单位</ns0:t>
        </ns0:is>
      </ns0:c>
      <ns0:c r="Q34" s="17" t="inlineStr">
        <ns0:is>
          <ns0:t>553 K</ns0:t>
        </ns0:is>
      </ns0:c>
      <ns0:c r="R34" s="5" t="inlineStr">
        <ns0:is>
          <ns0:t>PDF第9页</ns0:t>
        </ns0:is>
      </ns0:c>
      <ns0:c r="S34" s="5" t="inlineStr">
        <ns0:is>
          <ns0:t>Table 2, Pd-In2O3 CP, T</ns0:t>
        </ns0:is>
      </ns0:c>
      <ns0:c r="T34" s="5" t="inlineStr">
        <ns0:is>
          <ns0:t>原文数值及工况相符</ns0:t>
        </ns0:is>
      </ns0:c>
      <ns0:c r="U34" s="18" t="inlineStr">
        <ns0:is>
          <ns0:t>https://drive.google.com/file/d/1SpUJIHvYqa2nrDV6DeXCxRVpO02YyOJ1/view</ns0:t>
        </ns0:is>
      </ns0:c>
      <ns0:c r="V34" s="17" t="inlineStr">
        <ns0:is>
          <ns0:t>ee86dd4c833be2702f5e825c66a6dd3b1cc8c609bd9cc441ee955a26b3cd5330</ns0:t>
        </ns0:is>
      </ns0:c>
      <ns0:c r="W34" s="5" t="inlineStr">
        <ns0:is>
          <ns0:t>Frei-main</ns0:t>
        </ns0:is>
      </ns0:c>
    </ns0:row>
    <ns0:row r="35" ht="45" customHeight="1">
      <ns0:c r="A35" s="5" t="n">
        <ns0:v>34</ns0:v>
      </ns0:c>
      <ns0:c r="B35" s="5" t="inlineStr">
        <ns0:is>
          <ns0:t>10.1038/s41467-019-11349-9</ns0:t>
        </ns0:is>
      </ns0:c>
      <ns0:c r="C35" s="5" t="inlineStr">
        <ns0:is>
          <ns0:t>CP</ns0:t>
        </ns0:is>
      </ns0:c>
      <ns0:c r="D35" s="5" t="inlineStr">
        <ns0:is>
          <ns0:t>Fig. 6/text Pd–In2O3 CP stability, after 500 h</ns0:t>
        </ns0:is>
      </ns0:c>
      <ns0:c r="E35" s="5" t="inlineStr">
        <ns0:is>
          <ns0:t>temperature</ns0:t>
        </ns0:is>
      </ns0:c>
      <ns0:c r="F35" s="5" t="n">
        <ns0:v>279.85</ns0:v>
      </ns0:c>
      <ns0:c r="G35" s="5" t="inlineStr">
        <ns0:is>
          <ns0:t>°C (from K)</ns0:t>
        </ns0:is>
      </ns0:c>
      <ns0:c r="H35" s="5" t="inlineStr"/>
      <ns0:c r="I35" s="5" t="n">
        <ns0:v>279.85</ns0:v>
      </ns0:c>
      <ns0:c r="J35" s="5" t="n">
        <ns0:v>553</ns0:v>
      </ns0:c>
      <ns0:c r="K35" s="5" t="n"/>
      <ns0:c r="L35" s="15">
        <ns0:f>ROUND(J35-273.15,2)</ns0:f>
        <ns0:v>279.85</ns0:v>
      </ns0:c>
      <ns0:c r="M35" s="15">
        <ns0:f>I35-L35</ns0:f>
        <ns0:v>0.0</ns0:v>
      </ns0:c>
      <ns0:c r="N35" s="15" t="str">
        <ns0:f>IF(ABS(M35)&lt;0.0000001,"MATCH","MISMATCH")</ns0:f>
        <ns0:v>MATCH</ns0:v>
      </ns0:c>
      <ns0:c r="O35" s="16" t="inlineStr">
        <ns0:is>
          <ns0:t>直接印刷/单位等价</ns0:t>
        </ns0:is>
      </ns0:c>
      <ns0:c r="P35" s="5" t="inlineStr">
        <ns0:is>
          <ns0:t>Y: 原文数字直印；已换算单位</ns0:t>
        </ns0:is>
      </ns0:c>
      <ns0:c r="Q35" s="17" t="inlineStr">
        <ns0:is>
          <ns0:t>T=553 K</ns0:t>
        </ns0:is>
      </ns0:c>
      <ns0:c r="R35" s="5" t="inlineStr">
        <ns0:is>
          <ns0:t>PDF第8页</ns0:t>
        </ns0:is>
      </ns0:c>
      <ns0:c r="S35" s="5" t="inlineStr">
        <ns0:is>
          <ns0:t>Fig.6 500h stability caption, T</ns0:t>
        </ns0:is>
      </ns0:c>
      <ns0:c r="T35" s="5" t="inlineStr">
        <ns0:is>
          <ns0:t>原文数值及工况相符</ns0:t>
        </ns0:is>
      </ns0:c>
      <ns0:c r="U35" s="18" t="inlineStr">
        <ns0:is>
          <ns0:t>https://drive.google.com/file/d/1SpUJIHvYqa2nrDV6DeXCxRVpO02YyOJ1/view</ns0:t>
        </ns0:is>
      </ns0:c>
      <ns0:c r="V35" s="17" t="inlineStr">
        <ns0:is>
          <ns0:t>ee86dd4c833be2702f5e825c66a6dd3b1cc8c609bd9cc441ee955a26b3cd5330</ns0:t>
        </ns0:is>
      </ns0:c>
      <ns0:c r="W35" s="5" t="inlineStr">
        <ns0:is>
          <ns0:t>Frei-main</ns0:t>
        </ns0:is>
      </ns0:c>
    </ns0:row>
    <ns0:row r="36" ht="45" customHeight="1">
      <ns0:c r="A36" s="5" t="n">
        <ns0:v>35</ns0:v>
      </ns0:c>
      <ns0:c r="B36" s="5" t="inlineStr">
        <ns0:is>
          <ns0:t>10.1038/s41467-019-11349-9</ns0:t>
        </ns0:is>
      </ns0:c>
      <ns0:c r="C36" s="5" t="inlineStr">
        <ns0:is>
          <ns0:t>CP</ns0:t>
        </ns0:is>
      </ns0:c>
      <ns0:c r="D36" s="5" t="inlineStr">
        <ns0:is>
          <ns0:t>Fig. 6/text Pd–In2O3 CP stability, start</ns0:t>
        </ns0:is>
      </ns0:c>
      <ns0:c r="E36" s="5" t="inlineStr">
        <ns0:is>
          <ns0:t>CO2 conversion</ns0:t>
        </ns0:is>
      </ns0:c>
      <ns0:c r="F36" s="5" t="n">
        <ns0:v>9.699999999999999</ns0:v>
      </ns0:c>
      <ns0:c r="G36" s="5" t="inlineStr">
        <ns0:is>
          <ns0:t>%</ns0:t>
        </ns0:is>
      </ns0:c>
      <ns0:c r="H36" s="5" t="inlineStr">
        <ns0:is>
          <ns0:t>=</ns0:t>
        </ns0:is>
      </ns0:c>
      <ns0:c r="I36" s="5" t="n">
        <ns0:v>9.699999999999999</ns0:v>
      </ns0:c>
      <ns0:c r="J36" s="5" t="n">
        <ns0:v>9.699999999999999</ns0:v>
      </ns0:c>
      <ns0:c r="K36" s="5" t="n"/>
      <ns0:c r="L36" s="15">
        <ns0:f>J36</ns0:f>
        <ns0:v>9.7</ns0:v>
      </ns0:c>
      <ns0:c r="M36" s="15">
        <ns0:f>I36-L36</ns0:f>
        <ns0:v>0.0</ns0:v>
      </ns0:c>
      <ns0:c r="N36" s="15" t="str">
        <ns0:f>IF(ABS(M36)&lt;0.0000001,"MATCH","MISMATCH")</ns0:f>
        <ns0:v>MATCH</ns0:v>
      </ns0:c>
      <ns0:c r="O36" s="16" t="inlineStr">
        <ns0:is>
          <ns0:t>直接印刷/单位等价</ns0:t>
        </ns0:is>
      </ns0:c>
      <ns0:c r="P36" s="5" t="inlineStr">
        <ns0:is>
          <ns0:t>Y: 原文表/正文/图注明确数字</ns0:t>
        </ns0:is>
      </ns0:c>
      <ns0:c r="Q36" s="17" t="inlineStr">
        <ns0:is>
          <ns0:t>CO2 conversion from 9.7% to 9.2%</ns0:t>
        </ns0:is>
      </ns0:c>
      <ns0:c r="R36" s="5" t="inlineStr">
        <ns0:is>
          <ns0:t>PDF第8页</ns0:t>
        </ns0:is>
      </ns0:c>
      <ns0:c r="S36" s="5" t="inlineStr">
        <ns0:is>
          <ns0:t>Fig.6 stability text CO2 conversion start</ns0:t>
        </ns0:is>
      </ns0:c>
      <ns0:c r="T36" s="5" t="inlineStr">
        <ns0:is>
          <ns0:t>原文数值及工况相符</ns0:t>
        </ns0:is>
      </ns0:c>
      <ns0:c r="U36" s="18" t="inlineStr">
        <ns0:is>
          <ns0:t>https://drive.google.com/file/d/1SpUJIHvYqa2nrDV6DeXCxRVpO02YyOJ1/view</ns0:t>
        </ns0:is>
      </ns0:c>
      <ns0:c r="V36" s="17" t="inlineStr">
        <ns0:is>
          <ns0:t>ee86dd4c833be2702f5e825c66a6dd3b1cc8c609bd9cc441ee955a26b3cd5330</ns0:t>
        </ns0:is>
      </ns0:c>
      <ns0:c r="W36" s="5" t="inlineStr">
        <ns0:is>
          <ns0:t>Frei-main</ns0:t>
        </ns0:is>
      </ns0:c>
    </ns0:row>
    <ns0:row r="37" ht="45" customHeight="1">
      <ns0:c r="A37" s="5" t="n">
        <ns0:v>36</ns0:v>
      </ns0:c>
      <ns0:c r="B37" s="5" t="inlineStr">
        <ns0:is>
          <ns0:t>10.1038/s41467-019-11349-9</ns0:t>
        </ns0:is>
      </ns0:c>
      <ns0:c r="C37" s="5" t="inlineStr">
        <ns0:is>
          <ns0:t>CP</ns0:t>
        </ns0:is>
      </ns0:c>
      <ns0:c r="D37" s="5" t="inlineStr">
        <ns0:is>
          <ns0:t>Fig. 6/text Pd–In2O3 CP stability, start</ns0:t>
        </ns0:is>
      </ns0:c>
      <ns0:c r="E37" s="5" t="inlineStr">
        <ns0:is>
          <ns0:t>H2/CO2</ns0:t>
        </ns0:is>
      </ns0:c>
      <ns0:c r="F37" s="5" t="n">
        <ns0:v>4</ns0:v>
      </ns0:c>
      <ns0:c r="G37" s="5" t="inlineStr">
        <ns0:is>
          <ns0:t>mol/mol</ns0:t>
        </ns0:is>
      </ns0:c>
      <ns0:c r="H37" s="5" t="inlineStr"/>
      <ns0:c r="I37" s="5" t="n">
        <ns0:v>4</ns0:v>
      </ns0:c>
      <ns0:c r="J37" s="5" t="n">
        <ns0:v>4</ns0:v>
      </ns0:c>
      <ns0:c r="K37" s="5" t="n"/>
      <ns0:c r="L37" s="15">
        <ns0:f>J37</ns0:f>
        <ns0:v>4.0</ns0:v>
      </ns0:c>
      <ns0:c r="M37" s="15">
        <ns0:f>I37-L37</ns0:f>
        <ns0:v>0.0</ns0:v>
      </ns0:c>
      <ns0:c r="N37" s="15" t="str">
        <ns0:f>IF(ABS(M37)&lt;0.0000001,"MATCH","MISMATCH")</ns0:f>
        <ns0:v>MATCH</ns0:v>
      </ns0:c>
      <ns0:c r="O37" s="16" t="inlineStr">
        <ns0:is>
          <ns0:t>直接印刷/单位等价</ns0:t>
        </ns0:is>
      </ns0:c>
      <ns0:c r="P37" s="5" t="inlineStr">
        <ns0:is>
          <ns0:t>Y: 原文表/正文/图注明确数字</ns0:t>
        </ns0:is>
      </ns0:c>
      <ns0:c r="Q37" s="17" t="inlineStr">
        <ns0:is>
          <ns0:t>H2/CO2=4</ns0:t>
        </ns0:is>
      </ns0:c>
      <ns0:c r="R37" s="5" t="inlineStr">
        <ns0:is>
          <ns0:t>PDF第8页</ns0:t>
        </ns0:is>
      </ns0:c>
      <ns0:c r="S37" s="5" t="inlineStr">
        <ns0:is>
          <ns0:t>Fig.6 stability caption H2/CO2</ns0:t>
        </ns0:is>
      </ns0:c>
      <ns0:c r="T37" s="5" t="inlineStr">
        <ns0:is>
          <ns0:t>原文数值及工况相符</ns0:t>
        </ns0:is>
      </ns0:c>
      <ns0:c r="U37" s="18" t="inlineStr">
        <ns0:is>
          <ns0:t>https://drive.google.com/file/d/1SpUJIHvYqa2nrDV6DeXCxRVpO02YyOJ1/view</ns0:t>
        </ns0:is>
      </ns0:c>
      <ns0:c r="V37" s="17" t="inlineStr">
        <ns0:is>
          <ns0:t>ee86dd4c833be2702f5e825c66a6dd3b1cc8c609bd9cc441ee955a26b3cd5330</ns0:t>
        </ns0:is>
      </ns0:c>
      <ns0:c r="W37" s="5" t="inlineStr">
        <ns0:is>
          <ns0:t>Frei-main</ns0:t>
        </ns0:is>
      </ns0:c>
    </ns0:row>
    <ns0:row r="38" ht="45" customHeight="1">
      <ns0:c r="A38" s="5" t="n">
        <ns0:v>37</ns0:v>
      </ns0:c>
      <ns0:c r="B38" s="5" t="inlineStr">
        <ns0:is>
          <ns0:t>10.1038/s41467-019-11349-9</ns0:t>
        </ns0:is>
      </ns0:c>
      <ns0:c r="C38" s="5" t="inlineStr">
        <ns0:is>
          <ns0:t>CP</ns0:t>
        </ns0:is>
      </ns0:c>
      <ns0:c r="D38" s="5" t="inlineStr">
        <ns0:is>
          <ns0:t>Fig. 6/text Pd–In2O3 CP stability, after 500 h</ns0:t>
        </ns0:is>
      </ns0:c>
      <ns0:c r="E38" s="5" t="inlineStr">
        <ns0:is>
          <ns0:t>CO2 conversion</ns0:t>
        </ns0:is>
      </ns0:c>
      <ns0:c r="F38" s="5" t="n">
        <ns0:v>9.199999999999999</ns0:v>
      </ns0:c>
      <ns0:c r="G38" s="5" t="inlineStr">
        <ns0:is>
          <ns0:t>%</ns0:t>
        </ns0:is>
      </ns0:c>
      <ns0:c r="H38" s="5" t="inlineStr">
        <ns0:is>
          <ns0:t>=</ns0:t>
        </ns0:is>
      </ns0:c>
      <ns0:c r="I38" s="5" t="n">
        <ns0:v>9.199999999999999</ns0:v>
      </ns0:c>
      <ns0:c r="J38" s="5" t="n">
        <ns0:v>9.199999999999999</ns0:v>
      </ns0:c>
      <ns0:c r="K38" s="5" t="n"/>
      <ns0:c r="L38" s="15">
        <ns0:f>J38</ns0:f>
        <ns0:v>9.2</ns0:v>
      </ns0:c>
      <ns0:c r="M38" s="15">
        <ns0:f>I38-L38</ns0:f>
        <ns0:v>0.0</ns0:v>
      </ns0:c>
      <ns0:c r="N38" s="15" t="str">
        <ns0:f>IF(ABS(M38)&lt;0.0000001,"MATCH","MISMATCH")</ns0:f>
        <ns0:v>MATCH</ns0:v>
      </ns0:c>
      <ns0:c r="O38" s="16" t="inlineStr">
        <ns0:is>
          <ns0:t>直接印刷/单位等价</ns0:t>
        </ns0:is>
      </ns0:c>
      <ns0:c r="P38" s="5" t="inlineStr">
        <ns0:is>
          <ns0:t>Y: 原文表/正文/图注明确数字</ns0:t>
        </ns0:is>
      </ns0:c>
      <ns0:c r="Q38" s="17" t="inlineStr">
        <ns0:is>
          <ns0:t>9.7 to 9.2%, stable until 500h</ns0:t>
        </ns0:is>
      </ns0:c>
      <ns0:c r="R38" s="5" t="inlineStr">
        <ns0:is>
          <ns0:t>PDF第8页</ns0:t>
        </ns0:is>
      </ns0:c>
      <ns0:c r="S38" s="5" t="inlineStr">
        <ns0:is>
          <ns0:t>Fig.6 stability text CO2 conversion after 200h</ns0:t>
        </ns0:is>
      </ns0:c>
      <ns0:c r="T38" s="5" t="inlineStr">
        <ns0:is>
          <ns0:t>原文数值及工况相符</ns0:t>
        </ns0:is>
      </ns0:c>
      <ns0:c r="U38" s="18" t="inlineStr">
        <ns0:is>
          <ns0:t>https://drive.google.com/file/d/1SpUJIHvYqa2nrDV6DeXCxRVpO02YyOJ1/view</ns0:t>
        </ns0:is>
      </ns0:c>
      <ns0:c r="V38" s="17" t="inlineStr">
        <ns0:is>
          <ns0:t>ee86dd4c833be2702f5e825c66a6dd3b1cc8c609bd9cc441ee955a26b3cd5330</ns0:t>
        </ns0:is>
      </ns0:c>
      <ns0:c r="W38" s="5" t="inlineStr">
        <ns0:is>
          <ns0:t>Frei-main</ns0:t>
        </ns0:is>
      </ns0:c>
    </ns0:row>
    <ns0:row r="39" ht="45" customHeight="1">
      <ns0:c r="A39" s="5" t="n">
        <ns0:v>38</ns0:v>
      </ns0:c>
      <ns0:c r="B39" s="5" t="inlineStr">
        <ns0:is>
          <ns0:t>10.1038/s41467-019-11349-9</ns0:t>
        </ns0:is>
      </ns0:c>
      <ns0:c r="C39" s="5" t="inlineStr">
        <ns0:is>
          <ns0:t>CP</ns0:t>
        </ns0:is>
      </ns0:c>
      <ns0:c r="D39" s="5" t="inlineStr">
        <ns0:is>
          <ns0:t>Fig. 6/text Pd–In2O3 CP stability, start</ns0:t>
        </ns0:is>
      </ns0:c>
      <ns0:c r="E39" s="5" t="inlineStr">
        <ns0:is>
          <ns0:t>temperature</ns0:t>
        </ns0:is>
      </ns0:c>
      <ns0:c r="F39" s="5" t="n">
        <ns0:v>279.85</ns0:v>
      </ns0:c>
      <ns0:c r="G39" s="5" t="inlineStr">
        <ns0:is>
          <ns0:t>°C (from K)</ns0:t>
        </ns0:is>
      </ns0:c>
      <ns0:c r="H39" s="5" t="inlineStr"/>
      <ns0:c r="I39" s="5" t="n">
        <ns0:v>279.85</ns0:v>
      </ns0:c>
      <ns0:c r="J39" s="5" t="n">
        <ns0:v>553</ns0:v>
      </ns0:c>
      <ns0:c r="K39" s="5" t="n"/>
      <ns0:c r="L39" s="15">
        <ns0:f>ROUND(J39-273.15,2)</ns0:f>
        <ns0:v>279.85</ns0:v>
      </ns0:c>
      <ns0:c r="M39" s="15">
        <ns0:f>I39-L39</ns0:f>
        <ns0:v>0.0</ns0:v>
      </ns0:c>
      <ns0:c r="N39" s="15" t="str">
        <ns0:f>IF(ABS(M39)&lt;0.0000001,"MATCH","MISMATCH")</ns0:f>
        <ns0:v>MATCH</ns0:v>
      </ns0:c>
      <ns0:c r="O39" s="16" t="inlineStr">
        <ns0:is>
          <ns0:t>直接印刷/单位等价</ns0:t>
        </ns0:is>
      </ns0:c>
      <ns0:c r="P39" s="5" t="inlineStr">
        <ns0:is>
          <ns0:t>Y: 原文数字直印；已换算单位</ns0:t>
        </ns0:is>
      </ns0:c>
      <ns0:c r="Q39" s="17" t="inlineStr">
        <ns0:is>
          <ns0:t>553 K</ns0:t>
        </ns0:is>
      </ns0:c>
      <ns0:c r="R39" s="5" t="inlineStr">
        <ns0:is>
          <ns0:t>PDF第8页</ns0:t>
        </ns0:is>
      </ns0:c>
      <ns0:c r="S39" s="5" t="inlineStr">
        <ns0:is>
          <ns0:t>Fig.6 stability caption, T</ns0:t>
        </ns0:is>
      </ns0:c>
      <ns0:c r="T39" s="5" t="inlineStr">
        <ns0:is>
          <ns0:t>原文数值及工况相符</ns0:t>
        </ns0:is>
      </ns0:c>
      <ns0:c r="U39" s="18" t="inlineStr">
        <ns0:is>
          <ns0:t>https://drive.google.com/file/d/1SpUJIHvYqa2nrDV6DeXCxRVpO02YyOJ1/view</ns0:t>
        </ns0:is>
      </ns0:c>
      <ns0:c r="V39" s="17" t="inlineStr">
        <ns0:is>
          <ns0:t>ee86dd4c833be2702f5e825c66a6dd3b1cc8c609bd9cc441ee955a26b3cd5330</ns0:t>
        </ns0:is>
      </ns0:c>
      <ns0:c r="W39" s="5" t="inlineStr">
        <ns0:is>
          <ns0:t>Frei-main</ns0:t>
        </ns0:is>
      </ns0:c>
    </ns0:row>
    <ns0:row r="40" ht="45" customHeight="1">
      <ns0:c r="A40" s="5" t="n">
        <ns0:v>39</ns0:v>
      </ns0:c>
      <ns0:c r="B40" s="5" t="inlineStr">
        <ns0:is>
          <ns0:t>10.1038/s41467-019-11349-9</ns0:t>
        </ns0:is>
      </ns0:c>
      <ns0:c r="C40" s="5" t="inlineStr">
        <ns0:is>
          <ns0:t>CP</ns0:t>
        </ns0:is>
      </ns0:c>
      <ns0:c r="D40" s="5" t="inlineStr">
        <ns0:is>
          <ns0:t>Fig. 6/text Pd–In2O3 CP stability, start</ns0:t>
        </ns0:is>
      </ns0:c>
      <ns0:c r="E40" s="5" t="inlineStr">
        <ns0:is>
          <ns0:t>pressure</ns0:t>
        </ns0:is>
      </ns0:c>
      <ns0:c r="F40" s="5" t="n">
        <ns0:v>50</ns0:v>
      </ns0:c>
      <ns0:c r="G40" s="5" t="inlineStr">
        <ns0:is>
          <ns0:t>bar</ns0:t>
        </ns0:is>
      </ns0:c>
      <ns0:c r="H40" s="5" t="inlineStr"/>
      <ns0:c r="I40" s="5" t="n">
        <ns0:v>50</ns0:v>
      </ns0:c>
      <ns0:c r="J40" s="5" t="n">
        <ns0:v>5</ns0:v>
      </ns0:c>
      <ns0:c r="K40" s="5" t="n"/>
      <ns0:c r="L40" s="15">
        <ns0:f>J40*10</ns0:f>
        <ns0:v>50.0</ns0:v>
      </ns0:c>
      <ns0:c r="M40" s="15">
        <ns0:f>I40-L40</ns0:f>
        <ns0:v>0.0</ns0:v>
      </ns0:c>
      <ns0:c r="N40" s="15" t="str">
        <ns0:f>IF(ABS(M40)&lt;0.0000001,"MATCH","MISMATCH")</ns0:f>
        <ns0:v>MATCH</ns0:v>
      </ns0:c>
      <ns0:c r="O40" s="16" t="inlineStr">
        <ns0:is>
          <ns0:t>直接印刷/单位等价</ns0:t>
        </ns0:is>
      </ns0:c>
      <ns0:c r="P40" s="5" t="inlineStr">
        <ns0:is>
          <ns0:t>Y: 原文数字直印；已换算单位</ns0:t>
        </ns0:is>
      </ns0:c>
      <ns0:c r="Q40" s="17" t="inlineStr">
        <ns0:is>
          <ns0:t>P=5 MPa</ns0:t>
        </ns0:is>
      </ns0:c>
      <ns0:c r="R40" s="5" t="inlineStr">
        <ns0:is>
          <ns0:t>PDF第8页</ns0:t>
        </ns0:is>
      </ns0:c>
      <ns0:c r="S40" s="5" t="inlineStr">
        <ns0:is>
          <ns0:t>Fig.6 stability caption, P</ns0:t>
        </ns0:is>
      </ns0:c>
      <ns0:c r="T40" s="5" t="inlineStr">
        <ns0:is>
          <ns0:t>原文数值及工况相符</ns0:t>
        </ns0:is>
      </ns0:c>
      <ns0:c r="U40" s="18" t="inlineStr">
        <ns0:is>
          <ns0:t>https://drive.google.com/file/d/1SpUJIHvYqa2nrDV6DeXCxRVpO02YyOJ1/view</ns0:t>
        </ns0:is>
      </ns0:c>
      <ns0:c r="V40" s="17" t="inlineStr">
        <ns0:is>
          <ns0:t>ee86dd4c833be2702f5e825c66a6dd3b1cc8c609bd9cc441ee955a26b3cd5330</ns0:t>
        </ns0:is>
      </ns0:c>
      <ns0:c r="W40" s="5" t="inlineStr">
        <ns0:is>
          <ns0:t>Frei-main</ns0:t>
        </ns0:is>
      </ns0:c>
    </ns0:row>
    <ns0:row r="41" ht="45" customHeight="1">
      <ns0:c r="A41" s="5" t="n">
        <ns0:v>40</ns0:v>
      </ns0:c>
      <ns0:c r="B41" s="5" t="inlineStr">
        <ns0:is>
          <ns0:t>10.1038/s41467-019-11349-9</ns0:t>
        </ns0:is>
      </ns0:c>
      <ns0:c r="C41" s="5" t="inlineStr">
        <ns0:is>
          <ns0:t>Pd–In2O3 CP</ns0:t>
        </ns0:is>
      </ns0:c>
      <ns0:c r="D41" s="5" t="inlineStr">
        <ns0:is>
          <ns0:t>Table 2 Pd–In2O3 CP, WHSV 48,000 initial</ns0:t>
        </ns0:is>
      </ns0:c>
      <ns0:c r="E41" s="5" t="inlineStr">
        <ns0:is>
          <ns0:t>CO2 conversion</ns0:t>
        </ns0:is>
      </ns0:c>
      <ns0:c r="F41" s="5" t="n">
        <ns0:v>9.699999999999999</ns0:v>
      </ns0:c>
      <ns0:c r="G41" s="5" t="inlineStr">
        <ns0:is>
          <ns0:t>%</ns0:t>
        </ns0:is>
      </ns0:c>
      <ns0:c r="H41" s="5" t="inlineStr">
        <ns0:is>
          <ns0:t>=</ns0:t>
        </ns0:is>
      </ns0:c>
      <ns0:c r="I41" s="5" t="n">
        <ns0:v>9.699999999999999</ns0:v>
      </ns0:c>
      <ns0:c r="J41" s="5" t="n">
        <ns0:v>9.699999999999999</ns0:v>
      </ns0:c>
      <ns0:c r="K41" s="5" t="n"/>
      <ns0:c r="L41" s="15">
        <ns0:f>J41</ns0:f>
        <ns0:v>9.7</ns0:v>
      </ns0:c>
      <ns0:c r="M41" s="15">
        <ns0:f>I41-L41</ns0:f>
        <ns0:v>0.0</ns0:v>
      </ns0:c>
      <ns0:c r="N41" s="15" t="str">
        <ns0:f>IF(ABS(M41)&lt;0.0000001,"MATCH","MISMATCH")</ns0:f>
        <ns0:v>MATCH</ns0:v>
      </ns0:c>
      <ns0:c r="O41" s="20" t="inlineStr">
        <ns0:is>
          <ns0:t>原文值对但定位错误</ns0:t>
        </ns0:is>
      </ns0:c>
      <ns0:c r="P41" s="5" t="inlineStr">
        <ns0:is>
          <ns0:t>Y: 原文表/正文/图注明确数字</ns0:t>
        </ns0:is>
      </ns0:c>
      <ns0:c r="Q41" s="17" t="inlineStr">
        <ns0:is>
          <ns0:t>9.7% CO2 conversion in stability paragraph</ns0:t>
        </ns0:is>
      </ns0:c>
      <ns0:c r="R41" s="5" t="inlineStr">
        <ns0:is>
          <ns0:t>PDF第8页</ns0:t>
        </ns0:is>
      </ns0:c>
      <ns0:c r="S41" s="5" t="inlineStr">
        <ns0:is>
          <ns0:t>Fig.6 nearby main text, not Table 2</ns0:t>
        </ns0:is>
      </ns0:c>
      <ns0:c r="T41" s="19" t="inlineStr">
        <ns0:is>
          <ns0:t>原Excel标为Table 2，但该表没有CO2 conversion列；应更正定位</ns0:t>
        </ns0:is>
      </ns0:c>
      <ns0:c r="U41" s="18" t="inlineStr">
        <ns0:is>
          <ns0:t>https://drive.google.com/file/d/1SpUJIHvYqa2nrDV6DeXCxRVpO02YyOJ1/view</ns0:t>
        </ns0:is>
      </ns0:c>
      <ns0:c r="V41" s="17" t="inlineStr">
        <ns0:is>
          <ns0:t>ee86dd4c833be2702f5e825c66a6dd3b1cc8c609bd9cc441ee955a26b3cd5330</ns0:t>
        </ns0:is>
      </ns0:c>
      <ns0:c r="W41" s="5" t="inlineStr">
        <ns0:is>
          <ns0:t>Frei-main</ns0:t>
        </ns0:is>
      </ns0:c>
    </ns0:row>
    <ns0:row r="42" ht="45" customHeight="1">
      <ns0:c r="A42" s="5" t="n">
        <ns0:v>41</ns0:v>
      </ns0:c>
      <ns0:c r="B42" s="5" t="inlineStr">
        <ns0:is>
          <ns0:t>10.1126/sciadv.aaz2060</ns0:t>
        </ns0:is>
      </ns0:c>
      <ns0:c r="C42" s="5" t="inlineStr">
        <ns0:is>
          <ns0:t>h–In2O3-R</ns0:t>
        </ns0:is>
      </ns0:c>
      <ns0:c r="D42" s="5" t="inlineStr">
        <ns0:is>
          <ns0:t>Fig. 5B/C, h–In2O3-R, 240°C, standard feed</ns0:t>
        </ns0:is>
      </ns0:c>
      <ns0:c r="E42" s="5" t="inlineStr">
        <ns0:is>
          <ns0:t>space velocity</ns0:t>
        </ns0:is>
      </ns0:c>
      <ns0:c r="F42" s="5" t="inlineStr">
        <ns0:is>
          <ns0:t>9000 ml gcat−1 hour−1</ns0:t>
        </ns0:is>
      </ns0:c>
      <ns0:c r="G42" s="5" t="inlineStr">
        <ns0:is>
          <ns0:t>as printed</ns0:t>
        </ns0:is>
      </ns0:c>
      <ns0:c r="H42" s="5" t="inlineStr"/>
      <ns0:c r="I42" s="5" t="n">
        <ns0:v>9000</ns0:v>
      </ns0:c>
      <ns0:c r="J42" s="5" t="n">
        <ns0:v>9000</ns0:v>
      </ns0:c>
      <ns0:c r="K42" s="5" t="n"/>
      <ns0:c r="L42" s="15">
        <ns0:f>J42</ns0:f>
        <ns0:v>9000.0</ns0:v>
      </ns0:c>
      <ns0:c r="M42" s="15">
        <ns0:f>I42-L42</ns0:f>
        <ns0:v>0.0</ns0:v>
      </ns0:c>
      <ns0:c r="N42" s="15" t="str">
        <ns0:f>IF(ABS(M42)&lt;0.0000001,"MATCH","MISMATCH")</ns0:f>
        <ns0:v>MATCH</ns0:v>
      </ns0:c>
      <ns0:c r="O42" s="16" t="inlineStr">
        <ns0:is>
          <ns0:t>直接印刷/单位等价</ns0:t>
        </ns0:is>
      </ns0:c>
      <ns0:c r="P42" s="5" t="inlineStr">
        <ns0:is>
          <ns0:t>Y: 原文表/正文/图注明确数字</ns0:t>
        </ns0:is>
      </ns0:c>
      <ns0:c r="Q42" s="17" t="inlineStr">
        <ns0:is>
          <ns0:t>9000 mL gcat^-1 hour^-1</ns0:t>
        </ns0:is>
      </ns0:c>
      <ns0:c r="R42" s="5" t="inlineStr">
        <ns0:is>
          <ns0:t>PDF第7页</ns0:t>
        </ns0:is>
      </ns0:c>
      <ns0:c r="S42" s="5" t="inlineStr">
        <ns0:is>
          <ns0:t>Fig.5 caption, standard space velocity</ns0:t>
        </ns0:is>
      </ns0:c>
      <ns0:c r="T42" s="5" t="inlineStr">
        <ns0:is>
          <ns0:t>原文数值及工况相符</ns0:t>
        </ns0:is>
      </ns0:c>
      <ns0:c r="U42" s="18" t="inlineStr">
        <ns0:is>
          <ns0:t>https://drive.google.com/file/d/1JtMfT_rmaSxPBxw9ruJKSfhUJnyYMn_-/view</ns0:t>
        </ns0:is>
      </ns0:c>
      <ns0:c r="V42" s="17" t="inlineStr">
        <ns0:is>
          <ns0:t>3d5da02d49915def0108f56f6123b1ca1800e65b600dd725e62976e16d76c001</ns0:t>
        </ns0:is>
      </ns0:c>
      <ns0:c r="W42" s="5" t="inlineStr">
        <ns0:is>
          <ns0:t>Dang-main</ns0:t>
        </ns0:is>
      </ns0:c>
    </ns0:row>
    <ns0:row r="43" ht="45" customHeight="1">
      <ns0:c r="A43" s="5" t="n">
        <ns0:v>42</ns0:v>
      </ns0:c>
      <ns0:c r="B43" s="5" t="inlineStr">
        <ns0:is>
          <ns0:t>10.1126/sciadv.aaz2060</ns0:t>
        </ns0:is>
      </ns0:c>
      <ns0:c r="C43" s="5" t="inlineStr">
        <ns0:is>
          <ns0:t>h–In2O3-R</ns0:t>
        </ns0:is>
      </ns0:c>
      <ns0:c r="D43" s="5" t="inlineStr">
        <ns0:is>
          <ns0:t>Fig. 5E/text, h–In2O3-R stability, initial</ns0:t>
        </ns0:is>
      </ns0:c>
      <ns0:c r="E43" s="5" t="inlineStr">
        <ns0:is>
          <ns0:t>CH3OH selectivity</ns0:t>
        </ns0:is>
      </ns0:c>
      <ns0:c r="F43" s="5" t="n">
        <ns0:v>71</ns0:v>
      </ns0:c>
      <ns0:c r="G43" s="5" t="inlineStr">
        <ns0:is>
          <ns0:t>%</ns0:t>
        </ns0:is>
      </ns0:c>
      <ns0:c r="H43" s="5" t="inlineStr">
        <ns0:is>
          <ns0:t>=</ns0:t>
        </ns0:is>
      </ns0:c>
      <ns0:c r="I43" s="5" t="n">
        <ns0:v>71</ns0:v>
      </ns0:c>
      <ns0:c r="J43" s="5" t="n">
        <ns0:v>71</ns0:v>
      </ns0:c>
      <ns0:c r="K43" s="5" t="n"/>
      <ns0:c r="L43" s="15">
        <ns0:f>J43</ns0:f>
        <ns0:v>71.0</ns0:v>
      </ns0:c>
      <ns0:c r="M43" s="15">
        <ns0:f>I43-L43</ns0:f>
        <ns0:v>0.0</ns0:v>
      </ns0:c>
      <ns0:c r="N43" s="15" t="str">
        <ns0:f>IF(ABS(M43)&lt;0.0000001,"MATCH","MISMATCH")</ns0:f>
        <ns0:v>MATCH</ns0:v>
      </ns0:c>
      <ns0:c r="O43" s="16" t="inlineStr">
        <ns0:is>
          <ns0:t>直接印刷/单位等价</ns0:t>
        </ns0:is>
      </ns0:c>
      <ns0:c r="P43" s="5" t="inlineStr">
        <ns0:is>
          <ns0:t>Y: 原文表/正文/图注明确数字</ns0:t>
        </ns0:is>
      </ns0:c>
      <ns0:c r="Q43" s="17" t="inlineStr">
        <ns0:is>
          <ns0:t>SMeOH from 71 to 85%</ns0:t>
        </ns0:is>
      </ns0:c>
      <ns0:c r="R43" s="5" t="inlineStr">
        <ns0:is>
          <ns0:t>PDF第6页</ns0:t>
        </ns0:is>
      </ns0:c>
      <ns0:c r="S43" s="5" t="inlineStr">
        <ns0:is>
          <ns0:t>Fig.5E 44h stability paragraph</ns0:t>
        </ns0:is>
      </ns0:c>
      <ns0:c r="T43" s="5" t="inlineStr">
        <ns0:is>
          <ns0:t>原文数值及工况相符</ns0:t>
        </ns0:is>
      </ns0:c>
      <ns0:c r="U43" s="18" t="inlineStr">
        <ns0:is>
          <ns0:t>https://drive.google.com/file/d/1JtMfT_rmaSxPBxw9ruJKSfhUJnyYMn_-/view</ns0:t>
        </ns0:is>
      </ns0:c>
      <ns0:c r="V43" s="17" t="inlineStr">
        <ns0:is>
          <ns0:t>3d5da02d49915def0108f56f6123b1ca1800e65b600dd725e62976e16d76c001</ns0:t>
        </ns0:is>
      </ns0:c>
      <ns0:c r="W43" s="5" t="inlineStr">
        <ns0:is>
          <ns0:t>Dang-main</ns0:t>
        </ns0:is>
      </ns0:c>
    </ns0:row>
    <ns0:row r="44" ht="45" customHeight="1">
      <ns0:c r="A44" s="5" t="n">
        <ns0:v>43</ns0:v>
      </ns0:c>
      <ns0:c r="B44" s="5" t="inlineStr">
        <ns0:is>
          <ns0:t>10.1126/sciadv.aaz2060</ns0:t>
        </ns0:is>
      </ns0:c>
      <ns0:c r="C44" s="5" t="inlineStr">
        <ns0:is>
          <ns0:t>h–In2O3-R</ns0:t>
        </ns0:is>
      </ns0:c>
      <ns0:c r="D44" s="5" t="inlineStr">
        <ns0:is>
          <ns0:t>Fig. 5B/C, h–In2O3-R, 240°C, standard feed</ns0:t>
        </ns0:is>
      </ns0:c>
      <ns0:c r="E44" s="5" t="inlineStr">
        <ns0:is>
          <ns0:t>temperature</ns0:t>
        </ns0:is>
      </ns0:c>
      <ns0:c r="F44" s="5" t="n">
        <ns0:v>240</ns0:v>
      </ns0:c>
      <ns0:c r="G44" s="5" t="inlineStr">
        <ns0:is>
          <ns0:t>°C (from K)</ns0:t>
        </ns0:is>
      </ns0:c>
      <ns0:c r="H44" s="5" t="inlineStr"/>
      <ns0:c r="I44" s="5" t="n">
        <ns0:v>240</ns0:v>
      </ns0:c>
      <ns0:c r="J44" s="5" t="n">
        <ns0:v>240</ns0:v>
      </ns0:c>
      <ns0:c r="K44" s="5" t="n"/>
      <ns0:c r="L44" s="15">
        <ns0:f>J44</ns0:f>
        <ns0:v>240.0</ns0:v>
      </ns0:c>
      <ns0:c r="M44" s="15">
        <ns0:f>I44-L44</ns0:f>
        <ns0:v>0.0</ns0:v>
      </ns0:c>
      <ns0:c r="N44" s="15" t="str">
        <ns0:f>IF(ABS(M44)&lt;0.0000001,"MATCH","MISMATCH")</ns0:f>
        <ns0:v>MATCH</ns0:v>
      </ns0:c>
      <ns0:c r="O44" s="16" t="inlineStr">
        <ns0:is>
          <ns0:t>直接印刷/单位等价</ns0:t>
        </ns0:is>
      </ns0:c>
      <ns0:c r="P44" s="5" t="inlineStr">
        <ns0:is>
          <ns0:t>Y: 原文表/正文/图注明确数字</ns0:t>
        </ns0:is>
      </ns0:c>
      <ns0:c r="Q44" s="17" t="inlineStr">
        <ns0:is>
          <ns0:t>240°C</ns0:t>
        </ns0:is>
      </ns0:c>
      <ns0:c r="R44" s="5" t="inlineStr">
        <ns0:is>
          <ns0:t>PDF第6页</ns0:t>
        </ns0:is>
      </ns0:c>
      <ns0:c r="S44" s="5" t="inlineStr">
        <ns0:is>
          <ns0:t>Fig.5B/C temperature series text</ns0:t>
        </ns0:is>
      </ns0:c>
      <ns0:c r="T44" s="5" t="inlineStr">
        <ns0:is>
          <ns0:t>原文数值及工况相符</ns0:t>
        </ns0:is>
      </ns0:c>
      <ns0:c r="U44" s="18" t="inlineStr">
        <ns0:is>
          <ns0:t>https://drive.google.com/file/d/1JtMfT_rmaSxPBxw9ruJKSfhUJnyYMn_-/view</ns0:t>
        </ns0:is>
      </ns0:c>
      <ns0:c r="V44" s="17" t="inlineStr">
        <ns0:is>
          <ns0:t>3d5da02d49915def0108f56f6123b1ca1800e65b600dd725e62976e16d76c001</ns0:t>
        </ns0:is>
      </ns0:c>
      <ns0:c r="W44" s="5" t="inlineStr">
        <ns0:is>
          <ns0:t>Dang-main</ns0:t>
        </ns0:is>
      </ns0:c>
    </ns0:row>
    <ns0:row r="45" ht="45" customHeight="1">
      <ns0:c r="A45" s="5" t="n">
        <ns0:v>44</ns0:v>
      </ns0:c>
      <ns0:c r="B45" s="5" t="inlineStr">
        <ns0:is>
          <ns0:t>10.1126/sciadv.aaz2060</ns0:t>
        </ns0:is>
      </ns0:c>
      <ns0:c r="C45" s="5" t="inlineStr">
        <ns0:is>
          <ns0:t>h–In2O3-R</ns0:t>
        </ns0:is>
      </ns0:c>
      <ns0:c r="D45" s="5" t="inlineStr">
        <ns0:is>
          <ns0:t>Fig. 5E/text, h–In2O3-R stability, 44 h</ns0:t>
        </ns0:is>
      </ns0:c>
      <ns0:c r="E45" s="5" t="inlineStr">
        <ns0:is>
          <ns0:t>pressure</ns0:t>
        </ns0:is>
      </ns0:c>
      <ns0:c r="F45" s="5" t="n">
        <ns0:v>50</ns0:v>
      </ns0:c>
      <ns0:c r="G45" s="5" t="inlineStr">
        <ns0:is>
          <ns0:t>bar</ns0:t>
        </ns0:is>
      </ns0:c>
      <ns0:c r="H45" s="5" t="inlineStr"/>
      <ns0:c r="I45" s="5" t="n">
        <ns0:v>50</ns0:v>
      </ns0:c>
      <ns0:c r="J45" s="5" t="n">
        <ns0:v>5</ns0:v>
      </ns0:c>
      <ns0:c r="K45" s="5" t="n"/>
      <ns0:c r="L45" s="15">
        <ns0:f>J45*10</ns0:f>
        <ns0:v>50.0</ns0:v>
      </ns0:c>
      <ns0:c r="M45" s="15">
        <ns0:f>I45-L45</ns0:f>
        <ns0:v>0.0</ns0:v>
      </ns0:c>
      <ns0:c r="N45" s="15" t="str">
        <ns0:f>IF(ABS(M45)&lt;0.0000001,"MATCH","MISMATCH")</ns0:f>
        <ns0:v>MATCH</ns0:v>
      </ns0:c>
      <ns0:c r="O45" s="16" t="inlineStr">
        <ns0:is>
          <ns0:t>直接印刷/单位等价</ns0:t>
        </ns0:is>
      </ns0:c>
      <ns0:c r="P45" s="5" t="inlineStr">
        <ns0:is>
          <ns0:t>Y: 原文数字直印；已换算单位</ns0:t>
        </ns0:is>
      </ns0:c>
      <ns0:c r="Q45" s="17" t="inlineStr">
        <ns0:is>
          <ns0:t>P=5.0 MPa</ns0:t>
        </ns0:is>
      </ns0:c>
      <ns0:c r="R45" s="5" t="inlineStr">
        <ns0:is>
          <ns0:t>PDF第7页</ns0:t>
        </ns0:is>
      </ns0:c>
      <ns0:c r="S45" s="5" t="inlineStr">
        <ns0:is>
          <ns0:t>Fig.5 caption, P</ns0:t>
        </ns0:is>
      </ns0:c>
      <ns0:c r="T45" s="5" t="inlineStr">
        <ns0:is>
          <ns0:t>原文数值及工况相符</ns0:t>
        </ns0:is>
      </ns0:c>
      <ns0:c r="U45" s="18" t="inlineStr">
        <ns0:is>
          <ns0:t>https://drive.google.com/file/d/1JtMfT_rmaSxPBxw9ruJKSfhUJnyYMn_-/view</ns0:t>
        </ns0:is>
      </ns0:c>
      <ns0:c r="V45" s="17" t="inlineStr">
        <ns0:is>
          <ns0:t>3d5da02d49915def0108f56f6123b1ca1800e65b600dd725e62976e16d76c001</ns0:t>
        </ns0:is>
      </ns0:c>
      <ns0:c r="W45" s="5" t="inlineStr">
        <ns0:is>
          <ns0:t>Dang-main</ns0:t>
        </ns0:is>
      </ns0:c>
    </ns0:row>
    <ns0:row r="46" ht="45" customHeight="1">
      <ns0:c r="A46" s="5" t="n">
        <ns0:v>45</ns0:v>
      </ns0:c>
      <ns0:c r="B46" s="5" t="inlineStr">
        <ns0:is>
          <ns0:t>10.1126/sciadv.aaz2060</ns0:t>
        </ns0:is>
      </ns0:c>
      <ns0:c r="C46" s="5" t="inlineStr">
        <ns0:is>
          <ns0:t>h–In2O3-R</ns0:t>
        </ns0:is>
      </ns0:c>
      <ns0:c r="D46" s="5" t="inlineStr">
        <ns0:is>
          <ns0:t>Fig. 5E/text, h–In2O3-R stability, initial</ns0:t>
        </ns0:is>
      </ns0:c>
      <ns0:c r="E46" s="5" t="inlineStr">
        <ns0:is>
          <ns0:t>H2/CO2</ns0:t>
        </ns0:is>
      </ns0:c>
      <ns0:c r="F46" s="5" t="n">
        <ns0:v>3.041666666666667</ns0:v>
      </ns0:c>
      <ns0:c r="G46" s="5" t="inlineStr">
        <ns0:is>
          <ns0:t>mol/mol</ns0:t>
        </ns0:is>
      </ns0:c>
      <ns0:c r="H46" s="5" t="inlineStr"/>
      <ns0:c r="I46" s="5" t="n">
        <ns0:v>3.041666666666667</ns0:v>
      </ns0:c>
      <ns0:c r="J46" s="5" t="n">
        <ns0:v>73</ns0:v>
      </ns0:c>
      <ns0:c r="K46" s="5" t="n">
        <ns0:v>24</ns0:v>
      </ns0:c>
      <ns0:c r="L46" s="15">
        <ns0:f>J46/K46</ns0:f>
        <ns0:v>3.0416666666666665</ns0:v>
      </ns0:c>
      <ns0:c r="M46" s="15">
        <ns0:f>I46-L46</ns0:f>
        <ns0:v>4.440892098500626e-16</ns0:v>
      </ns0:c>
      <ns0:c r="N46" s="15" t="str">
        <ns0:f>IF(ABS(M46)&lt;0.0000001,"MATCH","MISMATCH")</ns0:f>
        <ns0:v>MATCH</ns0:v>
      </ns0:c>
      <ns0:c r="O46" s="21" t="inlineStr">
        <ns0:is>
          <ns0:t>组成或比值推导</ns0:t>
        </ns0:is>
      </ns0:c>
      <ns0:c r="P46" s="5" t="inlineStr">
        <ns0:is>
          <ns0:t>N: 原文有构成数字，比值由计算得到</ns0:t>
        </ns0:is>
      </ns0:c>
      <ns0:c r="Q46" s="17" t="inlineStr">
        <ns0:is>
          <ns0:t>H2/CO2/N2=73/24/3</ns0:t>
        </ns0:is>
      </ns0:c>
      <ns0:c r="R46" s="5" t="inlineStr">
        <ns0:is>
          <ns0:t>PDF第7页</ns0:t>
        </ns0:is>
      </ns0:c>
      <ns0:c r="S46" s="5" t="inlineStr">
        <ns0:is>
          <ns0:t>Fig.5 caption, feed H2/CO2/N2</ns0:t>
        </ns0:is>
      </ns0:c>
      <ns0:c r="T46" s="19" t="inlineStr">
        <ns0:is>
          <ns0:t>3.0416667不是原文直印数字；73/24为推导。且进料含3份N2</ns0:t>
        </ns0:is>
      </ns0:c>
      <ns0:c r="U46" s="18" t="inlineStr">
        <ns0:is>
          <ns0:t>https://drive.google.com/file/d/1JtMfT_rmaSxPBxw9ruJKSfhUJnyYMn_-/view</ns0:t>
        </ns0:is>
      </ns0:c>
      <ns0:c r="V46" s="17" t="inlineStr">
        <ns0:is>
          <ns0:t>3d5da02d49915def0108f56f6123b1ca1800e65b600dd725e62976e16d76c001</ns0:t>
        </ns0:is>
      </ns0:c>
      <ns0:c r="W46" s="5" t="inlineStr">
        <ns0:is>
          <ns0:t>Dang-main</ns0:t>
        </ns0:is>
      </ns0:c>
    </ns0:row>
    <ns0:row r="47" ht="45" customHeight="1">
      <ns0:c r="A47" s="5" t="n">
        <ns0:v>46</ns0:v>
      </ns0:c>
      <ns0:c r="B47" s="5" t="inlineStr">
        <ns0:is>
          <ns0:t>10.1126/sciadv.aaz2060</ns0:t>
        </ns0:is>
      </ns0:c>
      <ns0:c r="C47" s="5" t="inlineStr">
        <ns0:is>
          <ns0:t>h–In2O3-R</ns0:t>
        </ns0:is>
      </ns0:c>
      <ns0:c r="D47" s="5" t="inlineStr">
        <ns0:is>
          <ns0:t>Fig. 5E/text, h–In2O3-R stability, initial</ns0:t>
        </ns0:is>
      </ns0:c>
      <ns0:c r="E47" s="5" t="inlineStr">
        <ns0:is>
          <ns0:t>pressure</ns0:t>
        </ns0:is>
      </ns0:c>
      <ns0:c r="F47" s="5" t="n">
        <ns0:v>50</ns0:v>
      </ns0:c>
      <ns0:c r="G47" s="5" t="inlineStr">
        <ns0:is>
          <ns0:t>bar</ns0:t>
        </ns0:is>
      </ns0:c>
      <ns0:c r="H47" s="5" t="inlineStr"/>
      <ns0:c r="I47" s="5" t="n">
        <ns0:v>50</ns0:v>
      </ns0:c>
      <ns0:c r="J47" s="5" t="n">
        <ns0:v>5</ns0:v>
      </ns0:c>
      <ns0:c r="K47" s="5" t="n"/>
      <ns0:c r="L47" s="15">
        <ns0:f>J47*10</ns0:f>
        <ns0:v>50.0</ns0:v>
      </ns0:c>
      <ns0:c r="M47" s="15">
        <ns0:f>I47-L47</ns0:f>
        <ns0:v>0.0</ns0:v>
      </ns0:c>
      <ns0:c r="N47" s="15" t="str">
        <ns0:f>IF(ABS(M47)&lt;0.0000001,"MATCH","MISMATCH")</ns0:f>
        <ns0:v>MATCH</ns0:v>
      </ns0:c>
      <ns0:c r="O47" s="16" t="inlineStr">
        <ns0:is>
          <ns0:t>直接印刷/单位等价</ns0:t>
        </ns0:is>
      </ns0:c>
      <ns0:c r="P47" s="5" t="inlineStr">
        <ns0:is>
          <ns0:t>Y: 原文数字直印；已换算单位</ns0:t>
        </ns0:is>
      </ns0:c>
      <ns0:c r="Q47" s="17" t="inlineStr">
        <ns0:is>
          <ns0:t>P=5.0 MPa</ns0:t>
        </ns0:is>
      </ns0:c>
      <ns0:c r="R47" s="5" t="inlineStr">
        <ns0:is>
          <ns0:t>PDF第7页</ns0:t>
        </ns0:is>
      </ns0:c>
      <ns0:c r="S47" s="5" t="inlineStr">
        <ns0:is>
          <ns0:t>Fig.5 caption, P</ns0:t>
        </ns0:is>
      </ns0:c>
      <ns0:c r="T47" s="5" t="inlineStr">
        <ns0:is>
          <ns0:t>原文数值及工况相符</ns0:t>
        </ns0:is>
      </ns0:c>
      <ns0:c r="U47" s="18" t="inlineStr">
        <ns0:is>
          <ns0:t>https://drive.google.com/file/d/1JtMfT_rmaSxPBxw9ruJKSfhUJnyYMn_-/view</ns0:t>
        </ns0:is>
      </ns0:c>
      <ns0:c r="V47" s="17" t="inlineStr">
        <ns0:is>
          <ns0:t>3d5da02d49915def0108f56f6123b1ca1800e65b600dd725e62976e16d76c001</ns0:t>
        </ns0:is>
      </ns0:c>
      <ns0:c r="W47" s="5" t="inlineStr">
        <ns0:is>
          <ns0:t>Dang-main</ns0:t>
        </ns0:is>
      </ns0:c>
    </ns0:row>
    <ns0:row r="48" ht="45" customHeight="1">
      <ns0:c r="A48" s="5" t="n">
        <ns0:v>47</ns0:v>
      </ns0:c>
      <ns0:c r="B48" s="5" t="inlineStr">
        <ns0:is>
          <ns0:t>10.1126/sciadv.aaz2060</ns0:t>
        </ns0:is>
      </ns0:c>
      <ns0:c r="C48" s="5" t="inlineStr">
        <ns0:is>
          <ns0:t>h–In2O3-R</ns0:t>
        </ns0:is>
      </ns0:c>
      <ns0:c r="D48" s="5" t="inlineStr">
        <ns0:is>
          <ns0:t>Fig. 5E/text, h–In2O3-R stability, 44 h</ns0:t>
        </ns0:is>
      </ns0:c>
      <ns0:c r="E48" s="5" t="inlineStr">
        <ns0:is>
          <ns0:t>space velocity</ns0:t>
        </ns0:is>
      </ns0:c>
      <ns0:c r="F48" s="5" t="inlineStr">
        <ns0:is>
          <ns0:t>9000 ml gcat−1 hour−1</ns0:t>
        </ns0:is>
      </ns0:c>
      <ns0:c r="G48" s="5" t="inlineStr">
        <ns0:is>
          <ns0:t>as printed</ns0:t>
        </ns0:is>
      </ns0:c>
      <ns0:c r="H48" s="5" t="inlineStr"/>
      <ns0:c r="I48" s="5" t="n">
        <ns0:v>9000</ns0:v>
      </ns0:c>
      <ns0:c r="J48" s="5" t="n">
        <ns0:v>9000</ns0:v>
      </ns0:c>
      <ns0:c r="K48" s="5" t="n"/>
      <ns0:c r="L48" s="15">
        <ns0:f>J48</ns0:f>
        <ns0:v>9000.0</ns0:v>
      </ns0:c>
      <ns0:c r="M48" s="15">
        <ns0:f>I48-L48</ns0:f>
        <ns0:v>0.0</ns0:v>
      </ns0:c>
      <ns0:c r="N48" s="15" t="str">
        <ns0:f>IF(ABS(M48)&lt;0.0000001,"MATCH","MISMATCH")</ns0:f>
        <ns0:v>MATCH</ns0:v>
      </ns0:c>
      <ns0:c r="O48" s="16" t="inlineStr">
        <ns0:is>
          <ns0:t>直接印刷/单位等价</ns0:t>
        </ns0:is>
      </ns0:c>
      <ns0:c r="P48" s="5" t="inlineStr">
        <ns0:is>
          <ns0:t>Y: 原文表/正文/图注明确数字</ns0:t>
        </ns0:is>
      </ns0:c>
      <ns0:c r="Q48" s="17" t="inlineStr">
        <ns0:is>
          <ns0:t>9000 mL gcat^-1 hour^-1</ns0:t>
        </ns0:is>
      </ns0:c>
      <ns0:c r="R48" s="5" t="inlineStr">
        <ns0:is>
          <ns0:t>PDF第7页</ns0:t>
        </ns0:is>
      </ns0:c>
      <ns0:c r="S48" s="5" t="inlineStr">
        <ns0:is>
          <ns0:t>Fig.5 caption, GHSV</ns0:t>
        </ns0:is>
      </ns0:c>
      <ns0:c r="T48" s="5" t="inlineStr">
        <ns0:is>
          <ns0:t>原文数值及工况相符</ns0:t>
        </ns0:is>
      </ns0:c>
      <ns0:c r="U48" s="18" t="inlineStr">
        <ns0:is>
          <ns0:t>https://drive.google.com/file/d/1JtMfT_rmaSxPBxw9ruJKSfhUJnyYMn_-/view</ns0:t>
        </ns0:is>
      </ns0:c>
      <ns0:c r="V48" s="17" t="inlineStr">
        <ns0:is>
          <ns0:t>3d5da02d49915def0108f56f6123b1ca1800e65b600dd725e62976e16d76c001</ns0:t>
        </ns0:is>
      </ns0:c>
      <ns0:c r="W48" s="5" t="inlineStr">
        <ns0:is>
          <ns0:t>Dang-main</ns0:t>
        </ns0:is>
      </ns0:c>
    </ns0:row>
    <ns0:row r="49" ht="45" customHeight="1">
      <ns0:c r="A49" s="5" t="n">
        <ns0:v>48</ns0:v>
      </ns0:c>
      <ns0:c r="B49" s="5" t="inlineStr">
        <ns0:is>
          <ns0:t>10.1126/sciadv.aaz2060</ns0:t>
        </ns0:is>
      </ns0:c>
      <ns0:c r="C49" s="5" t="inlineStr">
        <ns0:is>
          <ns0:t>h–In2O3-R</ns0:t>
        </ns0:is>
      </ns0:c>
      <ns0:c r="D49" s="5" t="inlineStr">
        <ns0:is>
          <ns0:t>Fig. 5B/C, h–In2O3-R, 360°C, standard feed</ns0:t>
        </ns0:is>
      </ns0:c>
      <ns0:c r="E49" s="5" t="inlineStr">
        <ns0:is>
          <ns0:t>temperature</ns0:t>
        </ns0:is>
      </ns0:c>
      <ns0:c r="F49" s="5" t="n">
        <ns0:v>360</ns0:v>
      </ns0:c>
      <ns0:c r="G49" s="5" t="inlineStr">
        <ns0:is>
          <ns0:t>°C (from K)</ns0:t>
        </ns0:is>
      </ns0:c>
      <ns0:c r="H49" s="5" t="inlineStr"/>
      <ns0:c r="I49" s="5" t="n">
        <ns0:v>360</ns0:v>
      </ns0:c>
      <ns0:c r="J49" s="5" t="n">
        <ns0:v>360</ns0:v>
      </ns0:c>
      <ns0:c r="K49" s="5" t="n"/>
      <ns0:c r="L49" s="15">
        <ns0:f>J49</ns0:f>
        <ns0:v>360.0</ns0:v>
      </ns0:c>
      <ns0:c r="M49" s="15">
        <ns0:f>I49-L49</ns0:f>
        <ns0:v>0.0</ns0:v>
      </ns0:c>
      <ns0:c r="N49" s="15" t="str">
        <ns0:f>IF(ABS(M49)&lt;0.0000001,"MATCH","MISMATCH")</ns0:f>
        <ns0:v>MATCH</ns0:v>
      </ns0:c>
      <ns0:c r="O49" s="16" t="inlineStr">
        <ns0:is>
          <ns0:t>直接印刷/单位等价</ns0:t>
        </ns0:is>
      </ns0:c>
      <ns0:c r="P49" s="5" t="inlineStr">
        <ns0:is>
          <ns0:t>Y: 原文表/正文/图注明确数字</ns0:t>
        </ns0:is>
      </ns0:c>
      <ns0:c r="Q49" s="17" t="inlineStr">
        <ns0:is>
          <ns0:t>360°C</ns0:t>
        </ns0:is>
      </ns0:c>
      <ns0:c r="R49" s="5" t="inlineStr">
        <ns0:is>
          <ns0:t>PDF第6页</ns0:t>
        </ns0:is>
      </ns0:c>
      <ns0:c r="S49" s="5" t="inlineStr">
        <ns0:is>
          <ns0:t>Fig.5B/C temperature series text</ns0:t>
        </ns0:is>
      </ns0:c>
      <ns0:c r="T49" s="5" t="inlineStr">
        <ns0:is>
          <ns0:t>原文数值及工况相符</ns0:t>
        </ns0:is>
      </ns0:c>
      <ns0:c r="U49" s="18" t="inlineStr">
        <ns0:is>
          <ns0:t>https://drive.google.com/file/d/1JtMfT_rmaSxPBxw9ruJKSfhUJnyYMn_-/view</ns0:t>
        </ns0:is>
      </ns0:c>
      <ns0:c r="V49" s="17" t="inlineStr">
        <ns0:is>
          <ns0:t>3d5da02d49915def0108f56f6123b1ca1800e65b600dd725e62976e16d76c001</ns0:t>
        </ns0:is>
      </ns0:c>
      <ns0:c r="W49" s="5" t="inlineStr">
        <ns0:is>
          <ns0:t>Dang-main</ns0:t>
        </ns0:is>
      </ns0:c>
    </ns0:row>
    <ns0:row r="50" ht="45" customHeight="1">
      <ns0:c r="A50" s="5" t="n">
        <ns0:v>49</ns0:v>
      </ns0:c>
      <ns0:c r="B50" s="5" t="inlineStr">
        <ns0:is>
          <ns0:t>10.1126/sciadv.aaz2060</ns0:t>
        </ns0:is>
      </ns0:c>
      <ns0:c r="C50" s="5" t="inlineStr">
        <ns0:is>
          <ns0:t>h–In2O3-R</ns0:t>
        </ns0:is>
      </ns0:c>
      <ns0:c r="D50" s="5" t="inlineStr">
        <ns0:is>
          <ns0:t>Fig. 5B/C, h–In2O3-R, 360°C, standard feed</ns0:t>
        </ns0:is>
      </ns0:c>
      <ns0:c r="E50" s="5" t="inlineStr">
        <ns0:is>
          <ns0:t>CO2 conversion</ns0:t>
        </ns0:is>
      </ns0:c>
      <ns0:c r="F50" s="5" t="n">
        <ns0:v>15.4</ns0:v>
      </ns0:c>
      <ns0:c r="G50" s="5" t="inlineStr">
        <ns0:is>
          <ns0:t>%</ns0:t>
        </ns0:is>
      </ns0:c>
      <ns0:c r="H50" s="5" t="inlineStr">
        <ns0:is>
          <ns0:t>=</ns0:t>
        </ns0:is>
      </ns0:c>
      <ns0:c r="I50" s="5" t="n">
        <ns0:v>15.4</ns0:v>
      </ns0:c>
      <ns0:c r="J50" s="5" t="n">
        <ns0:v>15.4</ns0:v>
      </ns0:c>
      <ns0:c r="K50" s="5" t="n"/>
      <ns0:c r="L50" s="15">
        <ns0:f>J50</ns0:f>
        <ns0:v>15.4</ns0:v>
      </ns0:c>
      <ns0:c r="M50" s="15">
        <ns0:f>I50-L50</ns0:f>
        <ns0:v>0.0</ns0:v>
      </ns0:c>
      <ns0:c r="N50" s="15" t="str">
        <ns0:f>IF(ABS(M50)&lt;0.0000001,"MATCH","MISMATCH")</ns0:f>
        <ns0:v>MATCH</ns0:v>
      </ns0:c>
      <ns0:c r="O50" s="16" t="inlineStr">
        <ns0:is>
          <ns0:t>直接印刷/单位等价</ns0:t>
        </ns0:is>
      </ns0:c>
      <ns0:c r="P50" s="5" t="inlineStr">
        <ns0:is>
          <ns0:t>Y: 原文表/正文/图注明确数字</ns0:t>
        </ns0:is>
      </ns0:c>
      <ns0:c r="Q50" s="17" t="inlineStr">
        <ns0:is>
          <ns0:t>CO2 conversion rises to 15.4% at 360°C</ns0:t>
        </ns0:is>
      </ns0:c>
      <ns0:c r="R50" s="5" t="inlineStr">
        <ns0:is>
          <ns0:t>PDF第6页</ns0:t>
        </ns0:is>
      </ns0:c>
      <ns0:c r="S50" s="5" t="inlineStr">
        <ns0:is>
          <ns0:t>Fig.5B/C temperature sweep text；Number directly printed in body text, not just plotted</ns0:t>
        </ns0:is>
      </ns0:c>
      <ns0:c r="T50" s="5" t="inlineStr">
        <ns0:is>
          <ns0:t>原文数值及工况相符</ns0:t>
        </ns0:is>
      </ns0:c>
      <ns0:c r="U50" s="18" t="inlineStr">
        <ns0:is>
          <ns0:t>https://drive.google.com/file/d/1JtMfT_rmaSxPBxw9ruJKSfhUJnyYMn_-/view</ns0:t>
        </ns0:is>
      </ns0:c>
      <ns0:c r="V50" s="17" t="inlineStr">
        <ns0:is>
          <ns0:t>3d5da02d49915def0108f56f6123b1ca1800e65b600dd725e62976e16d76c001</ns0:t>
        </ns0:is>
      </ns0:c>
      <ns0:c r="W50" s="5" t="inlineStr">
        <ns0:is>
          <ns0:t>Dang-main</ns0:t>
        </ns0:is>
      </ns0:c>
    </ns0:row>
    <ns0:row r="51" ht="45" customHeight="1">
      <ns0:c r="A51" s="5" t="n">
        <ns0:v>50</ns0:v>
      </ns0:c>
      <ns0:c r="B51" s="5" t="inlineStr">
        <ns0:is>
          <ns0:t>10.1126/sciadv.aaz2060</ns0:t>
        </ns0:is>
      </ns0:c>
      <ns0:c r="C51" s="5" t="inlineStr">
        <ns0:is>
          <ns0:t>h–In2O3-R</ns0:t>
        </ns0:is>
      </ns0:c>
      <ns0:c r="D51" s="5" t="inlineStr">
        <ns0:is>
          <ns0:t>Fig. 5B/C, h–In2O3-R, 360°C, standard feed</ns0:t>
        </ns0:is>
      </ns0:c>
      <ns0:c r="E51" s="5" t="inlineStr">
        <ns0:is>
          <ns0:t>pressure</ns0:t>
        </ns0:is>
      </ns0:c>
      <ns0:c r="F51" s="5" t="n">
        <ns0:v>50</ns0:v>
      </ns0:c>
      <ns0:c r="G51" s="5" t="inlineStr">
        <ns0:is>
          <ns0:t>bar</ns0:t>
        </ns0:is>
      </ns0:c>
      <ns0:c r="H51" s="5" t="inlineStr"/>
      <ns0:c r="I51" s="5" t="n">
        <ns0:v>50</ns0:v>
      </ns0:c>
      <ns0:c r="J51" s="5" t="n">
        <ns0:v>5</ns0:v>
      </ns0:c>
      <ns0:c r="K51" s="5" t="n"/>
      <ns0:c r="L51" s="15">
        <ns0:f>J51*10</ns0:f>
        <ns0:v>50.0</ns0:v>
      </ns0:c>
      <ns0:c r="M51" s="15">
        <ns0:f>I51-L51</ns0:f>
        <ns0:v>0.0</ns0:v>
      </ns0:c>
      <ns0:c r="N51" s="15" t="str">
        <ns0:f>IF(ABS(M51)&lt;0.0000001,"MATCH","MISMATCH")</ns0:f>
        <ns0:v>MATCH</ns0:v>
      </ns0:c>
      <ns0:c r="O51" s="16" t="inlineStr">
        <ns0:is>
          <ns0:t>直接印刷/单位等价</ns0:t>
        </ns0:is>
      </ns0:c>
      <ns0:c r="P51" s="5" t="inlineStr">
        <ns0:is>
          <ns0:t>Y: 原文数字直印；已换算单位</ns0:t>
        </ns0:is>
      </ns0:c>
      <ns0:c r="Q51" s="17" t="inlineStr">
        <ns0:is>
          <ns0:t>P=5.0 MPa</ns0:t>
        </ns0:is>
      </ns0:c>
      <ns0:c r="R51" s="5" t="inlineStr">
        <ns0:is>
          <ns0:t>PDF第7页</ns0:t>
        </ns0:is>
      </ns0:c>
      <ns0:c r="S51" s="5" t="inlineStr">
        <ns0:is>
          <ns0:t>Fig.5 caption, P</ns0:t>
        </ns0:is>
      </ns0:c>
      <ns0:c r="T51" s="5" t="inlineStr">
        <ns0:is>
          <ns0:t>原文数值及工况相符</ns0:t>
        </ns0:is>
      </ns0:c>
      <ns0:c r="U51" s="18" t="inlineStr">
        <ns0:is>
          <ns0:t>https://drive.google.com/file/d/1JtMfT_rmaSxPBxw9ruJKSfhUJnyYMn_-/view</ns0:t>
        </ns0:is>
      </ns0:c>
      <ns0:c r="V51" s="17" t="inlineStr">
        <ns0:is>
          <ns0:t>3d5da02d49915def0108f56f6123b1ca1800e65b600dd725e62976e16d76c001</ns0:t>
        </ns0:is>
      </ns0:c>
      <ns0:c r="W51" s="5" t="inlineStr">
        <ns0:is>
          <ns0:t>Dang-main</ns0:t>
        </ns0:is>
      </ns0:c>
    </ns0:row>
    <ns0:row r="52" ht="45" customHeight="1">
      <ns0:c r="A52" s="5" t="n">
        <ns0:v>51</ns0:v>
      </ns0:c>
      <ns0:c r="B52" s="5" t="inlineStr">
        <ns0:is>
          <ns0:t>10.1039/c5cy00372e</ns0:t>
        </ns0:is>
      </ns0:c>
      <ns0:c r="C52" s="5" t="inlineStr">
        <ns0:is>
          <ns0:t>CHT-Y0.1</ns0:t>
        </ns0:is>
      </ns0:c>
      <ns0:c r="D52" s="5" t="inlineStr">
        <ns0:is>
          <ns0:t>Table 6 row CHT-Y0.1</ns0:t>
        </ns0:is>
      </ns0:c>
      <ns0:c r="E52" s="5" t="inlineStr">
        <ns0:is>
          <ns0:t>temperature</ns0:t>
        </ns0:is>
      </ns0:c>
      <ns0:c r="F52" s="5" t="n">
        <ns0:v>229.85</ns0:v>
      </ns0:c>
      <ns0:c r="G52" s="5" t="inlineStr">
        <ns0:is>
          <ns0:t>°C (from K)</ns0:t>
        </ns0:is>
      </ns0:c>
      <ns0:c r="H52" s="5" t="inlineStr"/>
      <ns0:c r="I52" s="5" t="n">
        <ns0:v>229.85</ns0:v>
      </ns0:c>
      <ns0:c r="J52" s="5" t="n">
        <ns0:v>503</ns0:v>
      </ns0:c>
      <ns0:c r="K52" s="5" t="n"/>
      <ns0:c r="L52" s="15">
        <ns0:f>ROUND(J52-273.15,2)</ns0:f>
        <ns0:v>229.85</ns0:v>
      </ns0:c>
      <ns0:c r="M52" s="15">
        <ns0:f>I52-L52</ns0:f>
        <ns0:v>0.0</ns0:v>
      </ns0:c>
      <ns0:c r="N52" s="15" t="str">
        <ns0:f>IF(ABS(M52)&lt;0.0000001,"MATCH","MISMATCH")</ns0:f>
        <ns0:v>MATCH</ns0:v>
      </ns0:c>
      <ns0:c r="O52" s="16" t="inlineStr">
        <ns0:is>
          <ns0:t>直接印刷/单位等价</ns0:t>
        </ns0:is>
      </ns0:c>
      <ns0:c r="P52" s="5" t="inlineStr">
        <ns0:is>
          <ns0:t>Y: 原文数字直印；已换算单位</ns0:t>
        </ns0:is>
      </ns0:c>
      <ns0:c r="Q52" s="17" t="inlineStr">
        <ns0:is>
          <ns0:t>T=503 K</ns0:t>
        </ns0:is>
      </ns0:c>
      <ns0:c r="R52" s="5" t="inlineStr">
        <ns0:is>
          <ns0:t>PDF第11页</ns0:t>
        </ns0:is>
      </ns0:c>
      <ns0:c r="S52" s="5" t="inlineStr">
        <ns0:is>
          <ns0:t>Table 6 reaction conditions T</ns0:t>
        </ns0:is>
      </ns0:c>
      <ns0:c r="T52" s="5" t="inlineStr">
        <ns0:is>
          <ns0:t>原文数值及工况相符</ns0:t>
        </ns0:is>
      </ns0:c>
      <ns0:c r="U52" s="18" t="inlineStr">
        <ns0:is>
          <ns0:t>https://drive.google.com/file/d/1GvzHIPGbmfYxz-tsqbDLSeqcKO2SJdg_/view</ns0:t>
        </ns0:is>
      </ns0:c>
      <ns0:c r="V52" s="17" t="inlineStr">
        <ns0:is>
          <ns0:t>e614d670a66fff90bbd3335c090e5ea6684d3878219e2f4ef82fb3a6dbde0f17</ns0:t>
        </ns0:is>
      </ns0:c>
      <ns0:c r="W52" s="5" t="inlineStr">
        <ns0:is>
          <ns0:t>Gao-main</ns0:t>
        </ns0:is>
      </ns0:c>
    </ns0:row>
    <ns0:row r="53" ht="45" customHeight="1">
      <ns0:c r="A53" s="5" t="n">
        <ns0:v>52</ns0:v>
      </ns0:c>
      <ns0:c r="B53" s="5" t="inlineStr">
        <ns0:is>
          <ns0:t>10.1039/c5cy00372e</ns0:t>
        </ns0:is>
      </ns0:c>
      <ns0:c r="C53" s="5" t="inlineStr">
        <ns0:is>
          <ns0:t>CHT-Y0.5</ns0:t>
        </ns0:is>
      </ns0:c>
      <ns0:c r="D53" s="5" t="inlineStr">
        <ns0:is>
          <ns0:t>Table 6 row CHT-Y0.5</ns0:t>
        </ns0:is>
      </ns0:c>
      <ns0:c r="E53" s="5" t="inlineStr">
        <ns0:is>
          <ns0:t>CO selectivity</ns0:t>
        </ns0:is>
      </ns0:c>
      <ns0:c r="F53" s="5" t="n">
        <ns0:v>33.1</ns0:v>
      </ns0:c>
      <ns0:c r="G53" s="5" t="inlineStr">
        <ns0:is>
          <ns0:t>%</ns0:t>
        </ns0:is>
      </ns0:c>
      <ns0:c r="H53" s="5" t="inlineStr">
        <ns0:is>
          <ns0:t>=</ns0:t>
        </ns0:is>
      </ns0:c>
      <ns0:c r="I53" s="5" t="n">
        <ns0:v>33.1</ns0:v>
      </ns0:c>
      <ns0:c r="J53" s="5" t="n">
        <ns0:v>33.1</ns0:v>
      </ns0:c>
      <ns0:c r="K53" s="5" t="n"/>
      <ns0:c r="L53" s="15">
        <ns0:f>J53</ns0:f>
        <ns0:v>33.1</ns0:v>
      </ns0:c>
      <ns0:c r="M53" s="15">
        <ns0:f>I53-L53</ns0:f>
        <ns0:v>0.0</ns0:v>
      </ns0:c>
      <ns0:c r="N53" s="15" t="str">
        <ns0:f>IF(ABS(M53)&lt;0.0000001,"MATCH","MISMATCH")</ns0:f>
        <ns0:v>MATCH</ns0:v>
      </ns0:c>
      <ns0:c r="O53" s="16" t="inlineStr">
        <ns0:is>
          <ns0:t>直接印刷/单位等价</ns0:t>
        </ns0:is>
      </ns0:c>
      <ns0:c r="P53" s="5" t="inlineStr">
        <ns0:is>
          <ns0:t>Y: 原文表/正文/图注明确数字</ns0:t>
        </ns0:is>
      </ns0:c>
      <ns0:c r="Q53" s="17" t="inlineStr">
        <ns0:is>
          <ns0:t>CO 33.1%</ns0:t>
        </ns0:is>
      </ns0:c>
      <ns0:c r="R53" s="5" t="inlineStr">
        <ns0:is>
          <ns0:t>PDF第11页</ns0:t>
        </ns0:is>
      </ns0:c>
      <ns0:c r="S53" s="5" t="inlineStr">
        <ns0:is>
          <ns0:t>Table 6, CHT-Y0.5, CO Sel.；CHT-Y0.5 X15.1 SMeOH66.6 CH4 0.3 CO33.1</ns0:t>
        </ns0:is>
      </ns0:c>
      <ns0:c r="T53" s="5" t="inlineStr">
        <ns0:is>
          <ns0:t>原文数值及工况相符</ns0:t>
        </ns0:is>
      </ns0:c>
      <ns0:c r="U53" s="18" t="inlineStr">
        <ns0:is>
          <ns0:t>https://drive.google.com/file/d/1GvzHIPGbmfYxz-tsqbDLSeqcKO2SJdg_/view</ns0:t>
        </ns0:is>
      </ns0:c>
      <ns0:c r="V53" s="17" t="inlineStr">
        <ns0:is>
          <ns0:t>e614d670a66fff90bbd3335c090e5ea6684d3878219e2f4ef82fb3a6dbde0f17</ns0:t>
        </ns0:is>
      </ns0:c>
      <ns0:c r="W53" s="5" t="inlineStr">
        <ns0:is>
          <ns0:t>Gao-main</ns0:t>
        </ns0:is>
      </ns0:c>
    </ns0:row>
    <ns0:row r="54" ht="45" customHeight="1">
      <ns0:c r="A54" s="5" t="n">
        <ns0:v>53</ns0:v>
      </ns0:c>
      <ns0:c r="B54" s="5" t="inlineStr">
        <ns0:is>
          <ns0:t>10.1039/c5cy00372e</ns0:t>
        </ns0:is>
      </ns0:c>
      <ns0:c r="C54" s="5" t="inlineStr">
        <ns0:is>
          <ns0:t>CHT-Y0.05</ns0:t>
        </ns0:is>
      </ns0:c>
      <ns0:c r="D54" s="5" t="inlineStr">
        <ns0:is>
          <ns0:t>Table 6 row CHT-Y0.05</ns0:t>
        </ns0:is>
      </ns0:c>
      <ns0:c r="E54" s="5" t="inlineStr">
        <ns0:is>
          <ns0:t>CH4 selectivity</ns0:t>
        </ns0:is>
      </ns0:c>
      <ns0:c r="F54" s="5" t="n">
        <ns0:v>0.2</ns0:v>
      </ns0:c>
      <ns0:c r="G54" s="5" t="inlineStr">
        <ns0:is>
          <ns0:t>%</ns0:t>
        </ns0:is>
      </ns0:c>
      <ns0:c r="H54" s="5" t="inlineStr">
        <ns0:is>
          <ns0:t>=</ns0:t>
        </ns0:is>
      </ns0:c>
      <ns0:c r="I54" s="5" t="n">
        <ns0:v>0.2</ns0:v>
      </ns0:c>
      <ns0:c r="J54" s="5" t="n">
        <ns0:v>0.2</ns0:v>
      </ns0:c>
      <ns0:c r="K54" s="5" t="n"/>
      <ns0:c r="L54" s="15">
        <ns0:f>J54</ns0:f>
        <ns0:v>0.2</ns0:v>
      </ns0:c>
      <ns0:c r="M54" s="15">
        <ns0:f>I54-L54</ns0:f>
        <ns0:v>0.0</ns0:v>
      </ns0:c>
      <ns0:c r="N54" s="15" t="str">
        <ns0:f>IF(ABS(M54)&lt;0.0000001,"MATCH","MISMATCH")</ns0:f>
        <ns0:v>MATCH</ns0:v>
      </ns0:c>
      <ns0:c r="O54" s="16" t="inlineStr">
        <ns0:is>
          <ns0:t>直接印刷/单位等价</ns0:t>
        </ns0:is>
      </ns0:c>
      <ns0:c r="P54" s="5" t="inlineStr">
        <ns0:is>
          <ns0:t>Y: 原文表/正文/图注明确数字</ns0:t>
        </ns0:is>
      </ns0:c>
      <ns0:c r="Q54" s="17" t="inlineStr">
        <ns0:is>
          <ns0:t>CH4 0.2%</ns0:t>
        </ns0:is>
      </ns0:c>
      <ns0:c r="R54" s="5" t="inlineStr">
        <ns0:is>
          <ns0:t>PDF第11页</ns0:t>
        </ns0:is>
      </ns0:c>
      <ns0:c r="S54" s="5" t="inlineStr">
        <ns0:is>
          <ns0:t>Table 6, CHT-Y0.05, CH4 Sel.；CHT-Y0.05 X17.4 SMeOH63.2 CH4 0.2 CO36.6</ns0:t>
        </ns0:is>
      </ns0:c>
      <ns0:c r="T54" s="5" t="inlineStr">
        <ns0:is>
          <ns0:t>原文数值及工况相符</ns0:t>
        </ns0:is>
      </ns0:c>
      <ns0:c r="U54" s="18" t="inlineStr">
        <ns0:is>
          <ns0:t>https://drive.google.com/file/d/1GvzHIPGbmfYxz-tsqbDLSeqcKO2SJdg_/view</ns0:t>
        </ns0:is>
      </ns0:c>
      <ns0:c r="V54" s="17" t="inlineStr">
        <ns0:is>
          <ns0:t>e614d670a66fff90bbd3335c090e5ea6684d3878219e2f4ef82fb3a6dbde0f17</ns0:t>
        </ns0:is>
      </ns0:c>
      <ns0:c r="W54" s="5" t="inlineStr">
        <ns0:is>
          <ns0:t>Gao-main</ns0:t>
        </ns0:is>
      </ns0:c>
    </ns0:row>
    <ns0:row r="55" ht="45" customHeight="1">
      <ns0:c r="A55" s="5" t="n">
        <ns0:v>54</ns0:v>
      </ns0:c>
      <ns0:c r="B55" s="5" t="inlineStr">
        <ns0:is>
          <ns0:t>10.1039/c5cy00372e</ns0:t>
        </ns0:is>
      </ns0:c>
      <ns0:c r="C55" s="5" t="inlineStr">
        <ns0:is>
          <ns0:t>CHT-Y0</ns0:t>
        </ns0:is>
      </ns0:c>
      <ns0:c r="D55" s="5" t="inlineStr">
        <ns0:is>
          <ns0:t>Table 6 row CHT-Y0</ns0:t>
        </ns0:is>
      </ns0:c>
      <ns0:c r="E55" s="5" t="inlineStr">
        <ns0:is>
          <ns0:t>CO selectivity</ns0:t>
        </ns0:is>
      </ns0:c>
      <ns0:c r="F55" s="5" t="n">
        <ns0:v>41.6</ns0:v>
      </ns0:c>
      <ns0:c r="G55" s="5" t="inlineStr">
        <ns0:is>
          <ns0:t>%</ns0:t>
        </ns0:is>
      </ns0:c>
      <ns0:c r="H55" s="5" t="inlineStr">
        <ns0:is>
          <ns0:t>=</ns0:t>
        </ns0:is>
      </ns0:c>
      <ns0:c r="I55" s="5" t="n">
        <ns0:v>41.6</ns0:v>
      </ns0:c>
      <ns0:c r="J55" s="5" t="n">
        <ns0:v>41.6</ns0:v>
      </ns0:c>
      <ns0:c r="K55" s="5" t="n"/>
      <ns0:c r="L55" s="15">
        <ns0:f>J55</ns0:f>
        <ns0:v>41.6</ns0:v>
      </ns0:c>
      <ns0:c r="M55" s="15">
        <ns0:f>I55-L55</ns0:f>
        <ns0:v>0.0</ns0:v>
      </ns0:c>
      <ns0:c r="N55" s="15" t="str">
        <ns0:f>IF(ABS(M55)&lt;0.0000001,"MATCH","MISMATCH")</ns0:f>
        <ns0:v>MATCH</ns0:v>
      </ns0:c>
      <ns0:c r="O55" s="16" t="inlineStr">
        <ns0:is>
          <ns0:t>直接印刷/单位等价</ns0:t>
        </ns0:is>
      </ns0:c>
      <ns0:c r="P55" s="5" t="inlineStr">
        <ns0:is>
          <ns0:t>Y: 原文表/正文/图注明确数字</ns0:t>
        </ns0:is>
      </ns0:c>
      <ns0:c r="Q55" s="17" t="inlineStr">
        <ns0:is>
          <ns0:t>CO 41.6%</ns0:t>
        </ns0:is>
      </ns0:c>
      <ns0:c r="R55" s="5" t="inlineStr">
        <ns0:is>
          <ns0:t>PDF第11页</ns0:t>
        </ns0:is>
      </ns0:c>
      <ns0:c r="S55" s="5" t="inlineStr">
        <ns0:is>
          <ns0:t>Table 6, CHT-Y0, CO Sel.；CHT-Y0 X13.4 SMeOH58.1 CH4 0.3 CO41.6</ns0:t>
        </ns0:is>
      </ns0:c>
      <ns0:c r="T55" s="5" t="inlineStr">
        <ns0:is>
          <ns0:t>原文数值及工况相符</ns0:t>
        </ns0:is>
      </ns0:c>
      <ns0:c r="U55" s="18" t="inlineStr">
        <ns0:is>
          <ns0:t>https://drive.google.com/file/d/1GvzHIPGbmfYxz-tsqbDLSeqcKO2SJdg_/view</ns0:t>
        </ns0:is>
      </ns0:c>
      <ns0:c r="V55" s="17" t="inlineStr">
        <ns0:is>
          <ns0:t>e614d670a66fff90bbd3335c090e5ea6684d3878219e2f4ef82fb3a6dbde0f17</ns0:t>
        </ns0:is>
      </ns0:c>
      <ns0:c r="W55" s="5" t="inlineStr">
        <ns0:is>
          <ns0:t>Gao-main</ns0:t>
        </ns0:is>
      </ns0:c>
    </ns0:row>
    <ns0:row r="56" ht="45" customHeight="1">
      <ns0:c r="A56" s="5" t="n">
        <ns0:v>55</ns0:v>
      </ns0:c>
      <ns0:c r="B56" s="5" t="inlineStr">
        <ns0:is>
          <ns0:t>10.1039/c5cy00372e</ns0:t>
        </ns0:is>
      </ns0:c>
      <ns0:c r="C56" s="5" t="inlineStr">
        <ns0:is>
          <ns0:t>CHT-Y0.2</ns0:t>
        </ns0:is>
      </ns0:c>
      <ns0:c r="D56" s="5" t="inlineStr">
        <ns0:is>
          <ns0:t>Table 6 row CHT-Y0.2</ns0:t>
        </ns0:is>
      </ns0:c>
      <ns0:c r="E56" s="5" t="inlineStr">
        <ns0:is>
          <ns0:t>CH3OH selectivity</ns0:t>
        </ns0:is>
      </ns0:c>
      <ns0:c r="F56" s="5" t="n">
        <ns0:v>70.5</ns0:v>
      </ns0:c>
      <ns0:c r="G56" s="5" t="inlineStr">
        <ns0:is>
          <ns0:t>%</ns0:t>
        </ns0:is>
      </ns0:c>
      <ns0:c r="H56" s="5" t="inlineStr">
        <ns0:is>
          <ns0:t>=</ns0:t>
        </ns0:is>
      </ns0:c>
      <ns0:c r="I56" s="5" t="n">
        <ns0:v>70.5</ns0:v>
      </ns0:c>
      <ns0:c r="J56" s="5" t="n">
        <ns0:v>70.5</ns0:v>
      </ns0:c>
      <ns0:c r="K56" s="5" t="n"/>
      <ns0:c r="L56" s="15">
        <ns0:f>J56</ns0:f>
        <ns0:v>70.5</ns0:v>
      </ns0:c>
      <ns0:c r="M56" s="15">
        <ns0:f>I56-L56</ns0:f>
        <ns0:v>0.0</ns0:v>
      </ns0:c>
      <ns0:c r="N56" s="15" t="str">
        <ns0:f>IF(ABS(M56)&lt;0.0000001,"MATCH","MISMATCH")</ns0:f>
        <ns0:v>MATCH</ns0:v>
      </ns0:c>
      <ns0:c r="O56" s="16" t="inlineStr">
        <ns0:is>
          <ns0:t>直接印刷/单位等价</ns0:t>
        </ns0:is>
      </ns0:c>
      <ns0:c r="P56" s="5" t="inlineStr">
        <ns0:is>
          <ns0:t>Y: 原文表/正文/图注明确数字</ns0:t>
        </ns0:is>
      </ns0:c>
      <ns0:c r="Q56" s="17" t="inlineStr">
        <ns0:is>
          <ns0:t>SMeOH 70.5%</ns0:t>
        </ns0:is>
      </ns0:c>
      <ns0:c r="R56" s="5" t="inlineStr">
        <ns0:is>
          <ns0:t>PDF第11页</ns0:t>
        </ns0:is>
      </ns0:c>
      <ns0:c r="S56" s="5" t="inlineStr">
        <ns0:is>
          <ns0:t>Table 6, CHT-Y0.2, CH3OH Sel.；CHT-Y0.2 X17.8 SMeOH70.5 CH4 0.1 CO29.4</ns0:t>
        </ns0:is>
      </ns0:c>
      <ns0:c r="T56" s="5" t="inlineStr">
        <ns0:is>
          <ns0:t>原文数值及工况相符</ns0:t>
        </ns0:is>
      </ns0:c>
      <ns0:c r="U56" s="18" t="inlineStr">
        <ns0:is>
          <ns0:t>https://drive.google.com/file/d/1GvzHIPGbmfYxz-tsqbDLSeqcKO2SJdg_/view</ns0:t>
        </ns0:is>
      </ns0:c>
      <ns0:c r="V56" s="17" t="inlineStr">
        <ns0:is>
          <ns0:t>e614d670a66fff90bbd3335c090e5ea6684d3878219e2f4ef82fb3a6dbde0f17</ns0:t>
        </ns0:is>
      </ns0:c>
      <ns0:c r="W56" s="5" t="inlineStr">
        <ns0:is>
          <ns0:t>Gao-main</ns0:t>
        </ns0:is>
      </ns0:c>
    </ns0:row>
    <ns0:row r="57" ht="45" customHeight="1">
      <ns0:c r="A57" s="5" t="n">
        <ns0:v>56</ns0:v>
      </ns0:c>
      <ns0:c r="B57" s="5" t="inlineStr">
        <ns0:is>
          <ns0:t>10.1039/c5cy00372e</ns0:t>
        </ns0:is>
      </ns0:c>
      <ns0:c r="C57" s="5" t="inlineStr">
        <ns0:is>
          <ns0:t>CHT-Y0</ns0:t>
        </ns0:is>
      </ns0:c>
      <ns0:c r="D57" s="5" t="inlineStr">
        <ns0:is>
          <ns0:t>Table 6 row CHT-Y0</ns0:t>
        </ns0:is>
      </ns0:c>
      <ns0:c r="E57" s="5" t="inlineStr">
        <ns0:is>
          <ns0:t>CH3OH selectivity</ns0:t>
        </ns0:is>
      </ns0:c>
      <ns0:c r="F57" s="5" t="n">
        <ns0:v>58.1</ns0:v>
      </ns0:c>
      <ns0:c r="G57" s="5" t="inlineStr">
        <ns0:is>
          <ns0:t>%</ns0:t>
        </ns0:is>
      </ns0:c>
      <ns0:c r="H57" s="5" t="inlineStr">
        <ns0:is>
          <ns0:t>=</ns0:t>
        </ns0:is>
      </ns0:c>
      <ns0:c r="I57" s="5" t="n">
        <ns0:v>58.1</ns0:v>
      </ns0:c>
      <ns0:c r="J57" s="5" t="n">
        <ns0:v>58.1</ns0:v>
      </ns0:c>
      <ns0:c r="K57" s="5" t="n"/>
      <ns0:c r="L57" s="15">
        <ns0:f>J57</ns0:f>
        <ns0:v>58.1</ns0:v>
      </ns0:c>
      <ns0:c r="M57" s="15">
        <ns0:f>I57-L57</ns0:f>
        <ns0:v>0.0</ns0:v>
      </ns0:c>
      <ns0:c r="N57" s="15" t="str">
        <ns0:f>IF(ABS(M57)&lt;0.0000001,"MATCH","MISMATCH")</ns0:f>
        <ns0:v>MATCH</ns0:v>
      </ns0:c>
      <ns0:c r="O57" s="16" t="inlineStr">
        <ns0:is>
          <ns0:t>直接印刷/单位等价</ns0:t>
        </ns0:is>
      </ns0:c>
      <ns0:c r="P57" s="5" t="inlineStr">
        <ns0:is>
          <ns0:t>Y: 原文表/正文/图注明确数字</ns0:t>
        </ns0:is>
      </ns0:c>
      <ns0:c r="Q57" s="17" t="inlineStr">
        <ns0:is>
          <ns0:t>SMeOH 58.1%</ns0:t>
        </ns0:is>
      </ns0:c>
      <ns0:c r="R57" s="5" t="inlineStr">
        <ns0:is>
          <ns0:t>PDF第11页</ns0:t>
        </ns0:is>
      </ns0:c>
      <ns0:c r="S57" s="5" t="inlineStr">
        <ns0:is>
          <ns0:t>Table 6, CHT-Y0, CH3OH Sel.；CHT-Y0 X13.4 SMeOH58.1 CH4 0.3 CO41.6</ns0:t>
        </ns0:is>
      </ns0:c>
      <ns0:c r="T57" s="5" t="inlineStr">
        <ns0:is>
          <ns0:t>原文数值及工况相符</ns0:t>
        </ns0:is>
      </ns0:c>
      <ns0:c r="U57" s="18" t="inlineStr">
        <ns0:is>
          <ns0:t>https://drive.google.com/file/d/1GvzHIPGbmfYxz-tsqbDLSeqcKO2SJdg_/view</ns0:t>
        </ns0:is>
      </ns0:c>
      <ns0:c r="V57" s="17" t="inlineStr">
        <ns0:is>
          <ns0:t>e614d670a66fff90bbd3335c090e5ea6684d3878219e2f4ef82fb3a6dbde0f17</ns0:t>
        </ns0:is>
      </ns0:c>
      <ns0:c r="W57" s="5" t="inlineStr">
        <ns0:is>
          <ns0:t>Gao-main</ns0:t>
        </ns0:is>
      </ns0:c>
    </ns0:row>
    <ns0:row r="58" ht="45" customHeight="1">
      <ns0:c r="A58" s="5" t="n">
        <ns0:v>57</ns0:v>
      </ns0:c>
      <ns0:c r="B58" s="5" t="inlineStr">
        <ns0:is>
          <ns0:t>10.1039/c5cy00372e</ns0:t>
        </ns0:is>
      </ns0:c>
      <ns0:c r="C58" s="5" t="inlineStr">
        <ns0:is>
          <ns0:t>CHT-Y0.2</ns0:t>
        </ns0:is>
      </ns0:c>
      <ns0:c r="D58" s="5" t="inlineStr">
        <ns0:is>
          <ns0:t>Table 6 row CHT-Y0.2</ns0:t>
        </ns0:is>
      </ns0:c>
      <ns0:c r="E58" s="5" t="inlineStr">
        <ns0:is>
          <ns0:t>CH4 selectivity</ns0:t>
        </ns0:is>
      </ns0:c>
      <ns0:c r="F58" s="5" t="n">
        <ns0:v>0.1</ns0:v>
      </ns0:c>
      <ns0:c r="G58" s="5" t="inlineStr">
        <ns0:is>
          <ns0:t>%</ns0:t>
        </ns0:is>
      </ns0:c>
      <ns0:c r="H58" s="5" t="inlineStr">
        <ns0:is>
          <ns0:t>=</ns0:t>
        </ns0:is>
      </ns0:c>
      <ns0:c r="I58" s="5" t="n">
        <ns0:v>0.1</ns0:v>
      </ns0:c>
      <ns0:c r="J58" s="5" t="n">
        <ns0:v>0.1</ns0:v>
      </ns0:c>
      <ns0:c r="K58" s="5" t="n"/>
      <ns0:c r="L58" s="15">
        <ns0:f>J58</ns0:f>
        <ns0:v>0.1</ns0:v>
      </ns0:c>
      <ns0:c r="M58" s="15">
        <ns0:f>I58-L58</ns0:f>
        <ns0:v>0.0</ns0:v>
      </ns0:c>
      <ns0:c r="N58" s="15" t="str">
        <ns0:f>IF(ABS(M58)&lt;0.0000001,"MATCH","MISMATCH")</ns0:f>
        <ns0:v>MATCH</ns0:v>
      </ns0:c>
      <ns0:c r="O58" s="16" t="inlineStr">
        <ns0:is>
          <ns0:t>直接印刷/单位等价</ns0:t>
        </ns0:is>
      </ns0:c>
      <ns0:c r="P58" s="5" t="inlineStr">
        <ns0:is>
          <ns0:t>Y: 原文表/正文/图注明确数字</ns0:t>
        </ns0:is>
      </ns0:c>
      <ns0:c r="Q58" s="17" t="inlineStr">
        <ns0:is>
          <ns0:t>CH4 0.1%</ns0:t>
        </ns0:is>
      </ns0:c>
      <ns0:c r="R58" s="5" t="inlineStr">
        <ns0:is>
          <ns0:t>PDF第11页</ns0:t>
        </ns0:is>
      </ns0:c>
      <ns0:c r="S58" s="5" t="inlineStr">
        <ns0:is>
          <ns0:t>Table 6, CHT-Y0.2, CH4 Sel.；CHT-Y0.2 X17.8 SMeOH70.5 CH4 0.1 CO29.4</ns0:t>
        </ns0:is>
      </ns0:c>
      <ns0:c r="T58" s="5" t="inlineStr">
        <ns0:is>
          <ns0:t>原文数值及工况相符</ns0:t>
        </ns0:is>
      </ns0:c>
      <ns0:c r="U58" s="18" t="inlineStr">
        <ns0:is>
          <ns0:t>https://drive.google.com/file/d/1GvzHIPGbmfYxz-tsqbDLSeqcKO2SJdg_/view</ns0:t>
        </ns0:is>
      </ns0:c>
      <ns0:c r="V58" s="17" t="inlineStr">
        <ns0:is>
          <ns0:t>e614d670a66fff90bbd3335c090e5ea6684d3878219e2f4ef82fb3a6dbde0f17</ns0:t>
        </ns0:is>
      </ns0:c>
      <ns0:c r="W58" s="5" t="inlineStr">
        <ns0:is>
          <ns0:t>Gao-main</ns0:t>
        </ns0:is>
      </ns0:c>
    </ns0:row>
    <ns0:row r="59" ht="45" customHeight="1">
      <ns0:c r="A59" s="5" t="n">
        <ns0:v>58</ns0:v>
      </ns0:c>
      <ns0:c r="B59" s="5" t="inlineStr">
        <ns0:is>
          <ns0:t>10.1039/c5cy00372e</ns0:t>
        </ns0:is>
      </ns0:c>
      <ns0:c r="C59" s="5" t="inlineStr">
        <ns0:is>
          <ns0:t>CHT-Y0</ns0:t>
        </ns0:is>
      </ns0:c>
      <ns0:c r="D59" s="5" t="inlineStr">
        <ns0:is>
          <ns0:t>Table 6 row CHT-Y0</ns0:t>
        </ns0:is>
      </ns0:c>
      <ns0:c r="E59" s="5" t="inlineStr">
        <ns0:is>
          <ns0:t>CH4 selectivity</ns0:t>
        </ns0:is>
      </ns0:c>
      <ns0:c r="F59" s="5" t="n">
        <ns0:v>0.3</ns0:v>
      </ns0:c>
      <ns0:c r="G59" s="5" t="inlineStr">
        <ns0:is>
          <ns0:t>%</ns0:t>
        </ns0:is>
      </ns0:c>
      <ns0:c r="H59" s="5" t="inlineStr">
        <ns0:is>
          <ns0:t>=</ns0:t>
        </ns0:is>
      </ns0:c>
      <ns0:c r="I59" s="5" t="n">
        <ns0:v>0.3</ns0:v>
      </ns0:c>
      <ns0:c r="J59" s="5" t="n">
        <ns0:v>0.3</ns0:v>
      </ns0:c>
      <ns0:c r="K59" s="5" t="n"/>
      <ns0:c r="L59" s="15">
        <ns0:f>J59</ns0:f>
        <ns0:v>0.3</ns0:v>
      </ns0:c>
      <ns0:c r="M59" s="15">
        <ns0:f>I59-L59</ns0:f>
        <ns0:v>0.0</ns0:v>
      </ns0:c>
      <ns0:c r="N59" s="15" t="str">
        <ns0:f>IF(ABS(M59)&lt;0.0000001,"MATCH","MISMATCH")</ns0:f>
        <ns0:v>MATCH</ns0:v>
      </ns0:c>
      <ns0:c r="O59" s="16" t="inlineStr">
        <ns0:is>
          <ns0:t>直接印刷/单位等价</ns0:t>
        </ns0:is>
      </ns0:c>
      <ns0:c r="P59" s="5" t="inlineStr">
        <ns0:is>
          <ns0:t>Y: 原文表/正文/图注明确数字</ns0:t>
        </ns0:is>
      </ns0:c>
      <ns0:c r="Q59" s="17" t="inlineStr">
        <ns0:is>
          <ns0:t>CH4 0.3%</ns0:t>
        </ns0:is>
      </ns0:c>
      <ns0:c r="R59" s="5" t="inlineStr">
        <ns0:is>
          <ns0:t>PDF第11页</ns0:t>
        </ns0:is>
      </ns0:c>
      <ns0:c r="S59" s="5" t="inlineStr">
        <ns0:is>
          <ns0:t>Table 6, CHT-Y0, CH4 Sel.；CHT-Y0 X13.4 SMeOH58.1 CH4 0.3 CO41.6</ns0:t>
        </ns0:is>
      </ns0:c>
      <ns0:c r="T59" s="5" t="inlineStr">
        <ns0:is>
          <ns0:t>原文数值及工况相符</ns0:t>
        </ns0:is>
      </ns0:c>
      <ns0:c r="U59" s="18" t="inlineStr">
        <ns0:is>
          <ns0:t>https://drive.google.com/file/d/1GvzHIPGbmfYxz-tsqbDLSeqcKO2SJdg_/view</ns0:t>
        </ns0:is>
      </ns0:c>
      <ns0:c r="V59" s="17" t="inlineStr">
        <ns0:is>
          <ns0:t>e614d670a66fff90bbd3335c090e5ea6684d3878219e2f4ef82fb3a6dbde0f17</ns0:t>
        </ns0:is>
      </ns0:c>
      <ns0:c r="W59" s="5" t="inlineStr">
        <ns0:is>
          <ns0:t>Gao-main</ns0:t>
        </ns0:is>
      </ns0:c>
    </ns0:row>
    <ns0:row r="60" ht="45" customHeight="1">
      <ns0:c r="A60" s="5" t="n">
        <ns0:v>59</ns0:v>
      </ns0:c>
      <ns0:c r="B60" s="5" t="inlineStr">
        <ns0:is>
          <ns0:t>10.1039/c5cy00372e</ns0:t>
        </ns0:is>
      </ns0:c>
      <ns0:c r="C60" s="5" t="inlineStr">
        <ns0:is>
          <ns0:t>CHT-Y0.1</ns0:t>
        </ns0:is>
      </ns0:c>
      <ns0:c r="D60" s="5" t="inlineStr">
        <ns0:is>
          <ns0:t>Table 6 row CHT-Y0.1</ns0:t>
        </ns0:is>
      </ns0:c>
      <ns0:c r="E60" s="5" t="inlineStr">
        <ns0:is>
          <ns0:t>STY (printed)</ns0:t>
        </ns0:is>
      </ns0:c>
      <ns0:c r="F60" s="5" t="inlineStr">
        <ns0:is>
          <ns0:t>0.39 g gcat−1 h−1</ns0:t>
        </ns0:is>
      </ns0:c>
      <ns0:c r="G60" s="5" t="inlineStr">
        <ns0:is>
          <ns0:t>as printed</ns0:t>
        </ns0:is>
      </ns0:c>
      <ns0:c r="H60" s="5" t="inlineStr">
        <ns0:is>
          <ns0:t>=</ns0:t>
        </ns0:is>
      </ns0:c>
      <ns0:c r="I60" s="5" t="n">
        <ns0:v>0.39</ns0:v>
      </ns0:c>
      <ns0:c r="J60" s="5" t="n">
        <ns0:v>0.39</ns0:v>
      </ns0:c>
      <ns0:c r="K60" s="5" t="n"/>
      <ns0:c r="L60" s="15">
        <ns0:f>J60</ns0:f>
        <ns0:v>0.39</ns0:v>
      </ns0:c>
      <ns0:c r="M60" s="15">
        <ns0:f>I60-L60</ns0:f>
        <ns0:v>0.0</ns0:v>
      </ns0:c>
      <ns0:c r="N60" s="15" t="str">
        <ns0:f>IF(ABS(M60)&lt;0.0000001,"MATCH","MISMATCH")</ns0:f>
        <ns0:v>MATCH</ns0:v>
      </ns0:c>
      <ns0:c r="O60" s="16" t="inlineStr">
        <ns0:is>
          <ns0:t>直接印刷/单位等价</ns0:t>
        </ns0:is>
      </ns0:c>
      <ns0:c r="P60" s="5" t="inlineStr">
        <ns0:is>
          <ns0:t>Y: 原文表/正文/图注明确数字</ns0:t>
        </ns0:is>
      </ns0:c>
      <ns0:c r="Q60" s="17" t="inlineStr">
        <ns0:is>
          <ns0:t>0.39 g gcat^-1 h^-1</ns0:t>
        </ns0:is>
      </ns0:c>
      <ns0:c r="R60" s="5" t="inlineStr">
        <ns0:is>
          <ns0:t>PDF第11页</ns0:t>
        </ns0:is>
      </ns0:c>
      <ns0:c r="S60" s="5" t="inlineStr">
        <ns0:is>
          <ns0:t>Table 6, CHT-Y0.1, CH3OH yield</ns0:t>
        </ns0:is>
      </ns0:c>
      <ns0:c r="T60" s="19" t="inlineStr">
        <ns0:is>
          <ns0:t>原列名CH3OH yield，工作簿字段称STY (printed)；数值单位一致</ns0:t>
        </ns0:is>
      </ns0:c>
      <ns0:c r="U60" s="18" t="inlineStr">
        <ns0:is>
          <ns0:t>https://drive.google.com/file/d/1GvzHIPGbmfYxz-tsqbDLSeqcKO2SJdg_/view</ns0:t>
        </ns0:is>
      </ns0:c>
      <ns0:c r="V60" s="17" t="inlineStr">
        <ns0:is>
          <ns0:t>e614d670a66fff90bbd3335c090e5ea6684d3878219e2f4ef82fb3a6dbde0f17</ns0:t>
        </ns0:is>
      </ns0:c>
      <ns0:c r="W60" s="5" t="inlineStr">
        <ns0:is>
          <ns0:t>Gao-main</ns0:t>
        </ns0:is>
      </ns0:c>
    </ns0:row>
    <ns0:row r="61" ht="45" customHeight="1">
      <ns0:c r="A61" s="5" t="n">
        <ns0:v>60</ns0:v>
      </ns0:c>
      <ns0:c r="B61" s="5" t="inlineStr">
        <ns0:is>
          <ns0:t>10.1039/c5cy00372e</ns0:t>
        </ns0:is>
      </ns0:c>
      <ns0:c r="C61" s="5" t="inlineStr">
        <ns0:is>
          <ns0:t>CHT-Y0</ns0:t>
        </ns0:is>
      </ns0:c>
      <ns0:c r="D61" s="5" t="inlineStr">
        <ns0:is>
          <ns0:t>Table 6 row CHT-Y0</ns0:t>
        </ns0:is>
      </ns0:c>
      <ns0:c r="E61" s="5" t="inlineStr">
        <ns0:is>
          <ns0:t>pressure</ns0:t>
        </ns0:is>
      </ns0:c>
      <ns0:c r="F61" s="5" t="n">
        <ns0:v>50</ns0:v>
      </ns0:c>
      <ns0:c r="G61" s="5" t="inlineStr">
        <ns0:is>
          <ns0:t>bar</ns0:t>
        </ns0:is>
      </ns0:c>
      <ns0:c r="H61" s="5" t="inlineStr"/>
      <ns0:c r="I61" s="5" t="n">
        <ns0:v>50</ns0:v>
      </ns0:c>
      <ns0:c r="J61" s="5" t="n">
        <ns0:v>5</ns0:v>
      </ns0:c>
      <ns0:c r="K61" s="5" t="n"/>
      <ns0:c r="L61" s="15">
        <ns0:f>J61*10</ns0:f>
        <ns0:v>50.0</ns0:v>
      </ns0:c>
      <ns0:c r="M61" s="15">
        <ns0:f>I61-L61</ns0:f>
        <ns0:v>0.0</ns0:v>
      </ns0:c>
      <ns0:c r="N61" s="15" t="str">
        <ns0:f>IF(ABS(M61)&lt;0.0000001,"MATCH","MISMATCH")</ns0:f>
        <ns0:v>MATCH</ns0:v>
      </ns0:c>
      <ns0:c r="O61" s="16" t="inlineStr">
        <ns0:is>
          <ns0:t>直接印刷/单位等价</ns0:t>
        </ns0:is>
      </ns0:c>
      <ns0:c r="P61" s="5" t="inlineStr">
        <ns0:is>
          <ns0:t>Y: 原文数字直印；已换算单位</ns0:t>
        </ns0:is>
      </ns0:c>
      <ns0:c r="Q61" s="17" t="inlineStr">
        <ns0:is>
          <ns0:t>P=5.0 MPa</ns0:t>
        </ns0:is>
      </ns0:c>
      <ns0:c r="R61" s="5" t="inlineStr">
        <ns0:is>
          <ns0:t>PDF第11页</ns0:t>
        </ns0:is>
      </ns0:c>
      <ns0:c r="S61" s="5" t="inlineStr">
        <ns0:is>
          <ns0:t>Table 6 reaction conditions P</ns0:t>
        </ns0:is>
      </ns0:c>
      <ns0:c r="T61" s="5" t="inlineStr">
        <ns0:is>
          <ns0:t>原文数值及工况相符</ns0:t>
        </ns0:is>
      </ns0:c>
      <ns0:c r="U61" s="18" t="inlineStr">
        <ns0:is>
          <ns0:t>https://drive.google.com/file/d/1GvzHIPGbmfYxz-tsqbDLSeqcKO2SJdg_/view</ns0:t>
        </ns0:is>
      </ns0:c>
      <ns0:c r="V61" s="17" t="inlineStr">
        <ns0:is>
          <ns0:t>e614d670a66fff90bbd3335c090e5ea6684d3878219e2f4ef82fb3a6dbde0f17</ns0:t>
        </ns0:is>
      </ns0:c>
      <ns0:c r="W61" s="5" t="inlineStr">
        <ns0:is>
          <ns0:t>Gao-main</ns0:t>
        </ns0:is>
      </ns0:c>
    </ns0:row>
    <ns0:row r="62" ht="45" customHeight="1">
      <ns0:c r="A62" s="5" t="n">
        <ns0:v>61</ns0:v>
      </ns0:c>
      <ns0:c r="B62" s="5" t="inlineStr">
        <ns0:is>
          <ns0:t>10.1016/j.apcatb.2017.06.069</ns0:t>
        </ns0:is>
      </ns0:c>
      <ns0:c r="C62" s="5" t="inlineStr">
        <ns0:is>
          <ns0:t>In2O3</ns0:t>
        </ns0:is>
      </ns0:c>
      <ns0:c r="D62" s="5" t="inlineStr">
        <ns0:is>
          <ns0:t>SI Table S1, In2O3 This work</ns0:t>
        </ns0:is>
      </ns0:c>
      <ns0:c r="E62" s="5" t="inlineStr">
        <ns0:is>
          <ns0:t>temperature</ns0:t>
        </ns0:is>
      </ns0:c>
      <ns0:c r="F62" s="5" t="n">
        <ns0:v>300</ns0:v>
      </ns0:c>
      <ns0:c r="G62" s="5" t="inlineStr">
        <ns0:is>
          <ns0:t>°C (from K)</ns0:t>
        </ns0:is>
      </ns0:c>
      <ns0:c r="H62" s="5" t="inlineStr"/>
      <ns0:c r="I62" s="5" t="n">
        <ns0:v>300</ns0:v>
      </ns0:c>
      <ns0:c r="J62" s="5" t="n">
        <ns0:v>300</ns0:v>
      </ns0:c>
      <ns0:c r="K62" s="5" t="n"/>
      <ns0:c r="L62" s="15">
        <ns0:f>J62</ns0:f>
        <ns0:v>300.0</ns0:v>
      </ns0:c>
      <ns0:c r="M62" s="15">
        <ns0:f>I62-L62</ns0:f>
        <ns0:v>0.0</ns0:v>
      </ns0:c>
      <ns0:c r="N62" s="15" t="str">
        <ns0:f>IF(ABS(M62)&lt;0.0000001,"MATCH","MISMATCH")</ns0:f>
        <ns0:v>MATCH</ns0:v>
      </ns0:c>
      <ns0:c r="O62" s="16" t="inlineStr">
        <ns0:is>
          <ns0:t>直接印刷/单位等价</ns0:t>
        </ns0:is>
      </ns0:c>
      <ns0:c r="P62" s="5" t="inlineStr">
        <ns0:is>
          <ns0:t>Y: 原文表/正文/图注明确数字</ns0:t>
        </ns0:is>
      </ns0:c>
      <ns0:c r="Q62" s="17" t="inlineStr">
        <ns0:is>
          <ns0:t>300°C</ns0:t>
        </ns0:is>
      </ns0:c>
      <ns0:c r="R62" s="5" t="inlineStr">
        <ns0:is>
          <ns0:t>PDF第2页</ns0:t>
        </ns0:is>
      </ns0:c>
      <ns0:c r="S62" s="5" t="inlineStr">
        <ns0:is>
          <ns0:t>Table S1, In2O3, This work, T</ns0:t>
        </ns0:is>
      </ns0:c>
      <ns0:c r="T62" s="5" t="inlineStr">
        <ns0:is>
          <ns0:t>原文数值及工况相符</ns0:t>
        </ns0:is>
      </ns0:c>
      <ns0:c r="U62" s="18" t="inlineStr">
        <ns0:is>
          <ns0:t>https://drive.google.com/file/d/1AIgTxerbhuj424LzfNw0_t3wwBf0Iu3I/view</ns0:t>
        </ns0:is>
      </ns0:c>
      <ns0:c r="V62" s="17" t="inlineStr">
        <ns0:is>
          <ns0:t>11f8f70b20cde4f9240f45948ebd9defe54bc22db1b4f40da0efd9ac323c52dc</ns0:t>
        </ns0:is>
      </ns0:c>
      <ns0:c r="W62" s="5" t="inlineStr">
        <ns0:is>
          <ns0:t>Rui-SI</ns0:t>
        </ns0:is>
      </ns0:c>
    </ns0:row>
    <ns0:row r="63" ht="45" customHeight="1">
      <ns0:c r="A63" s="5" t="n">
        <ns0:v>62</ns0:v>
      </ns0:c>
      <ns0:c r="B63" s="5" t="inlineStr">
        <ns0:is>
          <ns0:t>10.1016/j.apcatb.2017.06.069</ns0:t>
        </ns0:is>
      </ns0:c>
      <ns0:c r="C63" s="5" t="inlineStr">
        <ns0:is>
          <ns0:t>In2O3</ns0:t>
        </ns0:is>
      </ns0:c>
      <ns0:c r="D63" s="5" t="inlineStr">
        <ns0:is>
          <ns0:t>SI Table S1, In2O3 This work</ns0:t>
        </ns0:is>
      </ns0:c>
      <ns0:c r="E63" s="5" t="inlineStr">
        <ns0:is>
          <ns0:t>STY (printed)</ns0:t>
        </ns0:is>
      </ns0:c>
      <ns0:c r="F63" s="5" t="inlineStr">
        <ns0:is>
          <ns0:t>0.352 gMeOH h-1 gcat-1</ns0:t>
        </ns0:is>
      </ns0:c>
      <ns0:c r="G63" s="5" t="inlineStr">
        <ns0:is>
          <ns0:t>as printed</ns0:t>
        </ns0:is>
      </ns0:c>
      <ns0:c r="H63" s="5" t="inlineStr">
        <ns0:is>
          <ns0:t>=</ns0:t>
        </ns0:is>
      </ns0:c>
      <ns0:c r="I63" s="5" t="n">
        <ns0:v>0.352</ns0:v>
      </ns0:c>
      <ns0:c r="J63" s="5" t="n">
        <ns0:v>0.352</ns0:v>
      </ns0:c>
      <ns0:c r="K63" s="5" t="n"/>
      <ns0:c r="L63" s="15">
        <ns0:f>J63</ns0:f>
        <ns0:v>0.352</ns0:v>
      </ns0:c>
      <ns0:c r="M63" s="15">
        <ns0:f>I63-L63</ns0:f>
        <ns0:v>0.0</ns0:v>
      </ns0:c>
      <ns0:c r="N63" s="15" t="str">
        <ns0:f>IF(ABS(M63)&lt;0.0000001,"MATCH","MISMATCH")</ns0:f>
        <ns0:v>MATCH</ns0:v>
      </ns0:c>
      <ns0:c r="O63" s="16" t="inlineStr">
        <ns0:is>
          <ns0:t>直接印刷/单位等价</ns0:t>
        </ns0:is>
      </ns0:c>
      <ns0:c r="P63" s="5" t="inlineStr">
        <ns0:is>
          <ns0:t>Y: 原文表/正文/图注明确数字</ns0:t>
        </ns0:is>
      </ns0:c>
      <ns0:c r="Q63" s="17" t="inlineStr">
        <ns0:is>
          <ns0:t>0.352 gMeOH h^-1 gcat^-1</ns0:t>
        </ns0:is>
      </ns0:c>
      <ns0:c r="R63" s="5" t="inlineStr">
        <ns0:is>
          <ns0:t>PDF第2页</ns0:t>
        </ns0:is>
      </ns0:c>
      <ns0:c r="S63" s="5" t="inlineStr">
        <ns0:is>
          <ns0:t>Table S1, In2O3, This work, STY</ns0:t>
        </ns0:is>
      </ns0:c>
      <ns0:c r="T63" s="5" t="inlineStr">
        <ns0:is>
          <ns0:t>原文数值及工况相符</ns0:t>
        </ns0:is>
      </ns0:c>
      <ns0:c r="U63" s="18" t="inlineStr">
        <ns0:is>
          <ns0:t>https://drive.google.com/file/d/1AIgTxerbhuj424LzfNw0_t3wwBf0Iu3I/view</ns0:t>
        </ns0:is>
      </ns0:c>
      <ns0:c r="V63" s="17" t="inlineStr">
        <ns0:is>
          <ns0:t>11f8f70b20cde4f9240f45948ebd9defe54bc22db1b4f40da0efd9ac323c52dc</ns0:t>
        </ns0:is>
      </ns0:c>
      <ns0:c r="W63" s="5" t="inlineStr">
        <ns0:is>
          <ns0:t>Rui-SI</ns0:t>
        </ns0:is>
      </ns0:c>
    </ns0:row>
    <ns0:row r="64" ht="45" customHeight="1">
      <ns0:c r="A64" s="5" t="n">
        <ns0:v>63</ns0:v>
      </ns0:c>
      <ns0:c r="B64" s="5" t="inlineStr">
        <ns0:is>
          <ns0:t>10.1016/j.apcatb.2017.06.069</ns0:t>
        </ns0:is>
      </ns0:c>
      <ns0:c r="C64" s="5" t="inlineStr">
        <ns0:is>
          <ns0:t>Pd-I/In2O3</ns0:t>
        </ns0:is>
      </ns0:c>
      <ns0:c r="D64" s="5" t="inlineStr">
        <ns0:is>
          <ns0:t>SI Table S2, Pd-I/In2O3 This work</ns0:t>
        </ns0:is>
      </ns0:c>
      <ns0:c r="E64" s="5" t="inlineStr">
        <ns0:is>
          <ns0:t>CH3OH selectivity</ns0:t>
        </ns0:is>
      </ns0:c>
      <ns0:c r="F64" s="5" t="n">
        <ns0:v>72.7</ns0:v>
      </ns0:c>
      <ns0:c r="G64" s="5" t="inlineStr">
        <ns0:is>
          <ns0:t>%</ns0:t>
        </ns0:is>
      </ns0:c>
      <ns0:c r="H64" s="5" t="inlineStr">
        <ns0:is>
          <ns0:t>=</ns0:t>
        </ns0:is>
      </ns0:c>
      <ns0:c r="I64" s="5" t="n">
        <ns0:v>72.7</ns0:v>
      </ns0:c>
      <ns0:c r="J64" s="5" t="n">
        <ns0:v>72.7</ns0:v>
      </ns0:c>
      <ns0:c r="K64" s="5" t="n"/>
      <ns0:c r="L64" s="15">
        <ns0:f>J64</ns0:f>
        <ns0:v>72.7</ns0:v>
      </ns0:c>
      <ns0:c r="M64" s="15">
        <ns0:f>I64-L64</ns0:f>
        <ns0:v>0.0</ns0:v>
      </ns0:c>
      <ns0:c r="N64" s="15" t="str">
        <ns0:f>IF(ABS(M64)&lt;0.0000001,"MATCH","MISMATCH")</ns0:f>
        <ns0:v>MATCH</ns0:v>
      </ns0:c>
      <ns0:c r="O64" s="16" t="inlineStr">
        <ns0:is>
          <ns0:t>直接印刷/单位等价</ns0:t>
        </ns0:is>
      </ns0:c>
      <ns0:c r="P64" s="5" t="inlineStr">
        <ns0:is>
          <ns0:t>Y: 原文表/正文/图注明确数字</ns0:t>
        </ns0:is>
      </ns0:c>
      <ns0:c r="Q64" s="17" t="inlineStr">
        <ns0:is>
          <ns0:t>72.7%</ns0:t>
        </ns0:is>
      </ns0:c>
      <ns0:c r="R64" s="5" t="inlineStr">
        <ns0:is>
          <ns0:t>PDF第3页</ns0:t>
        </ns0:is>
      </ns0:c>
      <ns0:c r="S64" s="5" t="inlineStr">
        <ns0:is>
          <ns0:t>Table S2, Pd-I/In2O3, This work, SMeOH</ns0:t>
        </ns0:is>
      </ns0:c>
      <ns0:c r="T64" s="5" t="inlineStr">
        <ns0:is>
          <ns0:t>原文数值及工况相符</ns0:t>
        </ns0:is>
      </ns0:c>
      <ns0:c r="U64" s="18" t="inlineStr">
        <ns0:is>
          <ns0:t>https://drive.google.com/file/d/1AIgTxerbhuj424LzfNw0_t3wwBf0Iu3I/view</ns0:t>
        </ns0:is>
      </ns0:c>
      <ns0:c r="V64" s="17" t="inlineStr">
        <ns0:is>
          <ns0:t>11f8f70b20cde4f9240f45948ebd9defe54bc22db1b4f40da0efd9ac323c52dc</ns0:t>
        </ns0:is>
      </ns0:c>
      <ns0:c r="W64" s="5" t="inlineStr">
        <ns0:is>
          <ns0:t>Rui-SI</ns0:t>
        </ns0:is>
      </ns0:c>
    </ns0:row>
    <ns0:row r="65" ht="45" customHeight="1">
      <ns0:c r="A65" s="5" t="n">
        <ns0:v>64</ns0:v>
      </ns0:c>
      <ns0:c r="B65" s="5" t="inlineStr">
        <ns0:is>
          <ns0:t>10.1016/j.apcatb.2017.06.069</ns0:t>
        </ns0:is>
      </ns0:c>
      <ns0:c r="C65" s="5" t="inlineStr">
        <ns0:is>
          <ns0:t>Pd-I/In2O3</ns0:t>
        </ns0:is>
      </ns0:c>
      <ns0:c r="D65" s="5" t="inlineStr">
        <ns0:is>
          <ns0:t>SI Table S2, Pd-I/In2O3 This work</ns0:t>
        </ns0:is>
      </ns0:c>
      <ns0:c r="E65" s="5" t="inlineStr">
        <ns0:is>
          <ns0:t>pressure</ns0:t>
        </ns0:is>
      </ns0:c>
      <ns0:c r="F65" s="5" t="n">
        <ns0:v>50</ns0:v>
      </ns0:c>
      <ns0:c r="G65" s="5" t="inlineStr">
        <ns0:is>
          <ns0:t>bar</ns0:t>
        </ns0:is>
      </ns0:c>
      <ns0:c r="H65" s="5" t="inlineStr"/>
      <ns0:c r="I65" s="5" t="n">
        <ns0:v>50</ns0:v>
      </ns0:c>
      <ns0:c r="J65" s="5" t="n">
        <ns0:v>5</ns0:v>
      </ns0:c>
      <ns0:c r="K65" s="5" t="n"/>
      <ns0:c r="L65" s="15">
        <ns0:f>J65*10</ns0:f>
        <ns0:v>50.0</ns0:v>
      </ns0:c>
      <ns0:c r="M65" s="15">
        <ns0:f>I65-L65</ns0:f>
        <ns0:v>0.0</ns0:v>
      </ns0:c>
      <ns0:c r="N65" s="15" t="str">
        <ns0:f>IF(ABS(M65)&lt;0.0000001,"MATCH","MISMATCH")</ns0:f>
        <ns0:v>MATCH</ns0:v>
      </ns0:c>
      <ns0:c r="O65" s="16" t="inlineStr">
        <ns0:is>
          <ns0:t>直接印刷/单位等价</ns0:t>
        </ns0:is>
      </ns0:c>
      <ns0:c r="P65" s="5" t="inlineStr">
        <ns0:is>
          <ns0:t>Y: 原文数字直印；已换算单位</ns0:t>
        </ns0:is>
      </ns0:c>
      <ns0:c r="Q65" s="17" t="inlineStr">
        <ns0:is>
          <ns0:t>5.0 MPa</ns0:t>
        </ns0:is>
      </ns0:c>
      <ns0:c r="R65" s="5" t="inlineStr">
        <ns0:is>
          <ns0:t>PDF第3页</ns0:t>
        </ns0:is>
      </ns0:c>
      <ns0:c r="S65" s="5" t="inlineStr">
        <ns0:is>
          <ns0:t>Table S2, Pd-I/In2O3, This work, P</ns0:t>
        </ns0:is>
      </ns0:c>
      <ns0:c r="T65" s="5" t="inlineStr">
        <ns0:is>
          <ns0:t>原文数值及工况相符</ns0:t>
        </ns0:is>
      </ns0:c>
      <ns0:c r="U65" s="18" t="inlineStr">
        <ns0:is>
          <ns0:t>https://drive.google.com/file/d/1AIgTxerbhuj424LzfNw0_t3wwBf0Iu3I/view</ns0:t>
        </ns0:is>
      </ns0:c>
      <ns0:c r="V65" s="17" t="inlineStr">
        <ns0:is>
          <ns0:t>11f8f70b20cde4f9240f45948ebd9defe54bc22db1b4f40da0efd9ac323c52dc</ns0:t>
        </ns0:is>
      </ns0:c>
      <ns0:c r="W65" s="5" t="inlineStr">
        <ns0:is>
          <ns0:t>Rui-SI</ns0:t>
        </ns0:is>
      </ns0:c>
    </ns0:row>
    <ns0:row r="66" ht="45" customHeight="1">
      <ns0:c r="A66" s="5" t="n">
        <ns0:v>65</ns0:v>
      </ns0:c>
      <ns0:c r="B66" s="5" t="inlineStr">
        <ns0:is>
          <ns0:t>10.1016/j.apcatb.2017.06.069</ns0:t>
        </ns0:is>
      </ns0:c>
      <ns0:c r="C66" s="5" t="inlineStr">
        <ns0:is>
          <ns0:t>Pd-I/In2O3</ns0:t>
        </ns0:is>
      </ns0:c>
      <ns0:c r="D66" s="5" t="inlineStr">
        <ns0:is>
          <ns0:t>SI Table S2, Pd-I/In2O3 This work</ns0:t>
        </ns0:is>
      </ns0:c>
      <ns0:c r="E66" s="5" t="inlineStr">
        <ns0:is>
          <ns0:t>temperature</ns0:t>
        </ns0:is>
      </ns0:c>
      <ns0:c r="F66" s="5" t="n">
        <ns0:v>300</ns0:v>
      </ns0:c>
      <ns0:c r="G66" s="5" t="inlineStr">
        <ns0:is>
          <ns0:t>°C (from K)</ns0:t>
        </ns0:is>
      </ns0:c>
      <ns0:c r="H66" s="5" t="inlineStr"/>
      <ns0:c r="I66" s="5" t="n">
        <ns0:v>300</ns0:v>
      </ns0:c>
      <ns0:c r="J66" s="5" t="n">
        <ns0:v>300</ns0:v>
      </ns0:c>
      <ns0:c r="K66" s="5" t="n"/>
      <ns0:c r="L66" s="15">
        <ns0:f>J66</ns0:f>
        <ns0:v>300.0</ns0:v>
      </ns0:c>
      <ns0:c r="M66" s="15">
        <ns0:f>I66-L66</ns0:f>
        <ns0:v>0.0</ns0:v>
      </ns0:c>
      <ns0:c r="N66" s="15" t="str">
        <ns0:f>IF(ABS(M66)&lt;0.0000001,"MATCH","MISMATCH")</ns0:f>
        <ns0:v>MATCH</ns0:v>
      </ns0:c>
      <ns0:c r="O66" s="16" t="inlineStr">
        <ns0:is>
          <ns0:t>直接印刷/单位等价</ns0:t>
        </ns0:is>
      </ns0:c>
      <ns0:c r="P66" s="5" t="inlineStr">
        <ns0:is>
          <ns0:t>Y: 原文表/正文/图注明确数字</ns0:t>
        </ns0:is>
      </ns0:c>
      <ns0:c r="Q66" s="17" t="inlineStr">
        <ns0:is>
          <ns0:t>300°C</ns0:t>
        </ns0:is>
      </ns0:c>
      <ns0:c r="R66" s="5" t="inlineStr">
        <ns0:is>
          <ns0:t>PDF第3页</ns0:t>
        </ns0:is>
      </ns0:c>
      <ns0:c r="S66" s="5" t="inlineStr">
        <ns0:is>
          <ns0:t>Table S2, Pd-I/In2O3, This work, T</ns0:t>
        </ns0:is>
      </ns0:c>
      <ns0:c r="T66" s="5" t="inlineStr">
        <ns0:is>
          <ns0:t>原文数值及工况相符</ns0:t>
        </ns0:is>
      </ns0:c>
      <ns0:c r="U66" s="18" t="inlineStr">
        <ns0:is>
          <ns0:t>https://drive.google.com/file/d/1AIgTxerbhuj424LzfNw0_t3wwBf0Iu3I/view</ns0:t>
        </ns0:is>
      </ns0:c>
      <ns0:c r="V66" s="17" t="inlineStr">
        <ns0:is>
          <ns0:t>11f8f70b20cde4f9240f45948ebd9defe54bc22db1b4f40da0efd9ac323c52dc</ns0:t>
        </ns0:is>
      </ns0:c>
      <ns0:c r="W66" s="5" t="inlineStr">
        <ns0:is>
          <ns0:t>Rui-SI</ns0:t>
        </ns0:is>
      </ns0:c>
    </ns0:row>
    <ns0:row r="67" ht="45" customHeight="1">
      <ns0:c r="A67" s="5" t="n">
        <ns0:v>66</ns0:v>
      </ns0:c>
      <ns0:c r="B67" s="5" t="inlineStr">
        <ns0:is>
          <ns0:t>10.1016/j.apcatb.2017.06.069</ns0:t>
        </ns0:is>
      </ns0:c>
      <ns0:c r="C67" s="5" t="inlineStr">
        <ns0:is>
          <ns0:t>Pd-I/In2O3</ns0:t>
        </ns0:is>
      </ns0:c>
      <ns0:c r="D67" s="5" t="inlineStr">
        <ns0:is>
          <ns0:t>SI Table S2, Pd-I/In2O3 This work</ns0:t>
        </ns0:is>
      </ns0:c>
      <ns0:c r="E67" s="5" t="inlineStr">
        <ns0:is>
          <ns0:t>CO2 conversion</ns0:t>
        </ns0:is>
      </ns0:c>
      <ns0:c r="F67" s="5" t="n">
        <ns0:v>18.4</ns0:v>
      </ns0:c>
      <ns0:c r="G67" s="5" t="inlineStr">
        <ns0:is>
          <ns0:t>%</ns0:t>
        </ns0:is>
      </ns0:c>
      <ns0:c r="H67" s="5" t="inlineStr">
        <ns0:is>
          <ns0:t>=</ns0:t>
        </ns0:is>
      </ns0:c>
      <ns0:c r="I67" s="5" t="n">
        <ns0:v>18.4</ns0:v>
      </ns0:c>
      <ns0:c r="J67" s="5" t="n">
        <ns0:v>18.4</ns0:v>
      </ns0:c>
      <ns0:c r="K67" s="5" t="n"/>
      <ns0:c r="L67" s="15">
        <ns0:f>J67</ns0:f>
        <ns0:v>18.4</ns0:v>
      </ns0:c>
      <ns0:c r="M67" s="15">
        <ns0:f>I67-L67</ns0:f>
        <ns0:v>0.0</ns0:v>
      </ns0:c>
      <ns0:c r="N67" s="15" t="str">
        <ns0:f>IF(ABS(M67)&lt;0.0000001,"MATCH","MISMATCH")</ns0:f>
        <ns0:v>MATCH</ns0:v>
      </ns0:c>
      <ns0:c r="O67" s="16" t="inlineStr">
        <ns0:is>
          <ns0:t>直接印刷/单位等价</ns0:t>
        </ns0:is>
      </ns0:c>
      <ns0:c r="P67" s="5" t="inlineStr">
        <ns0:is>
          <ns0:t>Y: 原文表/正文/图注明确数字</ns0:t>
        </ns0:is>
      </ns0:c>
      <ns0:c r="Q67" s="17" t="inlineStr">
        <ns0:is>
          <ns0:t>18.4%</ns0:t>
        </ns0:is>
      </ns0:c>
      <ns0:c r="R67" s="5" t="inlineStr">
        <ns0:is>
          <ns0:t>PDF第3页</ns0:t>
        </ns0:is>
      </ns0:c>
      <ns0:c r="S67" s="5" t="inlineStr">
        <ns0:is>
          <ns0:t>Table S2, Pd-I/In2O3, This work, XCO2</ns0:t>
        </ns0:is>
      </ns0:c>
      <ns0:c r="T67" s="5" t="inlineStr">
        <ns0:is>
          <ns0:t>原文数值及工况相符</ns0:t>
        </ns0:is>
      </ns0:c>
      <ns0:c r="U67" s="18" t="inlineStr">
        <ns0:is>
          <ns0:t>https://drive.google.com/file/d/1AIgTxerbhuj424LzfNw0_t3wwBf0Iu3I/view</ns0:t>
        </ns0:is>
      </ns0:c>
      <ns0:c r="V67" s="17" t="inlineStr">
        <ns0:is>
          <ns0:t>11f8f70b20cde4f9240f45948ebd9defe54bc22db1b4f40da0efd9ac323c52dc</ns0:t>
        </ns0:is>
      </ns0:c>
      <ns0:c r="W67" s="5" t="inlineStr">
        <ns0:is>
          <ns0:t>Rui-SI</ns0:t>
        </ns0:is>
      </ns0:c>
    </ns0:row>
    <ns0:row r="68" ht="45" customHeight="1">
      <ns0:c r="A68" s="5" t="n">
        <ns0:v>67</ns0:v>
      </ns0:c>
      <ns0:c r="B68" s="5" t="inlineStr">
        <ns0:is>
          <ns0:t>10.1016/j.apcatb.2017.06.069</ns0:t>
        </ns0:is>
      </ns0:c>
      <ns0:c r="C68" s="5" t="inlineStr">
        <ns0:is>
          <ns0:t>In2O3</ns0:t>
        </ns0:is>
      </ns0:c>
      <ns0:c r="D68" s="5" t="inlineStr">
        <ns0:is>
          <ns0:t>SI Table S1, In2O3 This work</ns0:t>
        </ns0:is>
      </ns0:c>
      <ns0:c r="E68" s="5" t="inlineStr">
        <ns0:is>
          <ns0:t>pressure</ns0:t>
        </ns0:is>
      </ns0:c>
      <ns0:c r="F68" s="5" t="n">
        <ns0:v>50</ns0:v>
      </ns0:c>
      <ns0:c r="G68" s="5" t="inlineStr">
        <ns0:is>
          <ns0:t>bar</ns0:t>
        </ns0:is>
      </ns0:c>
      <ns0:c r="H68" s="5" t="inlineStr"/>
      <ns0:c r="I68" s="5" t="n">
        <ns0:v>50</ns0:v>
      </ns0:c>
      <ns0:c r="J68" s="5" t="n">
        <ns0:v>5</ns0:v>
      </ns0:c>
      <ns0:c r="K68" s="5" t="n"/>
      <ns0:c r="L68" s="15">
        <ns0:f>J68*10</ns0:f>
        <ns0:v>50.0</ns0:v>
      </ns0:c>
      <ns0:c r="M68" s="15">
        <ns0:f>I68-L68</ns0:f>
        <ns0:v>0.0</ns0:v>
      </ns0:c>
      <ns0:c r="N68" s="15" t="str">
        <ns0:f>IF(ABS(M68)&lt;0.0000001,"MATCH","MISMATCH")</ns0:f>
        <ns0:v>MATCH</ns0:v>
      </ns0:c>
      <ns0:c r="O68" s="16" t="inlineStr">
        <ns0:is>
          <ns0:t>直接印刷/单位等价</ns0:t>
        </ns0:is>
      </ns0:c>
      <ns0:c r="P68" s="5" t="inlineStr">
        <ns0:is>
          <ns0:t>Y: 原文数字直印；已换算单位</ns0:t>
        </ns0:is>
      </ns0:c>
      <ns0:c r="Q68" s="17" t="inlineStr">
        <ns0:is>
          <ns0:t>5.0 MPa</ns0:t>
        </ns0:is>
      </ns0:c>
      <ns0:c r="R68" s="5" t="inlineStr">
        <ns0:is>
          <ns0:t>PDF第2页</ns0:t>
        </ns0:is>
      </ns0:c>
      <ns0:c r="S68" s="5" t="inlineStr">
        <ns0:is>
          <ns0:t>Table S1, In2O3, This work, P</ns0:t>
        </ns0:is>
      </ns0:c>
      <ns0:c r="T68" s="5" t="inlineStr">
        <ns0:is>
          <ns0:t>原文数值及工况相符</ns0:t>
        </ns0:is>
      </ns0:c>
      <ns0:c r="U68" s="18" t="inlineStr">
        <ns0:is>
          <ns0:t>https://drive.google.com/file/d/1AIgTxerbhuj424LzfNw0_t3wwBf0Iu3I/view</ns0:t>
        </ns0:is>
      </ns0:c>
      <ns0:c r="V68" s="17" t="inlineStr">
        <ns0:is>
          <ns0:t>11f8f70b20cde4f9240f45948ebd9defe54bc22db1b4f40da0efd9ac323c52dc</ns0:t>
        </ns0:is>
      </ns0:c>
      <ns0:c r="W68" s="5" t="inlineStr">
        <ns0:is>
          <ns0:t>Rui-SI</ns0:t>
        </ns0:is>
      </ns0:c>
    </ns0:row>
    <ns0:row r="69" ht="45" customHeight="1">
      <ns0:c r="A69" s="5" t="n">
        <ns0:v>68</ns0:v>
      </ns0:c>
      <ns0:c r="B69" s="5" t="inlineStr">
        <ns0:is>
          <ns0:t>10.1016/j.apcatb.2017.06.069</ns0:t>
        </ns0:is>
      </ns0:c>
      <ns0:c r="C69" s="5" t="inlineStr">
        <ns0:is>
          <ns0:t>Pd-I/In2O3</ns0:t>
        </ns0:is>
      </ns0:c>
      <ns0:c r="D69" s="5" t="inlineStr">
        <ns0:is>
          <ns0:t>SI Table S2, Pd-I/In2O3 This work</ns0:t>
        </ns0:is>
      </ns0:c>
      <ns0:c r="E69" s="5" t="inlineStr">
        <ns0:is>
          <ns0:t>H2/CO2</ns0:t>
        </ns0:is>
      </ns0:c>
      <ns0:c r="F69" s="5" t="n">
        <ns0:v>4</ns0:v>
      </ns0:c>
      <ns0:c r="G69" s="5" t="inlineStr">
        <ns0:is>
          <ns0:t>mol/mol</ns0:t>
        </ns0:is>
      </ns0:c>
      <ns0:c r="H69" s="5" t="inlineStr"/>
      <ns0:c r="I69" s="5" t="n">
        <ns0:v>4</ns0:v>
      </ns0:c>
      <ns0:c r="J69" s="5" t="n">
        <ns0:v>4</ns0:v>
      </ns0:c>
      <ns0:c r="K69" s="5" t="n"/>
      <ns0:c r="L69" s="15">
        <ns0:f>J69</ns0:f>
        <ns0:v>4.0</ns0:v>
      </ns0:c>
      <ns0:c r="M69" s="15">
        <ns0:f>I69-L69</ns0:f>
        <ns0:v>0.0</ns0:v>
      </ns0:c>
      <ns0:c r="N69" s="15" t="str">
        <ns0:f>IF(ABS(M69)&lt;0.0000001,"MATCH","MISMATCH")</ns0:f>
        <ns0:v>MATCH</ns0:v>
      </ns0:c>
      <ns0:c r="O69" s="16" t="inlineStr">
        <ns0:is>
          <ns0:t>直接印刷/单位等价</ns0:t>
        </ns0:is>
      </ns0:c>
      <ns0:c r="P69" s="5" t="inlineStr">
        <ns0:is>
          <ns0:t>Y: 原文表/正文/图注明确数字</ns0:t>
        </ns0:is>
      </ns0:c>
      <ns0:c r="Q69" s="17" t="inlineStr">
        <ns0:is>
          <ns0:t>H2 /CO2 =4/1 (molar)</ns0:t>
        </ns0:is>
      </ns0:c>
      <ns0:c r="R69" s="5" t="inlineStr">
        <ns0:is>
          <ns0:t>PDF第2页</ns0:t>
        </ns0:is>
      </ns0:c>
      <ns0:c r="S69" s="5" t="inlineStr">
        <ns0:is>
          <ns0:t>Catalyst activity testing, common feed</ns0:t>
        </ns0:is>
      </ns0:c>
      <ns0:c r="T69" s="5" t="inlineStr">
        <ns0:is>
          <ns0:t>原文数值及工况相符</ns0:t>
        </ns0:is>
      </ns0:c>
      <ns0:c r="U69" s="18" t="inlineStr">
        <ns0:is>
          <ns0:t>https://drive.google.com/file/d/1DEiVdM2jAEkQfVRPNXrNGIaDkYmHYJJI/view</ns0:t>
        </ns0:is>
      </ns0:c>
      <ns0:c r="V69" s="17" t="inlineStr">
        <ns0:is>
          <ns0:t>364513a2b867a26d104e502c3ae8503d3a7c38aef5a592fccffa29cc937baf43</ns0:t>
        </ns0:is>
      </ns0:c>
      <ns0:c r="W69" s="5" t="inlineStr">
        <ns0:is>
          <ns0:t>Rui-main</ns0:t>
        </ns0:is>
      </ns0:c>
    </ns0:row>
    <ns0:row r="70" ht="45" customHeight="1">
      <ns0:c r="A70" s="5" t="n">
        <ns0:v>69</ns0:v>
      </ns0:c>
      <ns0:c r="B70" s="5" t="inlineStr">
        <ns0:is>
          <ns0:t>10.1016/j.apcatb.2017.06.069</ns0:t>
        </ns0:is>
      </ns0:c>
      <ns0:c r="C70" s="5" t="inlineStr">
        <ns0:is>
          <ns0:t>In2O3</ns0:t>
        </ns0:is>
      </ns0:c>
      <ns0:c r="D70" s="5" t="inlineStr">
        <ns0:is>
          <ns0:t>SI Table S1, In2O3 This work</ns0:t>
        </ns0:is>
      </ns0:c>
      <ns0:c r="E70" s="5" t="inlineStr">
        <ns0:is>
          <ns0:t>H2/CO2</ns0:t>
        </ns0:is>
      </ns0:c>
      <ns0:c r="F70" s="5" t="n">
        <ns0:v>4</ns0:v>
      </ns0:c>
      <ns0:c r="G70" s="5" t="inlineStr">
        <ns0:is>
          <ns0:t>mol/mol</ns0:t>
        </ns0:is>
      </ns0:c>
      <ns0:c r="H70" s="5" t="inlineStr"/>
      <ns0:c r="I70" s="5" t="n">
        <ns0:v>4</ns0:v>
      </ns0:c>
      <ns0:c r="J70" s="5" t="n">
        <ns0:v>4</ns0:v>
      </ns0:c>
      <ns0:c r="K70" s="5" t="n"/>
      <ns0:c r="L70" s="15">
        <ns0:f>J70</ns0:f>
        <ns0:v>4.0</ns0:v>
      </ns0:c>
      <ns0:c r="M70" s="15">
        <ns0:f>I70-L70</ns0:f>
        <ns0:v>0.0</ns0:v>
      </ns0:c>
      <ns0:c r="N70" s="15" t="str">
        <ns0:f>IF(ABS(M70)&lt;0.0000001,"MATCH","MISMATCH")</ns0:f>
        <ns0:v>MATCH</ns0:v>
      </ns0:c>
      <ns0:c r="O70" s="16" t="inlineStr">
        <ns0:is>
          <ns0:t>直接印刷/单位等价</ns0:t>
        </ns0:is>
      </ns0:c>
      <ns0:c r="P70" s="5" t="inlineStr">
        <ns0:is>
          <ns0:t>Y: 原文表/正文/图注明确数字</ns0:t>
        </ns0:is>
      </ns0:c>
      <ns0:c r="Q70" s="17" t="inlineStr">
        <ns0:is>
          <ns0:t>H2 /CO2 =4/1 (molar)</ns0:t>
        </ns0:is>
      </ns0:c>
      <ns0:c r="R70" s="5" t="inlineStr">
        <ns0:is>
          <ns0:t>PDF第2页</ns0:t>
        </ns0:is>
      </ns0:c>
      <ns0:c r="S70" s="5" t="inlineStr">
        <ns0:is>
          <ns0:t>Catalyst activity testing, common feed</ns0:t>
        </ns0:is>
      </ns0:c>
      <ns0:c r="T70" s="5" t="inlineStr">
        <ns0:is>
          <ns0:t>原文数值及工况相符</ns0:t>
        </ns0:is>
      </ns0:c>
      <ns0:c r="U70" s="18" t="inlineStr">
        <ns0:is>
          <ns0:t>https://drive.google.com/file/d/1DEiVdM2jAEkQfVRPNXrNGIaDkYmHYJJI/view</ns0:t>
        </ns0:is>
      </ns0:c>
      <ns0:c r="V70" s="17" t="inlineStr">
        <ns0:is>
          <ns0:t>364513a2b867a26d104e502c3ae8503d3a7c38aef5a592fccffa29cc937baf43</ns0:t>
        </ns0:is>
      </ns0:c>
      <ns0:c r="W70" s="5" t="inlineStr">
        <ns0:is>
          <ns0:t>Rui-main</ns0:t>
        </ns0:is>
      </ns0:c>
    </ns0:row>
    <ns0:row r="71" ht="45" customHeight="1">
      <ns0:c r="A71" s="5" t="n">
        <ns0:v>70</ns0:v>
      </ns0:c>
      <ns0:c r="B71" s="5" t="inlineStr">
        <ns0:is>
          <ns0:t>10.1016/j.apcatb.2017.06.069</ns0:t>
        </ns0:is>
      </ns0:c>
      <ns0:c r="C71" s="5" t="inlineStr">
        <ns0:is>
          <ns0:t>In2O3</ns0:t>
        </ns0:is>
      </ns0:c>
      <ns0:c r="D71" s="5" t="inlineStr">
        <ns0:is>
          <ns0:t>SI Table S1, In2O3 This work</ns0:t>
        </ns0:is>
      </ns0:c>
      <ns0:c r="E71" s="5" t="inlineStr">
        <ns0:is>
          <ns0:t>CH3OH selectivity</ns0:t>
        </ns0:is>
      </ns0:c>
      <ns0:c r="F71" s="5" t="n">
        <ns0:v>71.2</ns0:v>
      </ns0:c>
      <ns0:c r="G71" s="5" t="inlineStr">
        <ns0:is>
          <ns0:t>%</ns0:t>
        </ns0:is>
      </ns0:c>
      <ns0:c r="H71" s="5" t="inlineStr">
        <ns0:is>
          <ns0:t>=</ns0:t>
        </ns0:is>
      </ns0:c>
      <ns0:c r="I71" s="5" t="n">
        <ns0:v>71.2</ns0:v>
      </ns0:c>
      <ns0:c r="J71" s="5" t="n">
        <ns0:v>71.2</ns0:v>
      </ns0:c>
      <ns0:c r="K71" s="5" t="n"/>
      <ns0:c r="L71" s="15">
        <ns0:f>J71</ns0:f>
        <ns0:v>71.2</ns0:v>
      </ns0:c>
      <ns0:c r="M71" s="15">
        <ns0:f>I71-L71</ns0:f>
        <ns0:v>0.0</ns0:v>
      </ns0:c>
      <ns0:c r="N71" s="15" t="str">
        <ns0:f>IF(ABS(M71)&lt;0.0000001,"MATCH","MISMATCH")</ns0:f>
        <ns0:v>MATCH</ns0:v>
      </ns0:c>
      <ns0:c r="O71" s="16" t="inlineStr">
        <ns0:is>
          <ns0:t>直接印刷/单位等价</ns0:t>
        </ns0:is>
      </ns0:c>
      <ns0:c r="P71" s="5" t="inlineStr">
        <ns0:is>
          <ns0:t>Y: 原文表/正文/图注明确数字</ns0:t>
        </ns0:is>
      </ns0:c>
      <ns0:c r="Q71" s="17" t="inlineStr">
        <ns0:is>
          <ns0:t>71.2%</ns0:t>
        </ns0:is>
      </ns0:c>
      <ns0:c r="R71" s="5" t="inlineStr">
        <ns0:is>
          <ns0:t>PDF第2页</ns0:t>
        </ns0:is>
      </ns0:c>
      <ns0:c r="S71" s="5" t="inlineStr">
        <ns0:is>
          <ns0:t>Table S1, In2O3, This work, SMeOH</ns0:t>
        </ns0:is>
      </ns0:c>
      <ns0:c r="T71" s="5" t="inlineStr">
        <ns0:is>
          <ns0:t>原文数值及工况相符</ns0:t>
        </ns0:is>
      </ns0:c>
      <ns0:c r="U71" s="18" t="inlineStr">
        <ns0:is>
          <ns0:t>https://drive.google.com/file/d/1AIgTxerbhuj424LzfNw0_t3wwBf0Iu3I/view</ns0:t>
        </ns0:is>
      </ns0:c>
      <ns0:c r="V71" s="17" t="inlineStr">
        <ns0:is>
          <ns0:t>11f8f70b20cde4f9240f45948ebd9defe54bc22db1b4f40da0efd9ac323c52dc</ns0:t>
        </ns0:is>
      </ns0:c>
      <ns0:c r="W71" s="5" t="inlineStr">
        <ns0:is>
          <ns0:t>Rui-SI</ns0:t>
        </ns0:is>
      </ns0:c>
    </ns0:row>
    <ns0:row r="72" ht="45" customHeight="1">
      <ns0:c r="A72" s="5" t="n">
        <ns0:v>71</ns0:v>
      </ns0:c>
      <ns0:c r="B72" s="5" t="inlineStr">
        <ns0:is>
          <ns0:t>10.1002/ente.201800747</ns0:t>
        </ns0:is>
      </ns0:c>
      <ns0:c r="C72" s="5" t="inlineStr">
        <ns0:is>
          <ns0:t>Cat-1.5</ns0:t>
        </ns0:is>
      </ns0:c>
      <ns0:c r="D72" s="5" t="inlineStr">
        <ns0:is>
          <ns0:t>SI Table S1, Cat-1.5, 300 °C</ns0:t>
        </ns0:is>
      </ns0:c>
      <ns0:c r="E72" s="5" t="inlineStr">
        <ns0:is>
          <ns0:t>STY (printed)</ns0:t>
        </ns0:is>
      </ns0:c>
      <ns0:c r="F72" s="5" t="inlineStr">
        <ns0:is>
          <ns0:t>0.074 gMeOH gcat-1 h-1</ns0:t>
        </ns0:is>
      </ns0:c>
      <ns0:c r="G72" s="5" t="inlineStr">
        <ns0:is>
          <ns0:t>as printed</ns0:t>
        </ns0:is>
      </ns0:c>
      <ns0:c r="H72" s="5" t="inlineStr">
        <ns0:is>
          <ns0:t>=</ns0:t>
        </ns0:is>
      </ns0:c>
      <ns0:c r="I72" s="5" t="n">
        <ns0:v>0.074</ns0:v>
      </ns0:c>
      <ns0:c r="J72" s="5" t="n">
        <ns0:v>0.074</ns0:v>
      </ns0:c>
      <ns0:c r="K72" s="5" t="n"/>
      <ns0:c r="L72" s="15">
        <ns0:f>J72</ns0:f>
        <ns0:v>0.074</ns0:v>
      </ns0:c>
      <ns0:c r="M72" s="15">
        <ns0:f>I72-L72</ns0:f>
        <ns0:v>0.0</ns0:v>
      </ns0:c>
      <ns0:c r="N72" s="15" t="str">
        <ns0:f>IF(ABS(M72)&lt;0.0000001,"MATCH","MISMATCH")</ns0:f>
        <ns0:v>MATCH</ns0:v>
      </ns0:c>
      <ns0:c r="O72" s="16" t="inlineStr">
        <ns0:is>
          <ns0:t>直接印刷/单位等价</ns0:t>
        </ns0:is>
      </ns0:c>
      <ns0:c r="P72" s="5" t="inlineStr">
        <ns0:is>
          <ns0:t>Y: 原文表/正文/图注明确数字</ns0:t>
        </ns0:is>
      </ns0:c>
      <ns0:c r="Q72" s="17" t="inlineStr">
        <ns0:is>
          <ns0:t>0.074 gMeOH gcat^-1 h^-1</ns0:t>
        </ns0:is>
      </ns0:c>
      <ns0:c r="R72" s="5" t="inlineStr">
        <ns0:is>
          <ns0:t>PDF第1页</ns0:t>
        </ns0:is>
      </ns0:c>
      <ns0:c r="S72" s="5" t="inlineStr">
        <ns0:is>
          <ns0:t>Table S1, Cat-1.5, 300°C, STY</ns0:t>
        </ns0:is>
      </ns0:c>
      <ns0:c r="T72" s="5" t="inlineStr">
        <ns0:is>
          <ns0:t>原文数值及工况相符</ns0:t>
        </ns0:is>
      </ns0:c>
      <ns0:c r="U72" s="18" t="inlineStr">
        <ns0:is>
          <ns0:t>https://drive.google.com/file/d/1BfPoG96bC3lh69paQTz4qlQDV83XHTdg/view</ns0:t>
        </ns0:is>
      </ns0:c>
      <ns0:c r="V72" s="17" t="inlineStr">
        <ns0:is>
          <ns0:t>28de9ff027971d177773816fc9cc1e8a9e15485eb853b79fddb0085b349fd148</ns0:t>
        </ns0:is>
      </ns0:c>
      <ns0:c r="W72" s="5" t="inlineStr">
        <ns0:is>
          <ns0:t>Chen-SI</ns0:t>
        </ns0:is>
      </ns0:c>
    </ns0:row>
    <ns0:row r="73" ht="45" customHeight="1">
      <ns0:c r="A73" s="5" t="n">
        <ns0:v>72</ns0:v>
      </ns0:c>
      <ns0:c r="B73" s="5" t="inlineStr">
        <ns0:is>
          <ns0:t>10.1002/ente.201800747</ns0:t>
        </ns0:is>
      </ns0:c>
      <ns0:c r="C73" s="5" t="inlineStr">
        <ns0:is>
          <ns0:t>H-In2O3/Al2O3</ns0:t>
        </ns0:is>
      </ns0:c>
      <ns0:c r="D73" s="5" t="inlineStr">
        <ns0:is>
          <ns0:t>SI Table S1, H-In2O3/Al2O3, 325 °C</ns0:t>
        </ns0:is>
      </ns0:c>
      <ns0:c r="E73" s="5" t="inlineStr">
        <ns0:is>
          <ns0:t>pressure</ns0:t>
        </ns0:is>
      </ns0:c>
      <ns0:c r="F73" s="5" t="n">
        <ns0:v>40</ns0:v>
      </ns0:c>
      <ns0:c r="G73" s="5" t="inlineStr">
        <ns0:is>
          <ns0:t>bar</ns0:t>
        </ns0:is>
      </ns0:c>
      <ns0:c r="H73" s="5" t="inlineStr"/>
      <ns0:c r="I73" s="5" t="n">
        <ns0:v>40</ns0:v>
      </ns0:c>
      <ns0:c r="J73" s="5" t="n">
        <ns0:v>4</ns0:v>
      </ns0:c>
      <ns0:c r="K73" s="5" t="n"/>
      <ns0:c r="L73" s="15">
        <ns0:f>J73*10</ns0:f>
        <ns0:v>40.0</ns0:v>
      </ns0:c>
      <ns0:c r="M73" s="15">
        <ns0:f>I73-L73</ns0:f>
        <ns0:v>0.0</ns0:v>
      </ns0:c>
      <ns0:c r="N73" s="15" t="str">
        <ns0:f>IF(ABS(M73)&lt;0.0000001,"MATCH","MISMATCH")</ns0:f>
        <ns0:v>MATCH</ns0:v>
      </ns0:c>
      <ns0:c r="O73" s="16" t="inlineStr">
        <ns0:is>
          <ns0:t>直接印刷/单位等价</ns0:t>
        </ns0:is>
      </ns0:c>
      <ns0:c r="P73" s="5" t="inlineStr">
        <ns0:is>
          <ns0:t>Y: 原文数字直印；已换算单位</ns0:t>
        </ns0:is>
      </ns0:c>
      <ns0:c r="Q73" s="17" t="inlineStr">
        <ns0:is>
          <ns0:t>P=4.0 MPa</ns0:t>
        </ns0:is>
      </ns0:c>
      <ns0:c r="R73" s="5" t="inlineStr">
        <ns0:is>
          <ns0:t>PDF第1页</ns0:t>
        </ns0:is>
      </ns0:c>
      <ns0:c r="S73" s="5" t="inlineStr">
        <ns0:is>
          <ns0:t>Table S1 footnote P</ns0:t>
        </ns0:is>
      </ns0:c>
      <ns0:c r="T73" s="5" t="inlineStr">
        <ns0:is>
          <ns0:t>原文数值及工况相符</ns0:t>
        </ns0:is>
      </ns0:c>
      <ns0:c r="U73" s="18" t="inlineStr">
        <ns0:is>
          <ns0:t>https://drive.google.com/file/d/1BfPoG96bC3lh69paQTz4qlQDV83XHTdg/view</ns0:t>
        </ns0:is>
      </ns0:c>
      <ns0:c r="V73" s="17" t="inlineStr">
        <ns0:is>
          <ns0:t>28de9ff027971d177773816fc9cc1e8a9e15485eb853b79fddb0085b349fd148</ns0:t>
        </ns0:is>
      </ns0:c>
      <ns0:c r="W73" s="5" t="inlineStr">
        <ns0:is>
          <ns0:t>Chen-SI</ns0:t>
        </ns0:is>
      </ns0:c>
    </ns0:row>
    <ns0:row r="74" ht="45" customHeight="1">
      <ns0:c r="A74" s="5" t="n">
        <ns0:v>73</ns0:v>
      </ns0:c>
      <ns0:c r="B74" s="5" t="inlineStr">
        <ns0:is>
          <ns0:t>10.1002/ente.201800747</ns0:t>
        </ns0:is>
      </ns0:c>
      <ns0:c r="C74" s="5" t="inlineStr">
        <ns0:is>
          <ns0:t>Cat-4.5</ns0:t>
        </ns0:is>
      </ns0:c>
      <ns0:c r="D74" s="5" t="inlineStr">
        <ns0:is>
          <ns0:t>Figure 4c/text, Cat-4.5 at 325 °C</ns0:t>
        </ns0:is>
      </ns0:c>
      <ns0:c r="E74" s="5" t="inlineStr">
        <ns0:is>
          <ns0:t>pressure</ns0:t>
        </ns0:is>
      </ns0:c>
      <ns0:c r="F74" s="5" t="n">
        <ns0:v>40</ns0:v>
      </ns0:c>
      <ns0:c r="G74" s="5" t="inlineStr">
        <ns0:is>
          <ns0:t>bar</ns0:t>
        </ns0:is>
      </ns0:c>
      <ns0:c r="H74" s="5" t="inlineStr"/>
      <ns0:c r="I74" s="5" t="n">
        <ns0:v>40</ns0:v>
      </ns0:c>
      <ns0:c r="J74" s="5" t="n">
        <ns0:v>4</ns0:v>
      </ns0:c>
      <ns0:c r="K74" s="5" t="n"/>
      <ns0:c r="L74" s="15">
        <ns0:f>J74*10</ns0:f>
        <ns0:v>40.0</ns0:v>
      </ns0:c>
      <ns0:c r="M74" s="15">
        <ns0:f>I74-L74</ns0:f>
        <ns0:v>0.0</ns0:v>
      </ns0:c>
      <ns0:c r="N74" s="15" t="str">
        <ns0:f>IF(ABS(M74)&lt;0.0000001,"MATCH","MISMATCH")</ns0:f>
        <ns0:v>MATCH</ns0:v>
      </ns0:c>
      <ns0:c r="O74" s="16" t="inlineStr">
        <ns0:is>
          <ns0:t>直接印刷/单位等价</ns0:t>
        </ns0:is>
      </ns0:c>
      <ns0:c r="P74" s="5" t="inlineStr">
        <ns0:is>
          <ns0:t>Y: 原文数字直印；已换算单位</ns0:t>
        </ns0:is>
      </ns0:c>
      <ns0:c r="Q74" s="17" t="inlineStr">
        <ns0:is>
          <ns0:t>P=4.0 MPa</ns0:t>
        </ns0:is>
      </ns0:c>
      <ns0:c r="R74" s="5" t="inlineStr">
        <ns0:is>
          <ns0:t>PDF第1页</ns0:t>
        </ns0:is>
      </ns0:c>
      <ns0:c r="S74" s="5" t="inlineStr">
        <ns0:is>
          <ns0:t>Table S1 footnote P, Cat-4.5 325°C</ns0:t>
        </ns0:is>
      </ns0:c>
      <ns0:c r="T74" s="5" t="inlineStr">
        <ns0:is>
          <ns0:t>原文数值及工况相符</ns0:t>
        </ns0:is>
      </ns0:c>
      <ns0:c r="U74" s="18" t="inlineStr">
        <ns0:is>
          <ns0:t>https://drive.google.com/file/d/1BfPoG96bC3lh69paQTz4qlQDV83XHTdg/view</ns0:t>
        </ns0:is>
      </ns0:c>
      <ns0:c r="V74" s="17" t="inlineStr">
        <ns0:is>
          <ns0:t>28de9ff027971d177773816fc9cc1e8a9e15485eb853b79fddb0085b349fd148</ns0:t>
        </ns0:is>
      </ns0:c>
      <ns0:c r="W74" s="5" t="inlineStr">
        <ns0:is>
          <ns0:t>Chen-SI</ns0:t>
        </ns0:is>
      </ns0:c>
    </ns0:row>
    <ns0:row r="75" ht="45" customHeight="1">
      <ns0:c r="A75" s="5" t="n">
        <ns0:v>74</ns0:v>
      </ns0:c>
      <ns0:c r="B75" s="5" t="inlineStr">
        <ns0:is>
          <ns0:t>10.1002/ente.201800747</ns0:t>
        </ns0:is>
      </ns0:c>
      <ns0:c r="C75" s="5" t="inlineStr">
        <ns0:is>
          <ns0:t>H-In2O3/Al2O3</ns0:t>
        </ns0:is>
      </ns0:c>
      <ns0:c r="D75" s="5" t="inlineStr">
        <ns0:is>
          <ns0:t>SI Table S1, H-In2O3/Al2O3, 325 °C</ns0:t>
        </ns0:is>
      </ns0:c>
      <ns0:c r="E75" s="5" t="inlineStr">
        <ns0:is>
          <ns0:t>STY (printed)</ns0:t>
        </ns0:is>
      </ns0:c>
      <ns0:c r="F75" s="5" t="inlineStr">
        <ns0:is>
          <ns0:t>0.109 gMeOH gcat-1 h-1</ns0:t>
        </ns0:is>
      </ns0:c>
      <ns0:c r="G75" s="5" t="inlineStr">
        <ns0:is>
          <ns0:t>as printed</ns0:t>
        </ns0:is>
      </ns0:c>
      <ns0:c r="H75" s="5" t="inlineStr">
        <ns0:is>
          <ns0:t>=</ns0:t>
        </ns0:is>
      </ns0:c>
      <ns0:c r="I75" s="5" t="n">
        <ns0:v>0.109</ns0:v>
      </ns0:c>
      <ns0:c r="J75" s="5" t="n">
        <ns0:v>0.109</ns0:v>
      </ns0:c>
      <ns0:c r="K75" s="5" t="n"/>
      <ns0:c r="L75" s="15">
        <ns0:f>J75</ns0:f>
        <ns0:v>0.109</ns0:v>
      </ns0:c>
      <ns0:c r="M75" s="15">
        <ns0:f>I75-L75</ns0:f>
        <ns0:v>0.0</ns0:v>
      </ns0:c>
      <ns0:c r="N75" s="15" t="str">
        <ns0:f>IF(ABS(M75)&lt;0.0000001,"MATCH","MISMATCH")</ns0:f>
        <ns0:v>MATCH</ns0:v>
      </ns0:c>
      <ns0:c r="O75" s="16" t="inlineStr">
        <ns0:is>
          <ns0:t>直接印刷/单位等价</ns0:t>
        </ns0:is>
      </ns0:c>
      <ns0:c r="P75" s="5" t="inlineStr">
        <ns0:is>
          <ns0:t>Y: 原文表/正文/图注明确数字</ns0:t>
        </ns0:is>
      </ns0:c>
      <ns0:c r="Q75" s="17" t="inlineStr">
        <ns0:is>
          <ns0:t>0.109 gMeOH gcat^-1 h^-1</ns0:t>
        </ns0:is>
      </ns0:c>
      <ns0:c r="R75" s="5" t="inlineStr">
        <ns0:is>
          <ns0:t>PDF第1页</ns0:t>
        </ns0:is>
      </ns0:c>
      <ns0:c r="S75" s="5" t="inlineStr">
        <ns0:is>
          <ns0:t>Table S1, H-In2O3/Al2O3, 325°C, STY</ns0:t>
        </ns0:is>
      </ns0:c>
      <ns0:c r="T75" s="5" t="inlineStr">
        <ns0:is>
          <ns0:t>原文数值及工况相符</ns0:t>
        </ns0:is>
      </ns0:c>
      <ns0:c r="U75" s="18" t="inlineStr">
        <ns0:is>
          <ns0:t>https://drive.google.com/file/d/1BfPoG96bC3lh69paQTz4qlQDV83XHTdg/view</ns0:t>
        </ns0:is>
      </ns0:c>
      <ns0:c r="V75" s="17" t="inlineStr">
        <ns0:is>
          <ns0:t>28de9ff027971d177773816fc9cc1e8a9e15485eb853b79fddb0085b349fd148</ns0:t>
        </ns0:is>
      </ns0:c>
      <ns0:c r="W75" s="5" t="inlineStr">
        <ns0:is>
          <ns0:t>Chen-SI</ns0:t>
        </ns0:is>
      </ns0:c>
    </ns0:row>
    <ns0:row r="76" ht="45" customHeight="1">
      <ns0:c r="A76" s="5" t="n">
        <ns0:v>75</ns0:v>
      </ns0:c>
      <ns0:c r="B76" s="5" t="inlineStr">
        <ns0:is>
          <ns0:t>10.1002/ente.201800747</ns0:t>
        </ns0:is>
      </ns0:c>
      <ns0:c r="C76" s="5" t="inlineStr">
        <ns0:is>
          <ns0:t>H-In2O3/Al2O3</ns0:t>
        </ns0:is>
      </ns0:c>
      <ns0:c r="D76" s="5" t="inlineStr">
        <ns0:is>
          <ns0:t>SI Table S1, H-In2O3/Al2O3, 250 °C</ns0:t>
        </ns0:is>
      </ns0:c>
      <ns0:c r="E76" s="5" t="inlineStr">
        <ns0:is>
          <ns0:t>CO selectivity</ns0:t>
        </ns0:is>
      </ns0:c>
      <ns0:c r="F76" s="5" t="n">
        <ns0:v>6.8</ns0:v>
      </ns0:c>
      <ns0:c r="G76" s="5" t="inlineStr">
        <ns0:is>
          <ns0:t>%</ns0:t>
        </ns0:is>
      </ns0:c>
      <ns0:c r="H76" s="5" t="inlineStr">
        <ns0:is>
          <ns0:t>=</ns0:t>
        </ns0:is>
      </ns0:c>
      <ns0:c r="I76" s="5" t="n">
        <ns0:v>6.8</ns0:v>
      </ns0:c>
      <ns0:c r="J76" s="5" t="n">
        <ns0:v>6.8</ns0:v>
      </ns0:c>
      <ns0:c r="K76" s="5" t="n"/>
      <ns0:c r="L76" s="15">
        <ns0:f>J76</ns0:f>
        <ns0:v>6.8</ns0:v>
      </ns0:c>
      <ns0:c r="M76" s="15">
        <ns0:f>I76-L76</ns0:f>
        <ns0:v>0.0</ns0:v>
      </ns0:c>
      <ns0:c r="N76" s="15" t="str">
        <ns0:f>IF(ABS(M76)&lt;0.0000001,"MATCH","MISMATCH")</ns0:f>
        <ns0:v>MATCH</ns0:v>
      </ns0:c>
      <ns0:c r="O76" s="16" t="inlineStr">
        <ns0:is>
          <ns0:t>直接印刷/单位等价</ns0:t>
        </ns0:is>
      </ns0:c>
      <ns0:c r="P76" s="5" t="inlineStr">
        <ns0:is>
          <ns0:t>Y: 原文表/正文/图注明确数字</ns0:t>
        </ns0:is>
      </ns0:c>
      <ns0:c r="Q76" s="17" t="inlineStr">
        <ns0:is>
          <ns0:t>6.8%</ns0:t>
        </ns0:is>
      </ns0:c>
      <ns0:c r="R76" s="5" t="inlineStr">
        <ns0:is>
          <ns0:t>PDF第1页</ns0:t>
        </ns0:is>
      </ns0:c>
      <ns0:c r="S76" s="5" t="inlineStr">
        <ns0:is>
          <ns0:t>Table S1, H-In2O3/Al2O3, 250°C, CO Sel.</ns0:t>
        </ns0:is>
      </ns0:c>
      <ns0:c r="T76" s="5" t="inlineStr">
        <ns0:is>
          <ns0:t>原文数值及工况相符</ns0:t>
        </ns0:is>
      </ns0:c>
      <ns0:c r="U76" s="18" t="inlineStr">
        <ns0:is>
          <ns0:t>https://drive.google.com/file/d/1BfPoG96bC3lh69paQTz4qlQDV83XHTdg/view</ns0:t>
        </ns0:is>
      </ns0:c>
      <ns0:c r="V76" s="17" t="inlineStr">
        <ns0:is>
          <ns0:t>28de9ff027971d177773816fc9cc1e8a9e15485eb853b79fddb0085b349fd148</ns0:t>
        </ns0:is>
      </ns0:c>
      <ns0:c r="W76" s="5" t="inlineStr">
        <ns0:is>
          <ns0:t>Chen-SI</ns0:t>
        </ns0:is>
      </ns0:c>
    </ns0:row>
    <ns0:row r="77" ht="45" customHeight="1">
      <ns0:c r="A77" s="5" t="n">
        <ns0:v>76</ns0:v>
      </ns0:c>
      <ns0:c r="B77" s="5" t="inlineStr">
        <ns0:is>
          <ns0:t>10.1002/ente.201800747</ns0:t>
        </ns0:is>
      </ns0:c>
      <ns0:c r="C77" s="5" t="inlineStr">
        <ns0:is>
          <ns0:t>Cat-3.0</ns0:t>
        </ns0:is>
      </ns0:c>
      <ns0:c r="D77" s="5" t="inlineStr">
        <ns0:is>
          <ns0:t>Figure 4c, Cat-3.0 at 325 °C</ns0:t>
        </ns0:is>
      </ns0:c>
      <ns0:c r="E77" s="5" t="inlineStr">
        <ns0:is>
          <ns0:t>CO2 conversion</ns0:t>
        </ns0:is>
      </ns0:c>
      <ns0:c r="F77" s="5" t="n">
        <ns0:v>3.4</ns0:v>
      </ns0:c>
      <ns0:c r="G77" s="5" t="inlineStr">
        <ns0:is>
          <ns0:t>%</ns0:t>
        </ns0:is>
      </ns0:c>
      <ns0:c r="H77" s="5" t="inlineStr">
        <ns0:is>
          <ns0:t>=</ns0:t>
        </ns0:is>
      </ns0:c>
      <ns0:c r="I77" s="5" t="n">
        <ns0:v>3.4</ns0:v>
      </ns0:c>
      <ns0:c r="J77" s="5" t="n">
        <ns0:v>3.4</ns0:v>
      </ns0:c>
      <ns0:c r="K77" s="5" t="n"/>
      <ns0:c r="L77" s="15">
        <ns0:f>J77</ns0:f>
        <ns0:v>3.4</ns0:v>
      </ns0:c>
      <ns0:c r="M77" s="15">
        <ns0:f>I77-L77</ns0:f>
        <ns0:v>0.0</ns0:v>
      </ns0:c>
      <ns0:c r="N77" s="15" t="str">
        <ns0:f>IF(ABS(M77)&lt;0.0000001,"MATCH","MISMATCH")</ns0:f>
        <ns0:v>MATCH</ns0:v>
      </ns0:c>
      <ns0:c r="O77" s="16" t="inlineStr">
        <ns0:is>
          <ns0:t>直接印刷/单位等价</ns0:t>
        </ns0:is>
      </ns0:c>
      <ns0:c r="P77" s="5" t="inlineStr">
        <ns0:is>
          <ns0:t>Y: 原文表/正文/图注明确数字</ns0:t>
        </ns0:is>
      </ns0:c>
      <ns0:c r="Q77" s="17" t="inlineStr">
        <ns0:is>
          <ns0:t>3.4%</ns0:t>
        </ns0:is>
      </ns0:c>
      <ns0:c r="R77" s="5" t="inlineStr">
        <ns0:is>
          <ns0:t>PDF第1页</ns0:t>
        </ns0:is>
      </ns0:c>
      <ns0:c r="S77" s="5" t="inlineStr">
        <ns0:is>
          <ns0:t>Table S1, Cat-3.0, 325°C, XCO2</ns0:t>
        </ns0:is>
      </ns0:c>
      <ns0:c r="T77" s="5" t="inlineStr">
        <ns0:is>
          <ns0:t>原文数值及工况相符</ns0:t>
        </ns0:is>
      </ns0:c>
      <ns0:c r="U77" s="18" t="inlineStr">
        <ns0:is>
          <ns0:t>https://drive.google.com/file/d/1BfPoG96bC3lh69paQTz4qlQDV83XHTdg/view</ns0:t>
        </ns0:is>
      </ns0:c>
      <ns0:c r="V77" s="17" t="inlineStr">
        <ns0:is>
          <ns0:t>28de9ff027971d177773816fc9cc1e8a9e15485eb853b79fddb0085b349fd148</ns0:t>
        </ns0:is>
      </ns0:c>
      <ns0:c r="W77" s="5" t="inlineStr">
        <ns0:is>
          <ns0:t>Chen-SI</ns0:t>
        </ns0:is>
      </ns0:c>
    </ns0:row>
    <ns0:row r="78" ht="45" customHeight="1">
      <ns0:c r="A78" s="5" t="n">
        <ns0:v>77</ns0:v>
      </ns0:c>
      <ns0:c r="B78" s="5" t="inlineStr">
        <ns0:is>
          <ns0:t>10.1002/ente.201800747</ns0:t>
        </ns0:is>
      </ns0:c>
      <ns0:c r="C78" s="5" t="inlineStr">
        <ns0:is>
          <ns0:t>Cat-4.5</ns0:t>
        </ns0:is>
      </ns0:c>
      <ns0:c r="D78" s="5" t="inlineStr">
        <ns0:is>
          <ns0:t>SI Table S1, Cat-4.5, 250 °C</ns0:t>
        </ns0:is>
      </ns0:c>
      <ns0:c r="E78" s="5" t="inlineStr">
        <ns0:is>
          <ns0:t>CH4 selectivity</ns0:t>
        </ns0:is>
      </ns0:c>
      <ns0:c r="F78" s="5" t="n">
        <ns0:v>0</ns0:v>
      </ns0:c>
      <ns0:c r="G78" s="5" t="inlineStr">
        <ns0:is>
          <ns0:t>%</ns0:t>
        </ns0:is>
      </ns0:c>
      <ns0:c r="H78" s="5" t="inlineStr">
        <ns0:is>
          <ns0:t>=</ns0:t>
        </ns0:is>
      </ns0:c>
      <ns0:c r="I78" s="5" t="n">
        <ns0:v>0</ns0:v>
      </ns0:c>
      <ns0:c r="J78" s="5" t="n">
        <ns0:v>0</ns0:v>
      </ns0:c>
      <ns0:c r="K78" s="5" t="n"/>
      <ns0:c r="L78" s="15">
        <ns0:f>J78</ns0:f>
        <ns0:v>0.0</ns0:v>
      </ns0:c>
      <ns0:c r="M78" s="15">
        <ns0:f>I78-L78</ns0:f>
        <ns0:v>0.0</ns0:v>
      </ns0:c>
      <ns0:c r="N78" s="15" t="str">
        <ns0:f>IF(ABS(M78)&lt;0.0000001,"MATCH","MISMATCH")</ns0:f>
        <ns0:v>MATCH</ns0:v>
      </ns0:c>
      <ns0:c r="O78" s="16" t="inlineStr">
        <ns0:is>
          <ns0:t>直接印刷/单位等价</ns0:t>
        </ns0:is>
      </ns0:c>
      <ns0:c r="P78" s="5" t="inlineStr">
        <ns0:is>
          <ns0:t>Y: 原文表/正文/图注明确数字</ns0:t>
        </ns0:is>
      </ns0:c>
      <ns0:c r="Q78" s="17" t="inlineStr">
        <ns0:is>
          <ns0:t>0%</ns0:t>
        </ns0:is>
      </ns0:c>
      <ns0:c r="R78" s="5" t="inlineStr">
        <ns0:is>
          <ns0:t>PDF第1页</ns0:t>
        </ns0:is>
      </ns0:c>
      <ns0:c r="S78" s="5" t="inlineStr">
        <ns0:is>
          <ns0:t>Table S1, Cat-4.5, 250°C, CH4 Sel.</ns0:t>
        </ns0:is>
      </ns0:c>
      <ns0:c r="T78" s="5" t="inlineStr">
        <ns0:is>
          <ns0:t>原文数值及工况相符</ns0:t>
        </ns0:is>
      </ns0:c>
      <ns0:c r="U78" s="18" t="inlineStr">
        <ns0:is>
          <ns0:t>https://drive.google.com/file/d/1BfPoG96bC3lh69paQTz4qlQDV83XHTdg/view</ns0:t>
        </ns0:is>
      </ns0:c>
      <ns0:c r="V78" s="17" t="inlineStr">
        <ns0:is>
          <ns0:t>28de9ff027971d177773816fc9cc1e8a9e15485eb853b79fddb0085b349fd148</ns0:t>
        </ns0:is>
      </ns0:c>
      <ns0:c r="W78" s="5" t="inlineStr">
        <ns0:is>
          <ns0:t>Chen-SI</ns0:t>
        </ns0:is>
      </ns0:c>
    </ns0:row>
    <ns0:row r="79" ht="45" customHeight="1">
      <ns0:c r="A79" s="5" t="n">
        <ns0:v>78</ns0:v>
      </ns0:c>
      <ns0:c r="B79" s="5" t="inlineStr">
        <ns0:is>
          <ns0:t>10.1002/ente.201800747</ns0:t>
        </ns0:is>
      </ns0:c>
      <ns0:c r="C79" s="5" t="inlineStr">
        <ns0:is>
          <ns0:t>Cat-4.5</ns0:t>
        </ns0:is>
      </ns0:c>
      <ns0:c r="D79" s="5" t="inlineStr">
        <ns0:is>
          <ns0:t>SI Table S1, Cat-4.5, 275 °C</ns0:t>
        </ns0:is>
      </ns0:c>
      <ns0:c r="E79" s="5" t="inlineStr">
        <ns0:is>
          <ns0:t>CH3OH selectivity</ns0:t>
        </ns0:is>
      </ns0:c>
      <ns0:c r="F79" s="5" t="n">
        <ns0:v>91.59999999999999</ns0:v>
      </ns0:c>
      <ns0:c r="G79" s="5" t="inlineStr">
        <ns0:is>
          <ns0:t>%</ns0:t>
        </ns0:is>
      </ns0:c>
      <ns0:c r="H79" s="5" t="inlineStr">
        <ns0:is>
          <ns0:t>=</ns0:t>
        </ns0:is>
      </ns0:c>
      <ns0:c r="I79" s="5" t="n">
        <ns0:v>91.59999999999999</ns0:v>
      </ns0:c>
      <ns0:c r="J79" s="5" t="n">
        <ns0:v>91.59999999999999</ns0:v>
      </ns0:c>
      <ns0:c r="K79" s="5" t="n"/>
      <ns0:c r="L79" s="15">
        <ns0:f>J79</ns0:f>
        <ns0:v>91.6</ns0:v>
      </ns0:c>
      <ns0:c r="M79" s="15">
        <ns0:f>I79-L79</ns0:f>
        <ns0:v>0.0</ns0:v>
      </ns0:c>
      <ns0:c r="N79" s="15" t="str">
        <ns0:f>IF(ABS(M79)&lt;0.0000001,"MATCH","MISMATCH")</ns0:f>
        <ns0:v>MATCH</ns0:v>
      </ns0:c>
      <ns0:c r="O79" s="16" t="inlineStr">
        <ns0:is>
          <ns0:t>直接印刷/单位等价</ns0:t>
        </ns0:is>
      </ns0:c>
      <ns0:c r="P79" s="5" t="inlineStr">
        <ns0:is>
          <ns0:t>Y: 原文表/正文/图注明确数字</ns0:t>
        </ns0:is>
      </ns0:c>
      <ns0:c r="Q79" s="17" t="inlineStr">
        <ns0:is>
          <ns0:t>91.6%</ns0:t>
        </ns0:is>
      </ns0:c>
      <ns0:c r="R79" s="5" t="inlineStr">
        <ns0:is>
          <ns0:t>PDF第1页</ns0:t>
        </ns0:is>
      </ns0:c>
      <ns0:c r="S79" s="5" t="inlineStr">
        <ns0:is>
          <ns0:t>Table S1, Cat-4.5, 275°C, CH3OH Sel.</ns0:t>
        </ns0:is>
      </ns0:c>
      <ns0:c r="T79" s="5" t="inlineStr">
        <ns0:is>
          <ns0:t>原文数值及工况相符</ns0:t>
        </ns0:is>
      </ns0:c>
      <ns0:c r="U79" s="18" t="inlineStr">
        <ns0:is>
          <ns0:t>https://drive.google.com/file/d/1BfPoG96bC3lh69paQTz4qlQDV83XHTdg/view</ns0:t>
        </ns0:is>
      </ns0:c>
      <ns0:c r="V79" s="17" t="inlineStr">
        <ns0:is>
          <ns0:t>28de9ff027971d177773816fc9cc1e8a9e15485eb853b79fddb0085b349fd148</ns0:t>
        </ns0:is>
      </ns0:c>
      <ns0:c r="W79" s="5" t="inlineStr">
        <ns0:is>
          <ns0:t>Chen-SI</ns0:t>
        </ns0:is>
      </ns0:c>
    </ns0:row>
    <ns0:row r="80" ht="45" customHeight="1">
      <ns0:c r="A80" s="5" t="n">
        <ns0:v>79</ns0:v>
      </ns0:c>
      <ns0:c r="B80" s="5" t="inlineStr">
        <ns0:is>
          <ns0:t>10.1002/ente.201800747</ns0:t>
        </ns0:is>
      </ns0:c>
      <ns0:c r="C80" s="5" t="inlineStr">
        <ns0:is>
          <ns0:t>In2O3-IWI/Al2O3/Al-fiber</ns0:t>
        </ns0:is>
      </ns0:c>
      <ns0:c r="D80" s="5" t="inlineStr">
        <ns0:is>
          <ns0:t>SI Table S1, In2O3-IWI/Al2O3/Al-fiber, 350 °C</ns0:t>
        </ns0:is>
      </ns0:c>
      <ns0:c r="E80" s="5" t="inlineStr">
        <ns0:is>
          <ns0:t>H2/CO2</ns0:t>
        </ns0:is>
      </ns0:c>
      <ns0:c r="F80" s="5" t="n">
        <ns0:v>3</ns0:v>
      </ns0:c>
      <ns0:c r="G80" s="5" t="inlineStr">
        <ns0:is>
          <ns0:t>mol/mol</ns0:t>
        </ns0:is>
      </ns0:c>
      <ns0:c r="H80" s="5" t="inlineStr"/>
      <ns0:c r="I80" s="5" t="n">
        <ns0:v>3</ns0:v>
      </ns0:c>
      <ns0:c r="J80" s="5" t="n">
        <ns0:v>66</ns0:v>
      </ns0:c>
      <ns0:c r="K80" s="5" t="n">
        <ns0:v>22</ns0:v>
      </ns0:c>
      <ns0:c r="L80" s="15">
        <ns0:f>J80/K80</ns0:f>
        <ns0:v>3.0</ns0:v>
      </ns0:c>
      <ns0:c r="M80" s="15">
        <ns0:f>I80-L80</ns0:f>
        <ns0:v>0.0</ns0:v>
      </ns0:c>
      <ns0:c r="N80" s="15" t="str">
        <ns0:f>IF(ABS(M80)&lt;0.0000001,"MATCH","MISMATCH")</ns0:f>
        <ns0:v>MATCH</ns0:v>
      </ns0:c>
      <ns0:c r="O80" s="21" t="inlineStr">
        <ns0:is>
          <ns0:t>组成或比值推导</ns0:t>
        </ns0:is>
      </ns0:c>
      <ns0:c r="P80" s="5" t="inlineStr">
        <ns0:is>
          <ns0:t>N: 原文有构成数字，比值由计算得到</ns0:t>
        </ns0:is>
      </ns0:c>
      <ns0:c r="Q80" s="17" t="inlineStr">
        <ns0:is>
          <ns0:t>H2/CO2/N2=66/22/12</ns0:t>
        </ns0:is>
      </ns0:c>
      <ns0:c r="R80" s="5" t="inlineStr">
        <ns0:is>
          <ns0:t>PDF第1页</ns0:t>
        </ns0:is>
      </ns0:c>
      <ns0:c r="S80" s="5" t="inlineStr">
        <ns0:is>
          <ns0:t>Table S1 reaction conditions H2/CO2/N2</ns0:t>
        </ns0:is>
      </ns0:c>
      <ns0:c r="T80" s="19" t="inlineStr">
        <ns0:is>
          <ns0:t>H2/CO2=3来自66/22；3不是原文独立印刷的进料比；N2=12也应保留</ns0:t>
        </ns0:is>
      </ns0:c>
      <ns0:c r="U80" s="18" t="inlineStr">
        <ns0:is>
          <ns0:t>https://drive.google.com/file/d/1BfPoG96bC3lh69paQTz4qlQDV83XHTdg/view</ns0:t>
        </ns0:is>
      </ns0:c>
      <ns0:c r="V80" s="17" t="inlineStr">
        <ns0:is>
          <ns0:t>28de9ff027971d177773816fc9cc1e8a9e15485eb853b79fddb0085b349fd148</ns0:t>
        </ns0:is>
      </ns0:c>
      <ns0:c r="W80" s="5" t="inlineStr">
        <ns0:is>
          <ns0:t>Chen-SI</ns0:t>
        </ns0:is>
      </ns0:c>
    </ns0:row>
    <ns0:row r="81" ht="45" customHeight="1">
      <ns0:c r="A81" s="5" t="n">
        <ns0:v>80</ns0:v>
      </ns0:c>
      <ns0:c r="B81" s="5" t="inlineStr">
        <ns0:is>
          <ns0:t>10.1002/ente.201800747</ns0:t>
        </ns0:is>
      </ns0:c>
      <ns0:c r="C81" s="5" t="inlineStr">
        <ns0:is>
          <ns0:t>H-In2O3/Al2O3</ns0:t>
        </ns0:is>
      </ns0:c>
      <ns0:c r="D81" s="5" t="inlineStr">
        <ns0:is>
          <ns0:t>SI Table S1, H-In2O3/Al2O3, 250 °C</ns0:t>
        </ns0:is>
      </ns0:c>
      <ns0:c r="E81" s="5" t="inlineStr">
        <ns0:is>
          <ns0:t>STY (printed)</ns0:t>
        </ns0:is>
      </ns0:c>
      <ns0:c r="F81" s="5" t="inlineStr">
        <ns0:is>
          <ns0:t>0.051 gMeOH gcat-1 h-1</ns0:t>
        </ns0:is>
      </ns0:c>
      <ns0:c r="G81" s="5" t="inlineStr">
        <ns0:is>
          <ns0:t>as printed</ns0:t>
        </ns0:is>
      </ns0:c>
      <ns0:c r="H81" s="5" t="inlineStr">
        <ns0:is>
          <ns0:t>=</ns0:t>
        </ns0:is>
      </ns0:c>
      <ns0:c r="I81" s="5" t="n">
        <ns0:v>0.051</ns0:v>
      </ns0:c>
      <ns0:c r="J81" s="5" t="n">
        <ns0:v>0.051</ns0:v>
      </ns0:c>
      <ns0:c r="K81" s="5" t="n"/>
      <ns0:c r="L81" s="15">
        <ns0:f>J81</ns0:f>
        <ns0:v>0.051</ns0:v>
      </ns0:c>
      <ns0:c r="M81" s="15">
        <ns0:f>I81-L81</ns0:f>
        <ns0:v>0.0</ns0:v>
      </ns0:c>
      <ns0:c r="N81" s="15" t="str">
        <ns0:f>IF(ABS(M81)&lt;0.0000001,"MATCH","MISMATCH")</ns0:f>
        <ns0:v>MATCH</ns0:v>
      </ns0:c>
      <ns0:c r="O81" s="16" t="inlineStr">
        <ns0:is>
          <ns0:t>直接印刷/单位等价</ns0:t>
        </ns0:is>
      </ns0:c>
      <ns0:c r="P81" s="5" t="inlineStr">
        <ns0:is>
          <ns0:t>Y: 原文表/正文/图注明确数字</ns0:t>
        </ns0:is>
      </ns0:c>
      <ns0:c r="Q81" s="17" t="inlineStr">
        <ns0:is>
          <ns0:t>0.051 gMeOH gcat^-1 h^-1</ns0:t>
        </ns0:is>
      </ns0:c>
      <ns0:c r="R81" s="5" t="inlineStr">
        <ns0:is>
          <ns0:t>PDF第1页</ns0:t>
        </ns0:is>
      </ns0:c>
      <ns0:c r="S81" s="5" t="inlineStr">
        <ns0:is>
          <ns0:t>Table S1, H-In2O3/Al2O3, 250°C, STY</ns0:t>
        </ns0:is>
      </ns0:c>
      <ns0:c r="T81" s="5" t="inlineStr">
        <ns0:is>
          <ns0:t>原文数值及工况相符</ns0:t>
        </ns0:is>
      </ns0:c>
      <ns0:c r="U81" s="18" t="inlineStr">
        <ns0:is>
          <ns0:t>https://drive.google.com/file/d/1BfPoG96bC3lh69paQTz4qlQDV83XHTdg/view</ns0:t>
        </ns0:is>
      </ns0:c>
      <ns0:c r="V81" s="17" t="inlineStr">
        <ns0:is>
          <ns0:t>28de9ff027971d177773816fc9cc1e8a9e15485eb853b79fddb0085b349fd148</ns0:t>
        </ns0:is>
      </ns0:c>
      <ns0:c r="W81" s="5" t="inlineStr">
        <ns0:is>
          <ns0:t>Chen-SI</ns0:t>
        </ns0:is>
      </ns0:c>
    </ns0:row>
    <ns0:row r="82" ht="45" customHeight="1">
      <ns0:c r="A82" s="5" t="n">
        <ns0:v>81</ns0:v>
      </ns0:c>
      <ns0:c r="B82" s="5" t="inlineStr">
        <ns0:is>
          <ns0:t>10.1002/cctc.202000974</ns0:t>
        </ns0:is>
      </ns0:c>
      <ns0:c r="C82" s="5" t="inlineStr">
        <ns0:is>
          <ns0:t>TiO2</ns0:t>
        </ns0:is>
      </ns0:c>
      <ns0:c r="D82" s="5" t="inlineStr">
        <ns0:is>
          <ns0:t>SI Table S3, TiO2, 225 °C</ns0:t>
        </ns0:is>
      </ns0:c>
      <ns0:c r="E82" s="5" t="inlineStr">
        <ns0:is>
          <ns0:t>CH4 selectivity</ns0:t>
        </ns0:is>
      </ns0:c>
      <ns0:c r="F82" s="5" t="n">
        <ns0:v>0</ns0:v>
      </ns0:c>
      <ns0:c r="G82" s="5" t="inlineStr">
        <ns0:is>
          <ns0:t>%</ns0:t>
        </ns0:is>
      </ns0:c>
      <ns0:c r="H82" s="5" t="inlineStr">
        <ns0:is>
          <ns0:t>=</ns0:t>
        </ns0:is>
      </ns0:c>
      <ns0:c r="I82" s="5" t="n">
        <ns0:v>0</ns0:v>
      </ns0:c>
      <ns0:c r="J82" s="5" t="n">
        <ns0:v>0</ns0:v>
      </ns0:c>
      <ns0:c r="K82" s="5" t="n"/>
      <ns0:c r="L82" s="15">
        <ns0:f>J82</ns0:f>
        <ns0:v>0.0</ns0:v>
      </ns0:c>
      <ns0:c r="M82" s="15">
        <ns0:f>I82-L82</ns0:f>
        <ns0:v>0.0</ns0:v>
      </ns0:c>
      <ns0:c r="N82" s="15" t="str">
        <ns0:f>IF(ABS(M82)&lt;0.0000001,"MATCH","MISMATCH")</ns0:f>
        <ns0:v>MATCH</ns0:v>
      </ns0:c>
      <ns0:c r="O82" s="16" t="inlineStr">
        <ns0:is>
          <ns0:t>直接印刷/单位等价</ns0:t>
        </ns0:is>
      </ns0:c>
      <ns0:c r="P82" s="5" t="inlineStr">
        <ns0:is>
          <ns0:t>Y: 原文表/正文/图注明确数字</ns0:t>
        </ns0:is>
      </ns0:c>
      <ns0:c r="Q82" s="17" t="inlineStr">
        <ns0:is>
          <ns0:t>CH4 selectivity 0%</ns0:t>
        </ns0:is>
      </ns0:c>
      <ns0:c r="R82" s="5" t="inlineStr">
        <ns0:is>
          <ns0:t>PDF第10页</ns0:t>
        </ns0:is>
      </ns0:c>
      <ns0:c r="S82" s="5" t="inlineStr">
        <ns0:is>
          <ns0:t>Table S3, TiO2 support, 225°C, CH4 Sel.；TiO2 row 225°C, X0.2 SMeOH80 SCO20 CH4=0</ns0:t>
        </ns0:is>
      </ns0:c>
      <ns0:c r="T82" s="5" t="inlineStr">
        <ns0:is>
          <ns0:t>原文数值及工况相符</ns0:t>
        </ns0:is>
      </ns0:c>
      <ns0:c r="U82" s="18" t="inlineStr">
        <ns0:is>
          <ns0:t>https://drive.google.com/file/d/1UGQFZ9fnewpti0zvdYyWSXMRrpTxP5qR/view</ns0:t>
        </ns0:is>
      </ns0:c>
      <ns0:c r="V82" s="17" t="inlineStr">
        <ns0:is>
          <ns0:t>4f24221d4806514e846c73139d2d2628e34fae727a401b9b85e1451ff27d812a</ns0:t>
        </ns0:is>
      </ns0:c>
      <ns0:c r="W82" s="5" t="inlineStr">
        <ns0:is>
          <ns0:t>Ruiz-SI</ns0:t>
        </ns0:is>
      </ns0:c>
    </ns0:row>
    <ns0:row r="83" ht="45" customHeight="1">
      <ns0:c r="A83" s="5" t="n">
        <ns0:v>82</ns0:v>
      </ns0:c>
      <ns0:c r="B83" s="5" t="inlineStr">
        <ns0:is>
          <ns0:t>10.1002/cctc.202000974</ns0:t>
        </ns0:is>
      </ns0:c>
      <ns0:c r="C83" s="5" t="inlineStr">
        <ns0:is>
          <ns0:t>Pd/TiO2</ns0:t>
        </ns0:is>
      </ns0:c>
      <ns0:c r="D83" s="5" t="inlineStr">
        <ns0:is>
          <ns0:t>Table 1 row 1, 225°C</ns0:t>
        </ns0:is>
      </ns0:c>
      <ns0:c r="E83" s="5" t="inlineStr">
        <ns0:is>
          <ns0:t>temperature</ns0:t>
        </ns0:is>
      </ns0:c>
      <ns0:c r="F83" s="5" t="n">
        <ns0:v>225</ns0:v>
      </ns0:c>
      <ns0:c r="G83" s="5" t="inlineStr">
        <ns0:is>
          <ns0:t>°C (from K)</ns0:t>
        </ns0:is>
      </ns0:c>
      <ns0:c r="H83" s="5" t="inlineStr"/>
      <ns0:c r="I83" s="5" t="n">
        <ns0:v>225</ns0:v>
      </ns0:c>
      <ns0:c r="J83" s="5" t="n">
        <ns0:v>225</ns0:v>
      </ns0:c>
      <ns0:c r="K83" s="5" t="n"/>
      <ns0:c r="L83" s="15">
        <ns0:f>J83</ns0:f>
        <ns0:v>225.0</ns0:v>
      </ns0:c>
      <ns0:c r="M83" s="15">
        <ns0:f>I83-L83</ns0:f>
        <ns0:v>0.0</ns0:v>
      </ns0:c>
      <ns0:c r="N83" s="15" t="str">
        <ns0:f>IF(ABS(M83)&lt;0.0000001,"MATCH","MISMATCH")</ns0:f>
        <ns0:v>MATCH</ns0:v>
      </ns0:c>
      <ns0:c r="O83" s="16" t="inlineStr">
        <ns0:is>
          <ns0:t>直接印刷/单位等价</ns0:t>
        </ns0:is>
      </ns0:c>
      <ns0:c r="P83" s="5" t="inlineStr">
        <ns0:is>
          <ns0:t>Y: 原文表/正文/图注明确数字</ns0:t>
        </ns0:is>
      </ns0:c>
      <ns0:c r="Q83" s="17" t="inlineStr">
        <ns0:is>
          <ns0:t>225°C</ns0:t>
        </ns0:is>
      </ns0:c>
      <ns0:c r="R83" s="5" t="inlineStr">
        <ns0:is>
          <ns0:t>PDF第3页</ns0:t>
        </ns0:is>
      </ns0:c>
      <ns0:c r="S83" s="5" t="inlineStr">
        <ns0:is>
          <ns0:t>Table 1 caption, Pd/TiO2 conditions</ns0:t>
        </ns0:is>
      </ns0:c>
      <ns0:c r="T83" s="5" t="inlineStr">
        <ns0:is>
          <ns0:t>原文数值及工况相符</ns0:t>
        </ns0:is>
      </ns0:c>
      <ns0:c r="U83" s="18" t="inlineStr">
        <ns0:is>
          <ns0:t>https://drive.google.com/file/d/1KbcBNcn6Fu7BYiqMz1i33vxyVC5fyj1R/view</ns0:t>
        </ns0:is>
      </ns0:c>
      <ns0:c r="V83" s="17" t="inlineStr">
        <ns0:is>
          <ns0:t>940fa897226c94da235dcd577a399b06494f3c01b4aeaf87b2e2524c7c6c75d9</ns0:t>
        </ns0:is>
      </ns0:c>
      <ns0:c r="W83" s="5" t="inlineStr">
        <ns0:is>
          <ns0:t>Ruiz-main</ns0:t>
        </ns0:is>
      </ns0:c>
    </ns0:row>
    <ns0:row r="84" ht="45" customHeight="1">
      <ns0:c r="A84" s="5" t="n">
        <ns0:v>83</ns0:v>
      </ns0:c>
      <ns0:c r="B84" s="5" t="inlineStr">
        <ns0:is>
          <ns0:t>10.1002/cctc.202000974</ns0:t>
        </ns0:is>
      </ns0:c>
      <ns0:c r="C84" s="5" t="inlineStr">
        <ns0:is>
          <ns0:t>ZnTiO3</ns0:t>
        </ns0:is>
      </ns0:c>
      <ns0:c r="D84" s="5" t="inlineStr">
        <ns0:is>
          <ns0:t>SI Table S3, ZnTiO3, 250 °C</ns0:t>
        </ns0:is>
      </ns0:c>
      <ns0:c r="E84" s="5" t="inlineStr">
        <ns0:is>
          <ns0:t>CO selectivity</ns0:t>
        </ns0:is>
      </ns0:c>
      <ns0:c r="F84" s="5" t="n">
        <ns0:v>70</ns0:v>
      </ns0:c>
      <ns0:c r="G84" s="5" t="inlineStr">
        <ns0:is>
          <ns0:t>%</ns0:t>
        </ns0:is>
      </ns0:c>
      <ns0:c r="H84" s="5" t="inlineStr">
        <ns0:is>
          <ns0:t>=</ns0:t>
        </ns0:is>
      </ns0:c>
      <ns0:c r="I84" s="5" t="n">
        <ns0:v>70</ns0:v>
      </ns0:c>
      <ns0:c r="J84" s="5" t="n">
        <ns0:v>70</ns0:v>
      </ns0:c>
      <ns0:c r="K84" s="5" t="n"/>
      <ns0:c r="L84" s="15">
        <ns0:f>J84</ns0:f>
        <ns0:v>70.0</ns0:v>
      </ns0:c>
      <ns0:c r="M84" s="15">
        <ns0:f>I84-L84</ns0:f>
        <ns0:v>0.0</ns0:v>
      </ns0:c>
      <ns0:c r="N84" s="15" t="str">
        <ns0:f>IF(ABS(M84)&lt;0.0000001,"MATCH","MISMATCH")</ns0:f>
        <ns0:v>MATCH</ns0:v>
      </ns0:c>
      <ns0:c r="O84" s="16" t="inlineStr">
        <ns0:is>
          <ns0:t>直接印刷/单位等价</ns0:t>
        </ns0:is>
      </ns0:c>
      <ns0:c r="P84" s="5" t="inlineStr">
        <ns0:is>
          <ns0:t>Y: 原文表/正文/图注明确数字</ns0:t>
        </ns0:is>
      </ns0:c>
      <ns0:c r="Q84" s="17" t="inlineStr">
        <ns0:is>
          <ns0:t>CO selectivity 70%</ns0:t>
        </ns0:is>
      </ns0:c>
      <ns0:c r="R84" s="5" t="inlineStr">
        <ns0:is>
          <ns0:t>PDF第10页</ns0:t>
        </ns0:is>
      </ns0:c>
      <ns0:c r="S84" s="5" t="inlineStr">
        <ns0:is>
          <ns0:t>Table S3, ZnTiO3 support, 250°C, CO Sel.；ZnTiO3 250°C X0.3 SMeOH30 SCO70 CH4=0</ns0:t>
        </ns0:is>
      </ns0:c>
      <ns0:c r="T84" s="5" t="inlineStr">
        <ns0:is>
          <ns0:t>原文数值及工况相符</ns0:t>
        </ns0:is>
      </ns0:c>
      <ns0:c r="U84" s="18" t="inlineStr">
        <ns0:is>
          <ns0:t>https://drive.google.com/file/d/1UGQFZ9fnewpti0zvdYyWSXMRrpTxP5qR/view</ns0:t>
        </ns0:is>
      </ns0:c>
      <ns0:c r="V84" s="17" t="inlineStr">
        <ns0:is>
          <ns0:t>4f24221d4806514e846c73139d2d2628e34fae727a401b9b85e1451ff27d812a</ns0:t>
        </ns0:is>
      </ns0:c>
      <ns0:c r="W84" s="5" t="inlineStr">
        <ns0:is>
          <ns0:t>Ruiz-SI</ns0:t>
        </ns0:is>
      </ns0:c>
    </ns0:row>
    <ns0:row r="85" ht="45" customHeight="1">
      <ns0:c r="A85" s="5" t="n">
        <ns0:v>84</ns0:v>
      </ns0:c>
      <ns0:c r="B85" s="5" t="inlineStr">
        <ns0:is>
          <ns0:t>10.1002/cctc.202000974</ns0:t>
        </ns0:is>
      </ns0:c>
      <ns0:c r="C85" s="5" t="inlineStr">
        <ns0:is>
          <ns0:t>Pd/ZnO</ns0:t>
        </ns0:is>
      </ns0:c>
      <ns0:c r="D85" s="5" t="inlineStr">
        <ns0:is>
          <ns0:t>Figure 1, Pd/ZnO, 175°C</ns0:t>
        </ns0:is>
      </ns0:c>
      <ns0:c r="E85" s="5" t="inlineStr">
        <ns0:is>
          <ns0:t>CH3OH selectivity</ns0:t>
        </ns0:is>
      </ns0:c>
      <ns0:c r="F85" s="5" t="n">
        <ns0:v>69</ns0:v>
      </ns0:c>
      <ns0:c r="G85" s="5" t="inlineStr">
        <ns0:is>
          <ns0:t>%</ns0:t>
        </ns0:is>
      </ns0:c>
      <ns0:c r="H85" s="5" t="inlineStr">
        <ns0:is>
          <ns0:t>=</ns0:t>
        </ns0:is>
      </ns0:c>
      <ns0:c r="I85" s="5" t="n">
        <ns0:v>69</ns0:v>
      </ns0:c>
      <ns0:c r="J85" s="5" t="n">
        <ns0:v>69</ns0:v>
      </ns0:c>
      <ns0:c r="K85" s="5" t="n"/>
      <ns0:c r="L85" s="15">
        <ns0:f>J85</ns0:f>
        <ns0:v>69.0</ns0:v>
      </ns0:c>
      <ns0:c r="M85" s="15">
        <ns0:f>I85-L85</ns0:f>
        <ns0:v>0.0</ns0:v>
      </ns0:c>
      <ns0:c r="N85" s="15" t="str">
        <ns0:f>IF(ABS(M85)&lt;0.0000001,"MATCH","MISMATCH")</ns0:f>
        <ns0:v>MATCH</ns0:v>
      </ns0:c>
      <ns0:c r="O85" s="16" t="inlineStr">
        <ns0:is>
          <ns0:t>直接印刷/单位等价</ns0:t>
        </ns0:is>
      </ns0:c>
      <ns0:c r="P85" s="5" t="inlineStr">
        <ns0:is>
          <ns0:t>Y: 原文表/正文/图注明确数字</ns0:t>
        </ns0:is>
      </ns0:c>
      <ns0:c r="Q85" s="17" t="inlineStr">
        <ns0:is>
          <ns0:t>CH3OH selectivity 69.0%</ns0:t>
        </ns0:is>
      </ns0:c>
      <ns0:c r="R85" s="5" t="inlineStr">
        <ns0:is>
          <ns0:t>PDF第8页</ns0:t>
        </ns0:is>
      </ns0:c>
      <ns0:c r="S85" s="5" t="inlineStr">
        <ns0:is>
          <ns0:t>Table S2, Pd/ZnO, 175°C, CH3OH Sel.；Table S2 gives numerical value whereas paper Fig1 plots trend</ns0:t>
        </ns0:is>
      </ns0:c>
      <ns0:c r="T85" s="5" t="inlineStr">
        <ns0:is>
          <ns0:t>原文数值及工况相符</ns0:t>
        </ns0:is>
      </ns0:c>
      <ns0:c r="U85" s="18" t="inlineStr">
        <ns0:is>
          <ns0:t>https://drive.google.com/file/d/1UGQFZ9fnewpti0zvdYyWSXMRrpTxP5qR/view</ns0:t>
        </ns0:is>
      </ns0:c>
      <ns0:c r="V85" s="17" t="inlineStr">
        <ns0:is>
          <ns0:t>4f24221d4806514e846c73139d2d2628e34fae727a401b9b85e1451ff27d812a</ns0:t>
        </ns0:is>
      </ns0:c>
      <ns0:c r="W85" s="5" t="inlineStr">
        <ns0:is>
          <ns0:t>Ruiz-SI</ns0:t>
        </ns0:is>
      </ns0:c>
    </ns0:row>
    <ns0:row r="86" ht="45" customHeight="1">
      <ns0:c r="A86" s="5" t="n">
        <ns0:v>85</ns0:v>
      </ns0:c>
      <ns0:c r="B86" s="5" t="inlineStr">
        <ns0:is>
          <ns0:t>10.1002/cctc.202000974</ns0:t>
        </ns0:is>
      </ns0:c>
      <ns0:c r="C86" s="5" t="inlineStr">
        <ns0:is>
          <ns0:t>Pd/ZnTiO3</ns0:t>
        </ns0:is>
      </ns0:c>
      <ns0:c r="D86" s="5" t="inlineStr">
        <ns0:is>
          <ns0:t>SI Table S2, Pd/ZnTiO3, 200 °C</ns0:t>
        </ns0:is>
      </ns0:c>
      <ns0:c r="E86" s="5" t="inlineStr">
        <ns0:is>
          <ns0:t>H2/CO2</ns0:t>
        </ns0:is>
      </ns0:c>
      <ns0:c r="F86" s="5" t="n">
        <ns0:v>3</ns0:v>
      </ns0:c>
      <ns0:c r="G86" s="5" t="inlineStr">
        <ns0:is>
          <ns0:t>mol/mol</ns0:t>
        </ns0:is>
      </ns0:c>
      <ns0:c r="H86" s="5" t="inlineStr"/>
      <ns0:c r="I86" s="5" t="n">
        <ns0:v>3</ns0:v>
      </ns0:c>
      <ns0:c r="J86" s="5" t="n">
        <ns0:v>60</ns0:v>
      </ns0:c>
      <ns0:c r="K86" s="5" t="n">
        <ns0:v>20</ns0:v>
      </ns0:c>
      <ns0:c r="L86" s="15">
        <ns0:f>J86/K86</ns0:f>
        <ns0:v>3.0</ns0:v>
      </ns0:c>
      <ns0:c r="M86" s="15">
        <ns0:f>I86-L86</ns0:f>
        <ns0:v>0.0</ns0:v>
      </ns0:c>
      <ns0:c r="N86" s="15" t="str">
        <ns0:f>IF(ABS(M86)&lt;0.0000001,"MATCH","MISMATCH")</ns0:f>
        <ns0:v>MATCH</ns0:v>
      </ns0:c>
      <ns0:c r="O86" s="21" t="inlineStr">
        <ns0:is>
          <ns0:t>组成或比值推导</ns0:t>
        </ns0:is>
      </ns0:c>
      <ns0:c r="P86" s="5" t="inlineStr">
        <ns0:is>
          <ns0:t>N: 原文有构成数字，比值由计算得到</ns0:t>
        </ns0:is>
      </ns0:c>
      <ns0:c r="Q86" s="17" t="inlineStr">
        <ns0:is>
          <ns0:t>CO2/N2/H2=20/20/60</ns0:t>
        </ns0:is>
      </ns0:c>
      <ns0:c r="R86" s="5" t="inlineStr">
        <ns0:is>
          <ns0:t>PDF第8页</ns0:t>
        </ns0:is>
      </ns0:c>
      <ns0:c r="S86" s="5" t="inlineStr">
        <ns0:is>
          <ns0:t>Table S2 caption feed composition</ns0:t>
        </ns0:is>
      </ns0:c>
      <ns0:c r="T86" s="19" t="inlineStr">
        <ns0:is>
          <ns0:t>H2/CO2=3为原文60/20推导；SI未独立印出该比值</ns0:t>
        </ns0:is>
      </ns0:c>
      <ns0:c r="U86" s="18" t="inlineStr">
        <ns0:is>
          <ns0:t>https://drive.google.com/file/d/1UGQFZ9fnewpti0zvdYyWSXMRrpTxP5qR/view</ns0:t>
        </ns0:is>
      </ns0:c>
      <ns0:c r="V86" s="17" t="inlineStr">
        <ns0:is>
          <ns0:t>4f24221d4806514e846c73139d2d2628e34fae727a401b9b85e1451ff27d812a</ns0:t>
        </ns0:is>
      </ns0:c>
      <ns0:c r="W86" s="5" t="inlineStr">
        <ns0:is>
          <ns0:t>Ruiz-SI</ns0:t>
        </ns0:is>
      </ns0:c>
    </ns0:row>
    <ns0:row r="87" ht="45" customHeight="1">
      <ns0:c r="A87" s="5" t="n">
        <ns0:v>86</ns0:v>
      </ns0:c>
      <ns0:c r="B87" s="5" t="inlineStr">
        <ns0:is>
          <ns0:t>10.1002/cctc.202000974</ns0:t>
        </ns0:is>
      </ns0:c>
      <ns0:c r="C87" s="5" t="inlineStr">
        <ns0:is>
          <ns0:t>Pd/TiO2</ns0:t>
        </ns0:is>
      </ns0:c>
      <ns0:c r="D87" s="5" t="inlineStr">
        <ns0:is>
          <ns0:t>SI Table S2, Pd/TiO2, 250 °C</ns0:t>
        </ns0:is>
      </ns0:c>
      <ns0:c r="E87" s="5" t="inlineStr">
        <ns0:is>
          <ns0:t>CO selectivity</ns0:t>
        </ns0:is>
      </ns0:c>
      <ns0:c r="F87" s="5" t="n">
        <ns0:v>91.40000000000001</ns0:v>
      </ns0:c>
      <ns0:c r="G87" s="5" t="inlineStr">
        <ns0:is>
          <ns0:t>%</ns0:t>
        </ns0:is>
      </ns0:c>
      <ns0:c r="H87" s="5" t="inlineStr">
        <ns0:is>
          <ns0:t>=</ns0:t>
        </ns0:is>
      </ns0:c>
      <ns0:c r="I87" s="5" t="n">
        <ns0:v>91.40000000000001</ns0:v>
      </ns0:c>
      <ns0:c r="J87" s="5" t="n">
        <ns0:v>91.40000000000001</ns0:v>
      </ns0:c>
      <ns0:c r="K87" s="5" t="n"/>
      <ns0:c r="L87" s="15">
        <ns0:f>J87</ns0:f>
        <ns0:v>91.4</ns0:v>
      </ns0:c>
      <ns0:c r="M87" s="15">
        <ns0:f>I87-L87</ns0:f>
        <ns0:v>0.0</ns0:v>
      </ns0:c>
      <ns0:c r="N87" s="15" t="str">
        <ns0:f>IF(ABS(M87)&lt;0.0000001,"MATCH","MISMATCH")</ns0:f>
        <ns0:v>MATCH</ns0:v>
      </ns0:c>
      <ns0:c r="O87" s="16" t="inlineStr">
        <ns0:is>
          <ns0:t>直接印刷/单位等价</ns0:t>
        </ns0:is>
      </ns0:c>
      <ns0:c r="P87" s="5" t="inlineStr">
        <ns0:is>
          <ns0:t>Y: 原文表/正文/图注明确数字</ns0:t>
        </ns0:is>
      </ns0:c>
      <ns0:c r="Q87" s="17" t="inlineStr">
        <ns0:is>
          <ns0:t>CO selectivity 91.4%</ns0:t>
        </ns0:is>
      </ns0:c>
      <ns0:c r="R87" s="5" t="inlineStr">
        <ns0:is>
          <ns0:t>PDF第8页</ns0:t>
        </ns0:is>
      </ns0:c>
      <ns0:c r="S87" s="5" t="inlineStr">
        <ns0:is>
          <ns0:t>Table S2, Pd/TiO2, 250°C, CO Sel.</ns0:t>
        </ns0:is>
      </ns0:c>
      <ns0:c r="T87" s="5" t="inlineStr">
        <ns0:is>
          <ns0:t>原文数值及工况相符</ns0:t>
        </ns0:is>
      </ns0:c>
      <ns0:c r="U87" s="18" t="inlineStr">
        <ns0:is>
          <ns0:t>https://drive.google.com/file/d/1UGQFZ9fnewpti0zvdYyWSXMRrpTxP5qR/view</ns0:t>
        </ns0:is>
      </ns0:c>
      <ns0:c r="V87" s="17" t="inlineStr">
        <ns0:is>
          <ns0:t>4f24221d4806514e846c73139d2d2628e34fae727a401b9b85e1451ff27d812a</ns0:t>
        </ns0:is>
      </ns0:c>
      <ns0:c r="W87" s="5" t="inlineStr">
        <ns0:is>
          <ns0:t>Ruiz-SI</ns0:t>
        </ns0:is>
      </ns0:c>
    </ns0:row>
    <ns0:row r="88" ht="45" customHeight="1">
      <ns0:c r="A88" s="5" t="n">
        <ns0:v>87</ns0:v>
      </ns0:c>
      <ns0:c r="B88" s="5" t="inlineStr">
        <ns0:is>
          <ns0:t>10.1002/cctc.202000974</ns0:t>
        </ns0:is>
      </ns0:c>
      <ns0:c r="C88" s="5" t="inlineStr">
        <ns0:is>
          <ns0:t>TiO2</ns0:t>
        </ns0:is>
      </ns0:c>
      <ns0:c r="D88" s="5" t="inlineStr">
        <ns0:is>
          <ns0:t>SI Table S3, TiO2, 200 °C</ns0:t>
        </ns0:is>
      </ns0:c>
      <ns0:c r="E88" s="5" t="inlineStr">
        <ns0:is>
          <ns0:t>temperature</ns0:t>
        </ns0:is>
      </ns0:c>
      <ns0:c r="F88" s="5" t="n">
        <ns0:v>200</ns0:v>
      </ns0:c>
      <ns0:c r="G88" s="5" t="inlineStr">
        <ns0:is>
          <ns0:t>°C (from K)</ns0:t>
        </ns0:is>
      </ns0:c>
      <ns0:c r="H88" s="5" t="inlineStr"/>
      <ns0:c r="I88" s="5" t="n">
        <ns0:v>200</ns0:v>
      </ns0:c>
      <ns0:c r="J88" s="5" t="n">
        <ns0:v>200</ns0:v>
      </ns0:c>
      <ns0:c r="K88" s="5" t="n"/>
      <ns0:c r="L88" s="15">
        <ns0:f>J88</ns0:f>
        <ns0:v>200.0</ns0:v>
      </ns0:c>
      <ns0:c r="M88" s="15">
        <ns0:f>I88-L88</ns0:f>
        <ns0:v>0.0</ns0:v>
      </ns0:c>
      <ns0:c r="N88" s="15" t="str">
        <ns0:f>IF(ABS(M88)&lt;0.0000001,"MATCH","MISMATCH")</ns0:f>
        <ns0:v>MATCH</ns0:v>
      </ns0:c>
      <ns0:c r="O88" s="16" t="inlineStr">
        <ns0:is>
          <ns0:t>直接印刷/单位等价</ns0:t>
        </ns0:is>
      </ns0:c>
      <ns0:c r="P88" s="5" t="inlineStr">
        <ns0:is>
          <ns0:t>Y: 原文表/正文/图注明确数字</ns0:t>
        </ns0:is>
      </ns0:c>
      <ns0:c r="Q88" s="17" t="inlineStr">
        <ns0:is>
          <ns0:t>200°C</ns0:t>
        </ns0:is>
      </ns0:c>
      <ns0:c r="R88" s="5" t="inlineStr">
        <ns0:is>
          <ns0:t>PDF第10页</ns0:t>
        </ns0:is>
      </ns0:c>
      <ns0:c r="S88" s="5" t="inlineStr">
        <ns0:is>
          <ns0:t>Table S3, TiO2 support, 200°C, T</ns0:t>
        </ns0:is>
      </ns0:c>
      <ns0:c r="T88" s="5" t="inlineStr">
        <ns0:is>
          <ns0:t>原文数值及工况相符</ns0:t>
        </ns0:is>
      </ns0:c>
      <ns0:c r="U88" s="18" t="inlineStr">
        <ns0:is>
          <ns0:t>https://drive.google.com/file/d/1UGQFZ9fnewpti0zvdYyWSXMRrpTxP5qR/view</ns0:t>
        </ns0:is>
      </ns0:c>
      <ns0:c r="V88" s="17" t="inlineStr">
        <ns0:is>
          <ns0:t>4f24221d4806514e846c73139d2d2628e34fae727a401b9b85e1451ff27d812a</ns0:t>
        </ns0:is>
      </ns0:c>
      <ns0:c r="W88" s="5" t="inlineStr">
        <ns0:is>
          <ns0:t>Ruiz-SI</ns0:t>
        </ns0:is>
      </ns0:c>
    </ns0:row>
    <ns0:row r="89" ht="45" customHeight="1">
      <ns0:c r="A89" s="5" t="n">
        <ns0:v>88</ns0:v>
      </ns0:c>
      <ns0:c r="B89" s="5" t="inlineStr">
        <ns0:is>
          <ns0:t>10.1002/cctc.202000974</ns0:t>
        </ns0:is>
      </ns0:c>
      <ns0:c r="C89" s="5" t="inlineStr">
        <ns0:is>
          <ns0:t>ZnO</ns0:t>
        </ns0:is>
      </ns0:c>
      <ns0:c r="D89" s="5" t="inlineStr">
        <ns0:is>
          <ns0:t>SI Table S3, ZnO, 250 °C</ns0:t>
        </ns0:is>
      </ns0:c>
      <ns0:c r="E89" s="5" t="inlineStr">
        <ns0:is>
          <ns0:t>CH4 selectivity</ns0:t>
        </ns0:is>
      </ns0:c>
      <ns0:c r="F89" s="5" t="n">
        <ns0:v>0</ns0:v>
      </ns0:c>
      <ns0:c r="G89" s="5" t="inlineStr">
        <ns0:is>
          <ns0:t>%</ns0:t>
        </ns0:is>
      </ns0:c>
      <ns0:c r="H89" s="5" t="inlineStr">
        <ns0:is>
          <ns0:t>=</ns0:t>
        </ns0:is>
      </ns0:c>
      <ns0:c r="I89" s="5" t="n">
        <ns0:v>0</ns0:v>
      </ns0:c>
      <ns0:c r="J89" s="5" t="n">
        <ns0:v>0</ns0:v>
      </ns0:c>
      <ns0:c r="K89" s="5" t="n"/>
      <ns0:c r="L89" s="15">
        <ns0:f>J89</ns0:f>
        <ns0:v>0.0</ns0:v>
      </ns0:c>
      <ns0:c r="M89" s="15">
        <ns0:f>I89-L89</ns0:f>
        <ns0:v>0.0</ns0:v>
      </ns0:c>
      <ns0:c r="N89" s="15" t="str">
        <ns0:f>IF(ABS(M89)&lt;0.0000001,"MATCH","MISMATCH")</ns0:f>
        <ns0:v>MATCH</ns0:v>
      </ns0:c>
      <ns0:c r="O89" s="16" t="inlineStr">
        <ns0:is>
          <ns0:t>直接印刷/单位等价</ns0:t>
        </ns0:is>
      </ns0:c>
      <ns0:c r="P89" s="5" t="inlineStr">
        <ns0:is>
          <ns0:t>Y: 原文表/正文/图注明确数字</ns0:t>
        </ns0:is>
      </ns0:c>
      <ns0:c r="Q89" s="17" t="inlineStr">
        <ns0:is>
          <ns0:t>CH4 selectivity 0%</ns0:t>
        </ns0:is>
      </ns0:c>
      <ns0:c r="R89" s="5" t="inlineStr">
        <ns0:is>
          <ns0:t>PDF第10页</ns0:t>
        </ns0:is>
      </ns0:c>
      <ns0:c r="S89" s="5" t="inlineStr">
        <ns0:is>
          <ns0:t>Table S3, ZnO support, 250°C, CH4 Sel.</ns0:t>
        </ns0:is>
      </ns0:c>
      <ns0:c r="T89" s="5" t="inlineStr">
        <ns0:is>
          <ns0:t>原文数值及工况相符</ns0:t>
        </ns0:is>
      </ns0:c>
      <ns0:c r="U89" s="18" t="inlineStr">
        <ns0:is>
          <ns0:t>https://drive.google.com/file/d/1UGQFZ9fnewpti0zvdYyWSXMRrpTxP5qR/view</ns0:t>
        </ns0:is>
      </ns0:c>
      <ns0:c r="V89" s="17" t="inlineStr">
        <ns0:is>
          <ns0:t>4f24221d4806514e846c73139d2d2628e34fae727a401b9b85e1451ff27d812a</ns0:t>
        </ns0:is>
      </ns0:c>
      <ns0:c r="W89" s="5" t="inlineStr">
        <ns0:is>
          <ns0:t>Ruiz-SI</ns0:t>
        </ns0:is>
      </ns0:c>
    </ns0:row>
    <ns0:row r="90" ht="45" customHeight="1">
      <ns0:c r="A90" s="5" t="n">
        <ns0:v>89</ns0:v>
      </ns0:c>
      <ns0:c r="B90" s="5" t="inlineStr">
        <ns0:is>
          <ns0:t>10.1002/cctc.202000974</ns0:t>
        </ns0:is>
      </ns0:c>
      <ns0:c r="C90" s="5" t="inlineStr">
        <ns0:is>
          <ns0:t>physical mixture of Pd/ZnO and TiO2</ns0:t>
        </ns0:is>
      </ns0:c>
      <ns0:c r="D90" s="5" t="inlineStr">
        <ns0:is>
          <ns0:t>Text, physical mixture Pd/ZnO and TiO2, 250°C</ns0:t>
        </ns0:is>
      </ns0:c>
      <ns0:c r="E90" s="5" t="inlineStr">
        <ns0:is>
          <ns0:t>CO selectivity</ns0:t>
        </ns0:is>
      </ns0:c>
      <ns0:c r="F90" s="5" t="n">
        <ns0:v>73.3</ns0:v>
      </ns0:c>
      <ns0:c r="G90" s="5" t="inlineStr">
        <ns0:is>
          <ns0:t>%</ns0:t>
        </ns0:is>
      </ns0:c>
      <ns0:c r="H90" s="5" t="inlineStr">
        <ns0:is>
          <ns0:t>=</ns0:t>
        </ns0:is>
      </ns0:c>
      <ns0:c r="I90" s="5" t="n">
        <ns0:v>73.3</ns0:v>
      </ns0:c>
      <ns0:c r="J90" s="5" t="n">
        <ns0:v>73.3</ns0:v>
      </ns0:c>
      <ns0:c r="K90" s="5" t="n"/>
      <ns0:c r="L90" s="15">
        <ns0:f>J90</ns0:f>
        <ns0:v>73.3</ns0:v>
      </ns0:c>
      <ns0:c r="M90" s="15">
        <ns0:f>I90-L90</ns0:f>
        <ns0:v>0.0</ns0:v>
      </ns0:c>
      <ns0:c r="N90" s="15" t="str">
        <ns0:f>IF(ABS(M90)&lt;0.0000001,"MATCH","MISMATCH")</ns0:f>
        <ns0:v>MATCH</ns0:v>
      </ns0:c>
      <ns0:c r="O90" s="16" t="inlineStr">
        <ns0:is>
          <ns0:t>直接印刷/单位等价</ns0:t>
        </ns0:is>
      </ns0:c>
      <ns0:c r="P90" s="5" t="inlineStr">
        <ns0:is>
          <ns0:t>Y: 原文表/正文/图注明确数字</ns0:t>
        </ns0:is>
      </ns0:c>
      <ns0:c r="Q90" s="17" t="inlineStr">
        <ns0:is>
          <ns0:t>CO selectivity 73.3%</ns0:t>
        </ns0:is>
      </ns0:c>
      <ns0:c r="R90" s="5" t="inlineStr">
        <ns0:is>
          <ns0:t>PDF第11页</ns0:t>
        </ns0:is>
      </ns0:c>
      <ns0:c r="S90" s="5" t="inlineStr">
        <ns0:is>
          <ns0:t>Table S4, Pd/ZnO+TiO2 physical mix, CO Sel.；S4: X=11.0, SMeOH=26.7, SCO=73.3, SCH4=0.06</ns0:t>
        </ns0:is>
      </ns0:c>
      <ns0:c r="T90" s="5" t="inlineStr">
        <ns0:is>
          <ns0:t>原文数值及工况相符</ns0:t>
        </ns0:is>
      </ns0:c>
      <ns0:c r="U90" s="18" t="inlineStr">
        <ns0:is>
          <ns0:t>https://drive.google.com/file/d/1UGQFZ9fnewpti0zvdYyWSXMRrpTxP5qR/view</ns0:t>
        </ns0:is>
      </ns0:c>
      <ns0:c r="V90" s="17" t="inlineStr">
        <ns0:is>
          <ns0:t>4f24221d4806514e846c73139d2d2628e34fae727a401b9b85e1451ff27d812a</ns0:t>
        </ns0:is>
      </ns0:c>
      <ns0:c r="W90" s="5" t="inlineStr">
        <ns0:is>
          <ns0:t>Ruiz-SI</ns0:t>
        </ns0:is>
      </ns0:c>
    </ns0:row>
    <ns0:row r="91" ht="45" customHeight="1">
      <ns0:c r="A91" s="5" t="n">
        <ns0:v>90</ns0:v>
      </ns0:c>
      <ns0:c r="B91" s="5" t="inlineStr">
        <ns0:is>
          <ns0:t>10.1002/cctc.202000974</ns0:t>
        </ns0:is>
      </ns0:c>
      <ns0:c r="C91" s="5" t="inlineStr">
        <ns0:is>
          <ns0:t>Pd/ZnO</ns0:t>
        </ns0:is>
      </ns0:c>
      <ns0:c r="D91" s="5" t="inlineStr">
        <ns0:is>
          <ns0:t>Table 1 row 2, 225°C</ns0:t>
        </ns0:is>
      </ns0:c>
      <ns0:c r="E91" s="5" t="inlineStr">
        <ns0:is>
          <ns0:t>H2/CO2</ns0:t>
        </ns0:is>
      </ns0:c>
      <ns0:c r="F91" s="5" t="n">
        <ns0:v>3</ns0:v>
      </ns0:c>
      <ns0:c r="G91" s="5" t="inlineStr">
        <ns0:is>
          <ns0:t>mol/mol</ns0:t>
        </ns0:is>
      </ns0:c>
      <ns0:c r="H91" s="5" t="inlineStr"/>
      <ns0:c r="I91" s="5" t="n">
        <ns0:v>3</ns0:v>
      </ns0:c>
      <ns0:c r="J91" s="5" t="n">
        <ns0:v>60</ns0:v>
      </ns0:c>
      <ns0:c r="K91" s="5" t="n">
        <ns0:v>20</ns0:v>
      </ns0:c>
      <ns0:c r="L91" s="15">
        <ns0:f>J91/K91</ns0:f>
        <ns0:v>3.0</ns0:v>
      </ns0:c>
      <ns0:c r="M91" s="15">
        <ns0:f>I91-L91</ns0:f>
        <ns0:v>0.0</ns0:v>
      </ns0:c>
      <ns0:c r="N91" s="15" t="str">
        <ns0:f>IF(ABS(M91)&lt;0.0000001,"MATCH","MISMATCH")</ns0:f>
        <ns0:v>MATCH</ns0:v>
      </ns0:c>
      <ns0:c r="O91" s="21" t="inlineStr">
        <ns0:is>
          <ns0:t>组成或比值推导</ns0:t>
        </ns0:is>
      </ns0:c>
      <ns0:c r="P91" s="5" t="inlineStr">
        <ns0:is>
          <ns0:t>N: 原文有构成数字，比值由计算得到</ns0:t>
        </ns0:is>
      </ns0:c>
      <ns0:c r="Q91" s="17" t="inlineStr">
        <ns0:is>
          <ns0:t>CO2/N2/H2=20/20/60</ns0:t>
        </ns0:is>
      </ns0:c>
      <ns0:c r="R91" s="5" t="inlineStr">
        <ns0:is>
          <ns0:t>PDF第3页</ns0:t>
        </ns0:is>
      </ns0:c>
      <ns0:c r="S91" s="5" t="inlineStr">
        <ns0:is>
          <ns0:t>Table 1 caption feed composition</ns0:t>
        </ns0:is>
      </ns0:c>
      <ns0:c r="T91" s="19" t="inlineStr">
        <ns0:is>
          <ns0:t>H2/CO2=3由60/20计算；原文印的是进料百分比组合</ns0:t>
        </ns0:is>
      </ns0:c>
      <ns0:c r="U91" s="18" t="inlineStr">
        <ns0:is>
          <ns0:t>https://drive.google.com/file/d/1KbcBNcn6Fu7BYiqMz1i33vxyVC5fyj1R/view</ns0:t>
        </ns0:is>
      </ns0:c>
      <ns0:c r="V91" s="17" t="inlineStr">
        <ns0:is>
          <ns0:t>940fa897226c94da235dcd577a399b06494f3c01b4aeaf87b2e2524c7c6c75d9</ns0:t>
        </ns0:is>
      </ns0:c>
      <ns0:c r="W91" s="5" t="inlineStr">
        <ns0:is>
          <ns0:t>Ruiz-main</ns0:t>
        </ns0:is>
      </ns0:c>
    </ns0:row>
    <ns0:row r="92" ht="45" customHeight="1">
      <ns0:c r="A92" s="5" t="n">
        <ns0:v>91</ns0:v>
      </ns0:c>
      <ns0:c r="B92" s="5" t="inlineStr">
        <ns0:is>
          <ns0:t>10.1016/j.jcat.2012.05.020</ns0:t>
        </ns0:is>
      </ns0:c>
      <ns0:c r="C92" s="5" t="inlineStr">
        <ns0:is>
          <ns0:t>PdMgGa</ns0:t>
        </ns0:is>
      </ns0:c>
      <ns0:c r="D92" s="5" t="inlineStr">
        <ns0:is>
          <ns0:t>Table 2, PdMgGa</ns0:t>
        </ns0:is>
      </ns0:c>
      <ns0:c r="E92" s="5" t="inlineStr">
        <ns0:is>
          <ns0:t>CO2 conversion</ns0:t>
        </ns0:is>
      </ns0:c>
      <ns0:c r="F92" s="5" t="n">
        <ns0:v>1</ns0:v>
      </ns0:c>
      <ns0:c r="G92" s="5" t="inlineStr">
        <ns0:is>
          <ns0:t>%</ns0:t>
        </ns0:is>
      </ns0:c>
      <ns0:c r="H92" s="5" t="inlineStr">
        <ns0:is>
          <ns0:t>=</ns0:t>
        </ns0:is>
      </ns0:c>
      <ns0:c r="I92" s="5" t="n">
        <ns0:v>1</ns0:v>
      </ns0:c>
      <ns0:c r="J92" s="5" t="n">
        <ns0:v>1</ns0:v>
      </ns0:c>
      <ns0:c r="K92" s="5" t="n"/>
      <ns0:c r="L92" s="15">
        <ns0:f>J92</ns0:f>
        <ns0:v>1.0</ns0:v>
      </ns0:c>
      <ns0:c r="M92" s="15">
        <ns0:f>I92-L92</ns0:f>
        <ns0:v>0.0</ns0:v>
      </ns0:c>
      <ns0:c r="N92" s="15" t="str">
        <ns0:f>IF(ABS(M92)&lt;0.0000001,"MATCH","MISMATCH")</ns0:f>
        <ns0:v>MATCH</ns0:v>
      </ns0:c>
      <ns0:c r="O92" s="16" t="inlineStr">
        <ns0:is>
          <ns0:t>直接印刷/单位等价</ns0:t>
        </ns0:is>
      </ns0:c>
      <ns0:c r="P92" s="5" t="inlineStr">
        <ns0:is>
          <ns0:t>Y: 原文表/正文/图注明确数字</ns0:t>
        </ns0:is>
      </ns0:c>
      <ns0:c r="Q92" s="17" t="inlineStr">
        <ns0:is>
          <ns0:t>XCO2 1.0%</ns0:t>
        </ns0:is>
      </ns0:c>
      <ns0:c r="R92" s="5" t="inlineStr">
        <ns0:is>
          <ns0:t>PDF第11页</ns0:t>
        </ns0:is>
      </ns0:c>
      <ns0:c r="S92" s="5" t="inlineStr">
        <ns0:is>
          <ns0:t>Table 2, PdMgGa, XCO2</ns0:t>
        </ns0:is>
      </ns0:c>
      <ns0:c r="T92" s="5" t="inlineStr">
        <ns0:is>
          <ns0:t>原文数值及工况相符</ns0:t>
        </ns0:is>
      </ns0:c>
      <ns0:c r="U92" s="18" t="inlineStr">
        <ns0:is>
          <ns0:t>https://drive.google.com/file/d/1GyR6wSTnSFGhsz4xd2mT6pW_gvLdq-ZD/view</ns0:t>
        </ns0:is>
      </ns0:c>
      <ns0:c r="V92" s="17" t="inlineStr">
        <ns0:is>
          <ns0:t>f4e6a0fb755e2b61dc77aed734014bc754e90c277a5e47b9e1767a0aaeffc16b</ns0:t>
        </ns0:is>
      </ns0:c>
      <ns0:c r="W92" s="5" t="inlineStr">
        <ns0:is>
          <ns0:t>Ota-main</ns0:t>
        </ns0:is>
      </ns0:c>
    </ns0:row>
    <ns0:row r="93" ht="45" customHeight="1">
      <ns0:c r="A93" s="5" t="n">
        <ns0:v>92</ns0:v>
      </ns0:c>
      <ns0:c r="B93" s="5" t="inlineStr">
        <ns0:is>
          <ns0:t>10.1016/j.jcat.2012.05.020</ns0:t>
        </ns0:is>
      </ns0:c>
      <ns0:c r="C93" s="5" t="inlineStr">
        <ns0:is>
          <ns0:t>PdMgAl</ns0:t>
        </ns0:is>
      </ns0:c>
      <ns0:c r="D93" s="5" t="inlineStr">
        <ns0:is>
          <ns0:t>Table 2, PdMgAl</ns0:t>
        </ns0:is>
      </ns0:c>
      <ns0:c r="E93" s="5" t="inlineStr">
        <ns0:is>
          <ns0:t>CO2 conversion</ns0:t>
        </ns0:is>
      </ns0:c>
      <ns0:c r="F93" s="5" t="n">
        <ns0:v>0.3</ns0:v>
      </ns0:c>
      <ns0:c r="G93" s="5" t="inlineStr">
        <ns0:is>
          <ns0:t>%</ns0:t>
        </ns0:is>
      </ns0:c>
      <ns0:c r="H93" s="5" t="inlineStr">
        <ns0:is>
          <ns0:t>=</ns0:t>
        </ns0:is>
      </ns0:c>
      <ns0:c r="I93" s="5" t="n">
        <ns0:v>0.3</ns0:v>
      </ns0:c>
      <ns0:c r="J93" s="5" t="n">
        <ns0:v>0.3</ns0:v>
      </ns0:c>
      <ns0:c r="K93" s="5" t="n"/>
      <ns0:c r="L93" s="15">
        <ns0:f>J93</ns0:f>
        <ns0:v>0.3</ns0:v>
      </ns0:c>
      <ns0:c r="M93" s="15">
        <ns0:f>I93-L93</ns0:f>
        <ns0:v>0.0</ns0:v>
      </ns0:c>
      <ns0:c r="N93" s="15" t="str">
        <ns0:f>IF(ABS(M93)&lt;0.0000001,"MATCH","MISMATCH")</ns0:f>
        <ns0:v>MATCH</ns0:v>
      </ns0:c>
      <ns0:c r="O93" s="16" t="inlineStr">
        <ns0:is>
          <ns0:t>直接印刷/单位等价</ns0:t>
        </ns0:is>
      </ns0:c>
      <ns0:c r="P93" s="5" t="inlineStr">
        <ns0:is>
          <ns0:t>Y: 原文表/正文/图注明确数字</ns0:t>
        </ns0:is>
      </ns0:c>
      <ns0:c r="Q93" s="17" t="inlineStr">
        <ns0:is>
          <ns0:t>XCO2 0.3%</ns0:t>
        </ns0:is>
      </ns0:c>
      <ns0:c r="R93" s="5" t="inlineStr">
        <ns0:is>
          <ns0:t>PDF第11页</ns0:t>
        </ns0:is>
      </ns0:c>
      <ns0:c r="S93" s="5" t="inlineStr">
        <ns0:is>
          <ns0:t>Table 2, PdMgAl, XCO2</ns0:t>
        </ns0:is>
      </ns0:c>
      <ns0:c r="T93" s="5" t="inlineStr">
        <ns0:is>
          <ns0:t>原文数值及工况相符</ns0:t>
        </ns0:is>
      </ns0:c>
      <ns0:c r="U93" s="18" t="inlineStr">
        <ns0:is>
          <ns0:t>https://drive.google.com/file/d/1GyR6wSTnSFGhsz4xd2mT6pW_gvLdq-ZD/view</ns0:t>
        </ns0:is>
      </ns0:c>
      <ns0:c r="V93" s="17" t="inlineStr">
        <ns0:is>
          <ns0:t>f4e6a0fb755e2b61dc77aed734014bc754e90c277a5e47b9e1767a0aaeffc16b</ns0:t>
        </ns0:is>
      </ns0:c>
      <ns0:c r="W93" s="5" t="inlineStr">
        <ns0:is>
          <ns0:t>Ota-main</ns0:t>
        </ns0:is>
      </ns0:c>
    </ns0:row>
    <ns0:row r="94" ht="45" customHeight="1">
      <ns0:c r="A94" s="5" t="n">
        <ns0:v>93</ns0:v>
      </ns0:c>
      <ns0:c r="B94" s="5" t="inlineStr">
        <ns0:is>
          <ns0:t>10.1016/j.jcat.2012.05.020</ns0:t>
        </ns0:is>
      </ns0:c>
      <ns0:c r="C94" s="5" t="inlineStr">
        <ns0:is>
          <ns0:t>PdZnAl</ns0:t>
        </ns0:is>
      </ns0:c>
      <ns0:c r="D94" s="5" t="inlineStr">
        <ns0:is>
          <ns0:t>Table 2, PdZnAl</ns0:t>
        </ns0:is>
      </ns0:c>
      <ns0:c r="E94" s="5" t="inlineStr">
        <ns0:is>
          <ns0:t>CH4 selectivity</ns0:t>
        </ns0:is>
      </ns0:c>
      <ns0:c r="F94" s="5" t="n">
        <ns0:v>0.1</ns0:v>
      </ns0:c>
      <ns0:c r="G94" s="5" t="inlineStr">
        <ns0:is>
          <ns0:t>%</ns0:t>
        </ns0:is>
      </ns0:c>
      <ns0:c r="H94" s="5" t="inlineStr">
        <ns0:is>
          <ns0:t xml:space="preserve">&lt; </ns0:t>
        </ns0:is>
      </ns0:c>
      <ns0:c r="I94" s="5" t="n">
        <ns0:v>0.1</ns0:v>
      </ns0:c>
      <ns0:c r="J94" s="5" t="n">
        <ns0:v>0.1</ns0:v>
      </ns0:c>
      <ns0:c r="K94" s="5" t="n"/>
      <ns0:c r="L94" s="15">
        <ns0:f>J94</ns0:f>
        <ns0:v>0.1</ns0:v>
      </ns0:c>
      <ns0:c r="M94" s="15">
        <ns0:f>I94-L94</ns0:f>
        <ns0:v>0.0</ns0:v>
      </ns0:c>
      <ns0:c r="N94" s="15" t="str">
        <ns0:f>IF(ABS(M94)&lt;0.0000001,"MATCH","MISMATCH")</ns0:f>
        <ns0:v>MATCH</ns0:v>
      </ns0:c>
      <ns0:c r="O94" s="22" t="inlineStr">
        <ns0:is>
          <ns0:t>上界符号需恢复</ns0:t>
        </ns0:is>
      </ns0:c>
      <ns0:c r="P94" s="5" t="inlineStr">
        <ns0:is>
          <ns0:t>原文为小于号；不得记为等号实测</ns0:t>
        </ns0:is>
      </ns0:c>
      <ns0:c r="Q94" s="17" t="inlineStr">
        <ns0:is>
          <ns0:t>traces (less than 0.1% selectivity) of methane</ns0:t>
        </ns0:is>
      </ns0:c>
      <ns0:c r="R94" s="5" t="inlineStr">
        <ns0:is>
          <ns0:t>PDF第3页</ns0:t>
        </ns0:is>
      </ns0:c>
      <ns0:c r="S94" s="5" t="inlineStr">
        <ns0:is>
          <ns0:t>Catalyst activity experimental methods prose (NOT Table 2)</ns0:t>
        </ns0:is>
      </ns0:c>
      <ns0:c r="T94" s="19" t="inlineStr">
        <ns0:is>
          <ns0:t>CSV qualifier="&lt;"，原核对表无此限定符列；该句为整体检测上界，不是PdZnAl Table2特定行的等号实测值</ns0:t>
        </ns0:is>
      </ns0:c>
      <ns0:c r="U94" s="18" t="inlineStr">
        <ns0:is>
          <ns0:t>https://drive.google.com/file/d/1GyR6wSTnSFGhsz4xd2mT6pW_gvLdq-ZD/view</ns0:t>
        </ns0:is>
      </ns0:c>
      <ns0:c r="V94" s="17" t="inlineStr">
        <ns0:is>
          <ns0:t>f4e6a0fb755e2b61dc77aed734014bc754e90c277a5e47b9e1767a0aaeffc16b</ns0:t>
        </ns0:is>
      </ns0:c>
      <ns0:c r="W94" s="5" t="inlineStr">
        <ns0:is>
          <ns0:t>Ota-main</ns0:t>
        </ns0:is>
      </ns0:c>
    </ns0:row>
    <ns0:row r="95" ht="45" customHeight="1">
      <ns0:c r="A95" s="5" t="n">
        <ns0:v>94</ns0:v>
      </ns0:c>
      <ns0:c r="B95" s="5" t="inlineStr">
        <ns0:is>
          <ns0:t>10.1016/j.jcat.2012.05.020</ns0:t>
        </ns0:is>
      </ns0:c>
      <ns0:c r="C95" s="5" t="inlineStr">
        <ns0:is>
          <ns0:t>PdZnAl</ns0:t>
        </ns0:is>
      </ns0:c>
      <ns0:c r="D95" s="5" t="inlineStr">
        <ns0:is>
          <ns0:t>Table 2, PdZnAl</ns0:t>
        </ns0:is>
      </ns0:c>
      <ns0:c r="E95" s="5" t="inlineStr">
        <ns0:is>
          <ns0:t>temperature</ns0:t>
        </ns0:is>
      </ns0:c>
      <ns0:c r="F95" s="5" t="n">
        <ns0:v>249.85</ns0:v>
      </ns0:c>
      <ns0:c r="G95" s="5" t="inlineStr">
        <ns0:is>
          <ns0:t>°C (from K)</ns0:t>
        </ns0:is>
      </ns0:c>
      <ns0:c r="H95" s="5" t="inlineStr"/>
      <ns0:c r="I95" s="5" t="n">
        <ns0:v>249.85</ns0:v>
      </ns0:c>
      <ns0:c r="J95" s="5" t="n">
        <ns0:v>523</ns0:v>
      </ns0:c>
      <ns0:c r="K95" s="5" t="n"/>
      <ns0:c r="L95" s="15">
        <ns0:f>ROUND(J95-273.15,2)</ns0:f>
        <ns0:v>249.85</ns0:v>
      </ns0:c>
      <ns0:c r="M95" s="15">
        <ns0:f>I95-L95</ns0:f>
        <ns0:v>0.0</ns0:v>
      </ns0:c>
      <ns0:c r="N95" s="15" t="str">
        <ns0:f>IF(ABS(M95)&lt;0.0000001,"MATCH","MISMATCH")</ns0:f>
        <ns0:v>MATCH</ns0:v>
      </ns0:c>
      <ns0:c r="O95" s="16" t="inlineStr">
        <ns0:is>
          <ns0:t>直接印刷/单位等价</ns0:t>
        </ns0:is>
      </ns0:c>
      <ns0:c r="P95" s="5" t="inlineStr">
        <ns0:is>
          <ns0:t>Y: 原文数字直印；已换算单位</ns0:t>
        </ns0:is>
      </ns0:c>
      <ns0:c r="Q95" s="17" t="inlineStr">
        <ns0:is>
          <ns0:t>T=523 K</ns0:t>
        </ns0:is>
      </ns0:c>
      <ns0:c r="R95" s="5" t="inlineStr">
        <ns0:is>
          <ns0:t>PDF第11页</ns0:t>
        </ns0:is>
      </ns0:c>
      <ns0:c r="S95" s="5" t="inlineStr">
        <ns0:is>
          <ns0:t>Table 2 caption, T</ns0:t>
        </ns0:is>
      </ns0:c>
      <ns0:c r="T95" s="5" t="inlineStr">
        <ns0:is>
          <ns0:t>原文数值及工况相符</ns0:t>
        </ns0:is>
      </ns0:c>
      <ns0:c r="U95" s="18" t="inlineStr">
        <ns0:is>
          <ns0:t>https://drive.google.com/file/d/1GyR6wSTnSFGhsz4xd2mT6pW_gvLdq-ZD/view</ns0:t>
        </ns0:is>
      </ns0:c>
      <ns0:c r="V95" s="17" t="inlineStr">
        <ns0:is>
          <ns0:t>f4e6a0fb755e2b61dc77aed734014bc754e90c277a5e47b9e1767a0aaeffc16b</ns0:t>
        </ns0:is>
      </ns0:c>
      <ns0:c r="W95" s="5" t="inlineStr">
        <ns0:is>
          <ns0:t>Ota-main</ns0:t>
        </ns0:is>
      </ns0:c>
    </ns0:row>
    <ns0:row r="96" ht="45" customHeight="1">
      <ns0:c r="A96" s="5" t="n">
        <ns0:v>95</ns0:v>
      </ns0:c>
      <ns0:c r="B96" s="5" t="inlineStr">
        <ns0:is>
          <ns0:t>10.1016/j.jcat.2012.05.020</ns0:t>
        </ns0:is>
      </ns0:c>
      <ns0:c r="C96" s="5" t="inlineStr">
        <ns0:is>
          <ns0:t>PdZnAl</ns0:t>
        </ns0:is>
      </ns0:c>
      <ns0:c r="D96" s="5" t="inlineStr">
        <ns0:is>
          <ns0:t>Table 2, PdZnAl</ns0:t>
        </ns0:is>
      </ns0:c>
      <ns0:c r="E96" s="5" t="inlineStr">
        <ns0:is>
          <ns0:t>H2/CO2</ns0:t>
        </ns0:is>
      </ns0:c>
      <ns0:c r="F96" s="5" t="n">
        <ns0:v>3</ns0:v>
      </ns0:c>
      <ns0:c r="G96" s="5" t="inlineStr">
        <ns0:is>
          <ns0:t>mol/mol</ns0:t>
        </ns0:is>
      </ns0:c>
      <ns0:c r="H96" s="5" t="inlineStr"/>
      <ns0:c r="I96" s="5" t="n">
        <ns0:v>3</ns0:v>
      </ns0:c>
      <ns0:c r="J96" s="5" t="n">
        <ns0:v>3</ns0:v>
      </ns0:c>
      <ns0:c r="K96" s="5" t="n">
        <ns0:v>1</ns0:v>
      </ns0:c>
      <ns0:c r="L96" s="15">
        <ns0:f>J96/K96</ns0:f>
        <ns0:v>3.0</ns0:v>
      </ns0:c>
      <ns0:c r="M96" s="15">
        <ns0:f>I96-L96</ns0:f>
        <ns0:v>0.0</ns0:v>
      </ns0:c>
      <ns0:c r="N96" s="15" t="str">
        <ns0:f>IF(ABS(M96)&lt;0.0000001,"MATCH","MISMATCH")</ns0:f>
        <ns0:v>MATCH</ns0:v>
      </ns0:c>
      <ns0:c r="O96" s="21" t="inlineStr">
        <ns0:is>
          <ns0:t>组成或比值推导</ns0:t>
        </ns0:is>
      </ns0:c>
      <ns0:c r="P96" s="5" t="inlineStr">
        <ns0:is>
          <ns0:t>N: 原文有构成数字，比值由计算得到</ns0:t>
        </ns0:is>
      </ns0:c>
      <ns0:c r="Q96" s="17" t="inlineStr">
        <ns0:is>
          <ns0:t>CO2:H2=1:3 (reverse orientation)</ns0:t>
        </ns0:is>
      </ns0:c>
      <ns0:c r="R96" s="5" t="inlineStr">
        <ns0:is>
          <ns0:t>PDF第11页</ns0:t>
        </ns0:is>
      </ns0:c>
      <ns0:c r="S96" s="5" t="inlineStr">
        <ns0:is>
          <ns0:t>Table 2 caption, CO2:H2 feed</ns0:t>
        </ns0:is>
      </ns0:c>
      <ns0:c r="T96" s="19" t="inlineStr">
        <ns0:is>
          <ns0:t>H2/CO2=3是将原文CO2:H2=1:3调换顺序，非独立测量</ns0:t>
        </ns0:is>
      </ns0:c>
      <ns0:c r="U96" s="18" t="inlineStr">
        <ns0:is>
          <ns0:t>https://drive.google.com/file/d/1GyR6wSTnSFGhsz4xd2mT6pW_gvLdq-ZD/view</ns0:t>
        </ns0:is>
      </ns0:c>
      <ns0:c r="V96" s="17" t="inlineStr">
        <ns0:is>
          <ns0:t>f4e6a0fb755e2b61dc77aed734014bc754e90c277a5e47b9e1767a0aaeffc16b</ns0:t>
        </ns0:is>
      </ns0:c>
      <ns0:c r="W96" s="5" t="inlineStr">
        <ns0:is>
          <ns0:t>Ota-main</ns0:t>
        </ns0:is>
      </ns0:c>
    </ns0:row>
    <ns0:row r="97" ht="45" customHeight="1">
      <ns0:c r="A97" s="5" t="n">
        <ns0:v>96</ns0:v>
      </ns0:c>
      <ns0:c r="B97" s="5" t="inlineStr">
        <ns0:is>
          <ns0:t>10.1016/j.jcat.2012.05.020</ns0:t>
        </ns0:is>
      </ns0:c>
      <ns0:c r="C97" s="5" t="inlineStr">
        <ns0:is>
          <ns0:t>PdMgGa</ns0:t>
        </ns0:is>
      </ns0:c>
      <ns0:c r="D97" s="5" t="inlineStr">
        <ns0:is>
          <ns0:t>Table 2, PdMgGa</ns0:t>
        </ns0:is>
      </ns0:c>
      <ns0:c r="E97" s="5" t="inlineStr">
        <ns0:is>
          <ns0:t>H2/CO2</ns0:t>
        </ns0:is>
      </ns0:c>
      <ns0:c r="F97" s="5" t="n">
        <ns0:v>3</ns0:v>
      </ns0:c>
      <ns0:c r="G97" s="5" t="inlineStr">
        <ns0:is>
          <ns0:t>mol/mol</ns0:t>
        </ns0:is>
      </ns0:c>
      <ns0:c r="H97" s="5" t="inlineStr"/>
      <ns0:c r="I97" s="5" t="n">
        <ns0:v>3</ns0:v>
      </ns0:c>
      <ns0:c r="J97" s="5" t="n">
        <ns0:v>3</ns0:v>
      </ns0:c>
      <ns0:c r="K97" s="5" t="n">
        <ns0:v>1</ns0:v>
      </ns0:c>
      <ns0:c r="L97" s="15">
        <ns0:f>J97/K97</ns0:f>
        <ns0:v>3.0</ns0:v>
      </ns0:c>
      <ns0:c r="M97" s="15">
        <ns0:f>I97-L97</ns0:f>
        <ns0:v>0.0</ns0:v>
      </ns0:c>
      <ns0:c r="N97" s="15" t="str">
        <ns0:f>IF(ABS(M97)&lt;0.0000001,"MATCH","MISMATCH")</ns0:f>
        <ns0:v>MATCH</ns0:v>
      </ns0:c>
      <ns0:c r="O97" s="21" t="inlineStr">
        <ns0:is>
          <ns0:t>组成或比值推导</ns0:t>
        </ns0:is>
      </ns0:c>
      <ns0:c r="P97" s="5" t="inlineStr">
        <ns0:is>
          <ns0:t>N: 原文有构成数字，比值由计算得到</ns0:t>
        </ns0:is>
      </ns0:c>
      <ns0:c r="Q97" s="17" t="inlineStr">
        <ns0:is>
          <ns0:t>CO2:H2=1:3 (reverse orientation)</ns0:t>
        </ns0:is>
      </ns0:c>
      <ns0:c r="R97" s="5" t="inlineStr">
        <ns0:is>
          <ns0:t>PDF第11页</ns0:t>
        </ns0:is>
      </ns0:c>
      <ns0:c r="S97" s="5" t="inlineStr">
        <ns0:is>
          <ns0:t>Table 2 caption, CO2:H2 feed</ns0:t>
        </ns0:is>
      </ns0:c>
      <ns0:c r="T97" s="19" t="inlineStr">
        <ns0:is>
          <ns0:t>H2/CO2=3是将原文CO2:H2=1:3调换顺序，非独立测量</ns0:t>
        </ns0:is>
      </ns0:c>
      <ns0:c r="U97" s="18" t="inlineStr">
        <ns0:is>
          <ns0:t>https://drive.google.com/file/d/1GyR6wSTnSFGhsz4xd2mT6pW_gvLdq-ZD/view</ns0:t>
        </ns0:is>
      </ns0:c>
      <ns0:c r="V97" s="17" t="inlineStr">
        <ns0:is>
          <ns0:t>f4e6a0fb755e2b61dc77aed734014bc754e90c277a5e47b9e1767a0aaeffc16b</ns0:t>
        </ns0:is>
      </ns0:c>
      <ns0:c r="W97" s="5" t="inlineStr">
        <ns0:is>
          <ns0:t>Ota-main</ns0:t>
        </ns0:is>
      </ns0:c>
    </ns0:row>
    <ns0:row r="98" ht="45" customHeight="1">
      <ns0:c r="A98" s="5" t="n">
        <ns0:v>97</ns0:v>
      </ns0:c>
      <ns0:c r="B98" s="5" t="inlineStr">
        <ns0:is>
          <ns0:t>10.1016/j.jcat.2012.05.020</ns0:t>
        </ns0:is>
      </ns0:c>
      <ns0:c r="C98" s="5" t="inlineStr">
        <ns0:is>
          <ns0:t>PdMgAl</ns0:t>
        </ns0:is>
      </ns0:c>
      <ns0:c r="D98" s="5" t="inlineStr">
        <ns0:is>
          <ns0:t>Table 2, PdMgAl</ns0:t>
        </ns0:is>
      </ns0:c>
      <ns0:c r="E98" s="5" t="inlineStr">
        <ns0:is>
          <ns0:t>temperature</ns0:t>
        </ns0:is>
      </ns0:c>
      <ns0:c r="F98" s="5" t="n">
        <ns0:v>249.85</ns0:v>
      </ns0:c>
      <ns0:c r="G98" s="5" t="inlineStr">
        <ns0:is>
          <ns0:t>°C (from K)</ns0:t>
        </ns0:is>
      </ns0:c>
      <ns0:c r="H98" s="5" t="inlineStr"/>
      <ns0:c r="I98" s="5" t="n">
        <ns0:v>249.85</ns0:v>
      </ns0:c>
      <ns0:c r="J98" s="5" t="n">
        <ns0:v>523</ns0:v>
      </ns0:c>
      <ns0:c r="K98" s="5" t="n"/>
      <ns0:c r="L98" s="15">
        <ns0:f>ROUND(J98-273.15,2)</ns0:f>
        <ns0:v>249.85</ns0:v>
      </ns0:c>
      <ns0:c r="M98" s="15">
        <ns0:f>I98-L98</ns0:f>
        <ns0:v>0.0</ns0:v>
      </ns0:c>
      <ns0:c r="N98" s="15" t="str">
        <ns0:f>IF(ABS(M98)&lt;0.0000001,"MATCH","MISMATCH")</ns0:f>
        <ns0:v>MATCH</ns0:v>
      </ns0:c>
      <ns0:c r="O98" s="16" t="inlineStr">
        <ns0:is>
          <ns0:t>直接印刷/单位等价</ns0:t>
        </ns0:is>
      </ns0:c>
      <ns0:c r="P98" s="5" t="inlineStr">
        <ns0:is>
          <ns0:t>Y: 原文数字直印；已换算单位</ns0:t>
        </ns0:is>
      </ns0:c>
      <ns0:c r="Q98" s="17" t="inlineStr">
        <ns0:is>
          <ns0:t>T=523 K</ns0:t>
        </ns0:is>
      </ns0:c>
      <ns0:c r="R98" s="5" t="inlineStr">
        <ns0:is>
          <ns0:t>PDF第11页</ns0:t>
        </ns0:is>
      </ns0:c>
      <ns0:c r="S98" s="5" t="inlineStr">
        <ns0:is>
          <ns0:t>Table 2 caption, T</ns0:t>
        </ns0:is>
      </ns0:c>
      <ns0:c r="T98" s="5" t="inlineStr">
        <ns0:is>
          <ns0:t>原文数值及工况相符</ns0:t>
        </ns0:is>
      </ns0:c>
      <ns0:c r="U98" s="18" t="inlineStr">
        <ns0:is>
          <ns0:t>https://drive.google.com/file/d/1GyR6wSTnSFGhsz4xd2mT6pW_gvLdq-ZD/view</ns0:t>
        </ns0:is>
      </ns0:c>
      <ns0:c r="V98" s="17" t="inlineStr">
        <ns0:is>
          <ns0:t>f4e6a0fb755e2b61dc77aed734014bc754e90c277a5e47b9e1767a0aaeffc16b</ns0:t>
        </ns0:is>
      </ns0:c>
      <ns0:c r="W98" s="5" t="inlineStr">
        <ns0:is>
          <ns0:t>Ota-main</ns0:t>
        </ns0:is>
      </ns0:c>
    </ns0:row>
    <ns0:row r="99" ht="45" customHeight="1">
      <ns0:c r="A99" s="5" t="n">
        <ns0:v>98</ns0:v>
      </ns0:c>
      <ns0:c r="B99" s="5" t="inlineStr">
        <ns0:is>
          <ns0:t>10.1016/j.jcat.2012.05.020</ns0:t>
        </ns0:is>
      </ns0:c>
      <ns0:c r="C99" s="5" t="inlineStr">
        <ns0:is>
          <ns0:t>PdMgGa</ns0:t>
        </ns0:is>
      </ns0:c>
      <ns0:c r="D99" s="5" t="inlineStr">
        <ns0:is>
          <ns0:t>Table 2, PdMgGa</ns0:t>
        </ns0:is>
      </ns0:c>
      <ns0:c r="E99" s="5" t="inlineStr">
        <ns0:is>
          <ns0:t>temperature</ns0:t>
        </ns0:is>
      </ns0:c>
      <ns0:c r="F99" s="5" t="n">
        <ns0:v>249.85</ns0:v>
      </ns0:c>
      <ns0:c r="G99" s="5" t="inlineStr">
        <ns0:is>
          <ns0:t>°C (from K)</ns0:t>
        </ns0:is>
      </ns0:c>
      <ns0:c r="H99" s="5" t="inlineStr"/>
      <ns0:c r="I99" s="5" t="n">
        <ns0:v>249.85</ns0:v>
      </ns0:c>
      <ns0:c r="J99" s="5" t="n">
        <ns0:v>523</ns0:v>
      </ns0:c>
      <ns0:c r="K99" s="5" t="n"/>
      <ns0:c r="L99" s="15">
        <ns0:f>ROUND(J99-273.15,2)</ns0:f>
        <ns0:v>249.85</ns0:v>
      </ns0:c>
      <ns0:c r="M99" s="15">
        <ns0:f>I99-L99</ns0:f>
        <ns0:v>0.0</ns0:v>
      </ns0:c>
      <ns0:c r="N99" s="15" t="str">
        <ns0:f>IF(ABS(M99)&lt;0.0000001,"MATCH","MISMATCH")</ns0:f>
        <ns0:v>MATCH</ns0:v>
      </ns0:c>
      <ns0:c r="O99" s="16" t="inlineStr">
        <ns0:is>
          <ns0:t>直接印刷/单位等价</ns0:t>
        </ns0:is>
      </ns0:c>
      <ns0:c r="P99" s="5" t="inlineStr">
        <ns0:is>
          <ns0:t>Y: 原文数字直印；已换算单位</ns0:t>
        </ns0:is>
      </ns0:c>
      <ns0:c r="Q99" s="17" t="inlineStr">
        <ns0:is>
          <ns0:t>T=523 K</ns0:t>
        </ns0:is>
      </ns0:c>
      <ns0:c r="R99" s="5" t="inlineStr">
        <ns0:is>
          <ns0:t>PDF第11页</ns0:t>
        </ns0:is>
      </ns0:c>
      <ns0:c r="S99" s="5" t="inlineStr">
        <ns0:is>
          <ns0:t>Table 2 caption, T</ns0:t>
        </ns0:is>
      </ns0:c>
      <ns0:c r="T99" s="5" t="inlineStr">
        <ns0:is>
          <ns0:t>原文数值及工况相符</ns0:t>
        </ns0:is>
      </ns0:c>
      <ns0:c r="U99" s="18" t="inlineStr">
        <ns0:is>
          <ns0:t>https://drive.google.com/file/d/1GyR6wSTnSFGhsz4xd2mT6pW_gvLdq-ZD/view</ns0:t>
        </ns0:is>
      </ns0:c>
      <ns0:c r="V99" s="17" t="inlineStr">
        <ns0:is>
          <ns0:t>f4e6a0fb755e2b61dc77aed734014bc754e90c277a5e47b9e1767a0aaeffc16b</ns0:t>
        </ns0:is>
      </ns0:c>
      <ns0:c r="W99" s="5" t="inlineStr">
        <ns0:is>
          <ns0:t>Ota-main</ns0:t>
        </ns0:is>
      </ns0:c>
    </ns0:row>
    <ns0:row r="100" ht="45" customHeight="1">
      <ns0:c r="A100" s="5" t="n">
        <ns0:v>99</ns0:v>
      </ns0:c>
      <ns0:c r="B100" s="5" t="inlineStr">
        <ns0:is>
          <ns0:t>10.1016/j.jcat.2012.05.020</ns0:t>
        </ns0:is>
      </ns0:c>
      <ns0:c r="C100" s="5" t="inlineStr">
        <ns0:is>
          <ns0:t>PdMgAl</ns0:t>
        </ns0:is>
      </ns0:c>
      <ns0:c r="D100" s="5" t="inlineStr">
        <ns0:is>
          <ns0:t>Table 2, PdMgAl</ns0:t>
        </ns0:is>
      </ns0:c>
      <ns0:c r="E100" s="5" t="inlineStr">
        <ns0:is>
          <ns0:t>STY (printed)</ns0:t>
        </ns0:is>
      </ns0:c>
      <ns0:c r="F100" s="5" t="inlineStr">
        <ns0:is>
          <ns0:t>0.3 µmol/min gcat</ns0:t>
        </ns0:is>
      </ns0:c>
      <ns0:c r="G100" s="5" t="inlineStr">
        <ns0:is>
          <ns0:t>as printed</ns0:t>
        </ns0:is>
      </ns0:c>
      <ns0:c r="H100" s="5" t="inlineStr">
        <ns0:is>
          <ns0:t>=</ns0:t>
        </ns0:is>
      </ns0:c>
      <ns0:c r="I100" s="5" t="n">
        <ns0:v>0.3</ns0:v>
      </ns0:c>
      <ns0:c r="J100" s="5" t="n">
        <ns0:v>0.3</ns0:v>
      </ns0:c>
      <ns0:c r="K100" s="5" t="n"/>
      <ns0:c r="L100" s="15">
        <ns0:f>J100</ns0:f>
        <ns0:v>0.3</ns0:v>
      </ns0:c>
      <ns0:c r="M100" s="15">
        <ns0:f>I100-L100</ns0:f>
        <ns0:v>0.0</ns0:v>
      </ns0:c>
      <ns0:c r="N100" s="15" t="str">
        <ns0:f>IF(ABS(M100)&lt;0.0000001,"MATCH","MISMATCH")</ns0:f>
        <ns0:v>MATCH</ns0:v>
      </ns0:c>
      <ns0:c r="O100" s="21" t="inlineStr">
        <ns0:is>
          <ns0:t>术语/计量口径需注明</ns0:t>
        </ns0:is>
      </ns0:c>
      <ns0:c r="P100" s="5" t="inlineStr">
        <ns0:is>
          <ns0:t>Y: 原文表/正文/图注明确数字</ns0:t>
        </ns0:is>
      </ns0:c>
      <ns0:c r="Q100" s="17" t="inlineStr">
        <ns0:is>
          <ns0:t>Rate MeOH 0.3 micromol/(gcat min)</ns0:t>
        </ns0:is>
      </ns0:c>
      <ns0:c r="R100" s="5" t="inlineStr">
        <ns0:is>
          <ns0:t>PDF第11页</ns0:t>
        </ns0:is>
      </ns0:c>
      <ns0:c r="S100" s="5" t="inlineStr">
        <ns0:is>
          <ns0:t>Table 2, PdMgAl, rate of methanol</ns0:t>
        </ns0:is>
      </ns0:c>
      <ns0:c r="T100" s="19" t="inlineStr">
        <ns0:is>
          <ns0:t>原列标题是MeOH Rate，原抽取字段写STY (printed)；保留原单位以防误认为g/(gcat h)</ns0:t>
        </ns0:is>
      </ns0:c>
      <ns0:c r="U100" s="18" t="inlineStr">
        <ns0:is>
          <ns0:t>https://drive.google.com/file/d/1GyR6wSTnSFGhsz4xd2mT6pW_gvLdq-ZD/view</ns0:t>
        </ns0:is>
      </ns0:c>
      <ns0:c r="V100" s="17" t="inlineStr">
        <ns0:is>
          <ns0:t>f4e6a0fb755e2b61dc77aed734014bc754e90c277a5e47b9e1767a0aaeffc16b</ns0:t>
        </ns0:is>
      </ns0:c>
      <ns0:c r="W100" s="5" t="inlineStr">
        <ns0:is>
          <ns0:t>Ota-main</ns0:t>
        </ns0:is>
      </ns0:c>
    </ns0:row>
    <ns0:row r="101" ht="45" customHeight="1">
      <ns0:c r="A101" s="5" t="n">
        <ns0:v>100</ns0:v>
      </ns0:c>
      <ns0:c r="B101" s="5" t="inlineStr">
        <ns0:is>
          <ns0:t>10.1016/j.jcat.2012.05.020</ns0:t>
        </ns0:is>
      </ns0:c>
      <ns0:c r="C101" s="5" t="inlineStr">
        <ns0:is>
          <ns0:t>PdZnAl</ns0:t>
        </ns0:is>
      </ns0:c>
      <ns0:c r="D101" s="5" t="inlineStr">
        <ns0:is>
          <ns0:t>Table 2, PdZnAl</ns0:t>
        </ns0:is>
      </ns0:c>
      <ns0:c r="E101" s="5" t="inlineStr">
        <ns0:is>
          <ns0:t>CO2 conversion</ns0:t>
        </ns0:is>
      </ns0:c>
      <ns0:c r="F101" s="5" t="n">
        <ns0:v>0.6</ns0:v>
      </ns0:c>
      <ns0:c r="G101" s="5" t="inlineStr">
        <ns0:is>
          <ns0:t>%</ns0:t>
        </ns0:is>
      </ns0:c>
      <ns0:c r="H101" s="5" t="inlineStr">
        <ns0:is>
          <ns0:t>=</ns0:t>
        </ns0:is>
      </ns0:c>
      <ns0:c r="I101" s="5" t="n">
        <ns0:v>0.6</ns0:v>
      </ns0:c>
      <ns0:c r="J101" s="5" t="n">
        <ns0:v>0.6</ns0:v>
      </ns0:c>
      <ns0:c r="K101" s="5" t="n"/>
      <ns0:c r="L101" s="15">
        <ns0:f>J101</ns0:f>
        <ns0:v>0.6</ns0:v>
      </ns0:c>
      <ns0:c r="M101" s="15">
        <ns0:f>I101-L101</ns0:f>
        <ns0:v>0.0</ns0:v>
      </ns0:c>
      <ns0:c r="N101" s="15" t="str">
        <ns0:f>IF(ABS(M101)&lt;0.0000001,"MATCH","MISMATCH")</ns0:f>
        <ns0:v>MATCH</ns0:v>
      </ns0:c>
      <ns0:c r="O101" s="16" t="inlineStr">
        <ns0:is>
          <ns0:t>直接印刷/单位等价</ns0:t>
        </ns0:is>
      </ns0:c>
      <ns0:c r="P101" s="5" t="inlineStr">
        <ns0:is>
          <ns0:t>Y: 原文表/正文/图注明确数字</ns0:t>
        </ns0:is>
      </ns0:c>
      <ns0:c r="Q101" s="17" t="inlineStr">
        <ns0:is>
          <ns0:t>XCO2 0.6%</ns0:t>
        </ns0:is>
      </ns0:c>
      <ns0:c r="R101" s="5" t="inlineStr">
        <ns0:is>
          <ns0:t>PDF第11页</ns0:t>
        </ns0:is>
      </ns0:c>
      <ns0:c r="S101" s="5" t="inlineStr">
        <ns0:is>
          <ns0:t>Table 2, PdZnAl, XCO2</ns0:t>
        </ns0:is>
      </ns0:c>
      <ns0:c r="T101" s="5" t="inlineStr">
        <ns0:is>
          <ns0:t>原文数值及工况相符</ns0:t>
        </ns0:is>
      </ns0:c>
      <ns0:c r="U101" s="18" t="inlineStr">
        <ns0:is>
          <ns0:t>https://drive.google.com/file/d/1GyR6wSTnSFGhsz4xd2mT6pW_gvLdq-ZD/view</ns0:t>
        </ns0:is>
      </ns0:c>
      <ns0:c r="V101" s="17" t="inlineStr">
        <ns0:is>
          <ns0:t>f4e6a0fb755e2b61dc77aed734014bc754e90c277a5e47b9e1767a0aaeffc16b</ns0:t>
        </ns0:is>
      </ns0:c>
      <ns0:c r="W101" s="5" t="inlineStr">
        <ns0:is>
          <ns0:t>Ota-main</ns0:t>
        </ns0:is>
      </ns0:c>
    </ns0:row>
  </ns0:sheetData>
  <ns0:autoFilter ref="A1:W101"/>
  <ns0:pageMargins left="0.75" right="0.75" top="1" bottom="1" header="0.5" footer="0.5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8" t="inlineStr">
        <is>
          <t>甲醇文献抽取：人工金标准核对表</t>
        </is>
      </c>
    </row>
    <row r="2">
      <c r="A2" s="2" t="inlineStr"/>
    </row>
    <row r="3">
      <c r="A3" s="2" t="inlineStr">
        <is>
          <t>抽样规则（抽样前固定，见 analysis/verify_2026_10_08/gold_standard_sample.py）：</t>
        </is>
      </c>
    </row>
    <row r="4">
      <c r="A4" s="2" t="inlineStr">
        <is>
          <t>总体 = 只用印刷值时进入甲醇主结果的全部数值：2222 个数，307 个条目，28 篇论文。</t>
        </is>
      </c>
    </row>
    <row r="5">
      <c r="A5" s="2" t="inlineStr">
        <is>
          <t>随机种子 20261008：先随机抽 10 篇论文，每篇随机抽 10 个数，共 100 个数。</t>
        </is>
      </c>
    </row>
    <row r="6">
      <c r="A6" s="2" t="inlineStr"/>
    </row>
    <row r="7">
      <c r="A7" s="2" t="inlineStr">
        <is>
          <t>核对方法（必须本人对照原文或 SI 完成，不用任何程序或模型判断）：</t>
        </is>
      </c>
    </row>
    <row r="8">
      <c r="A8" s="2" t="inlineStr">
        <is>
          <t>1. 打开 pdf / si 列给出的文件（位于 agent/extraction/ 下，已下载的工作目录中），按 entry、record_location、record_page 找到该条目。</t>
        </is>
      </c>
    </row>
    <row r="9">
      <c r="A9" s="2" t="inlineStr">
        <is>
          <t>2. found_where：写出这个数在原文印刷的位置（如 'Table 2, p.5' 或 'SI Table S3'）。</t>
        </is>
      </c>
    </row>
    <row r="10">
      <c r="A10" s="2" t="inlineStr">
        <is>
          <t>3. value_in_paper：抄下原文印刷的数（原单位）。</t>
        </is>
      </c>
    </row>
    <row r="11">
      <c r="A11" s="2" t="inlineStr">
        <is>
          <t>4. printed_number：原文是印刷的数字填 Y；只能从图上读填 N。</t>
        </is>
      </c>
    </row>
    <row r="12">
      <c r="A12" s="2" t="inlineStr">
        <is>
          <t>5. judgment：correct = 换算单位后与原文一致；rounding = 只在原文印刷位数之外有差；wrong = 不一致。</t>
        </is>
      </c>
    </row>
    <row r="13">
      <c r="A13" s="2" t="inlineStr">
        <is>
          <t>6. note：其他说明（如单位换算、原文自相矛盾）。</t>
        </is>
      </c>
    </row>
    <row r="14">
      <c r="A14" s="2" t="inlineStr"/>
    </row>
    <row r="15">
      <c r="A15" s="2" t="inlineStr">
        <is>
          <t>字段说明：temperature 已从 K 换算成 °C；pressure 单位 bar（1 MPa = 10 bar）；</t>
        </is>
      </c>
    </row>
    <row r="16">
      <c r="A16" s="2" t="inlineStr">
        <is>
          <t>STY (printed) 和 space velocity 给的是原文写法（as printed）。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40" customWidth="1" min="4" max="4"/>
    <col width="18" customWidth="1" min="5" max="5"/>
    <col width="12" customWidth="1" min="6" max="6"/>
    <col width="12" customWidth="1" min="7" max="7"/>
    <col width="28" customWidth="1" min="8" max="8"/>
    <col width="8" customWidth="1" min="9" max="9"/>
    <col width="10" customWidth="1" min="10" max="10"/>
    <col width="18" customWidth="1" min="11" max="11"/>
    <col width="30" customWidth="1" min="12" max="12"/>
    <col width="30" customWidth="1" min="13" max="13"/>
    <col width="22" customWidth="1" min="14" max="14"/>
    <col width="14" customWidth="1" min="15" max="15"/>
    <col width="10" customWidth="1" min="16" max="16"/>
    <col width="12" customWidth="1" min="17" max="17"/>
    <col width="30" customWidth="1" min="18" max="18"/>
  </cols>
  <sheetData>
    <row r="1">
      <c r="A1" s="8" t="inlineStr">
        <is>
          <t>id</t>
        </is>
      </c>
      <c r="B1" s="8" t="inlineStr">
        <is>
          <t>doi</t>
        </is>
      </c>
      <c r="C1" s="8" t="inlineStr">
        <is>
          <t>catalyst</t>
        </is>
      </c>
      <c r="D1" s="8" t="inlineStr">
        <is>
          <t>entry</t>
        </is>
      </c>
      <c r="E1" s="8" t="inlineStr">
        <is>
          <t>field</t>
        </is>
      </c>
      <c r="F1" s="8" t="inlineStr">
        <is>
          <t>extracted</t>
        </is>
      </c>
      <c r="G1" s="8" t="inlineStr">
        <is>
          <t>unit</t>
        </is>
      </c>
      <c r="H1" s="8" t="inlineStr">
        <is>
          <t>record_location</t>
        </is>
      </c>
      <c r="I1" s="8" t="inlineStr">
        <is>
          <t>record_page</t>
        </is>
      </c>
      <c r="J1" s="8" t="inlineStr">
        <is>
          <t>value_source</t>
        </is>
      </c>
      <c r="K1" s="8" t="inlineStr">
        <is>
          <t>filled</t>
        </is>
      </c>
      <c r="L1" s="8" t="inlineStr">
        <is>
          <t>pdf</t>
        </is>
      </c>
      <c r="M1" s="8" t="inlineStr">
        <is>
          <t>si</t>
        </is>
      </c>
      <c r="N1" s="23" t="inlineStr">
        <is>
          <t>found_where</t>
        </is>
      </c>
      <c r="O1" s="23" t="inlineStr">
        <is>
          <t>value_in_paper</t>
        </is>
      </c>
      <c r="P1" s="23" t="inlineStr">
        <is>
          <t>printed_number</t>
        </is>
      </c>
      <c r="Q1" s="23" t="inlineStr">
        <is>
          <t>judgment</t>
        </is>
      </c>
      <c r="R1" s="23" t="inlineStr">
        <is>
          <t>note</t>
        </is>
      </c>
    </row>
    <row r="2">
      <c r="A2" s="5" t="n">
        <v>1</v>
      </c>
      <c r="B2" s="5" t="inlineStr">
        <is>
          <t>10.1016/j.apcata.2018.04.036</t>
        </is>
      </c>
      <c r="C2" s="5" t="inlineStr">
        <is>
          <t>0.5Ca5P5ZC</t>
        </is>
      </c>
      <c r="D2" s="5" t="inlineStr">
        <is>
          <t>Fig 10a,b/text, 0.5Ca5P5ZC, 270 °C</t>
        </is>
      </c>
      <c r="E2" s="5" t="inlineStr">
        <is>
          <t>H2/CO2</t>
        </is>
      </c>
      <c r="F2" s="5" t="n">
        <v>3</v>
      </c>
      <c r="G2" s="5" t="inlineStr">
        <is>
          <t>mol/mol</t>
        </is>
      </c>
      <c r="H2" s="5" t="inlineStr">
        <is>
          <t>Text Section 4 and Figure 10a,b</t>
        </is>
      </c>
      <c r="I2" s="5" t="n">
        <v>8</v>
      </c>
      <c r="J2" s="5" t="n"/>
      <c r="K2" s="5" t="inlineStr"/>
      <c r="L2" s="5" t="inlineStr">
        <is>
          <t>pdf/Malik_2018_Development of highly selective PdZnCeO2 and Ca-doped PdZnCeO2 catalysts for met.pdf</t>
        </is>
      </c>
      <c r="M2" s="5" t="inlineStr">
        <is>
          <t>si/10_1016_j_apcata_2018_04_036__mmc1.docx</t>
        </is>
      </c>
      <c r="N2" s="6" t="inlineStr"/>
      <c r="O2" s="6" t="inlineStr"/>
      <c r="P2" s="6" t="inlineStr"/>
      <c r="Q2" s="6" t="inlineStr"/>
      <c r="R2" s="6" t="inlineStr"/>
    </row>
    <row r="3">
      <c r="A3" s="5" t="n">
        <v>2</v>
      </c>
      <c r="B3" s="5" t="inlineStr">
        <is>
          <t>10.1016/j.apcata.2018.04.036</t>
        </is>
      </c>
      <c r="C3" s="5" t="inlineStr">
        <is>
          <t>5P5ZC</t>
        </is>
      </c>
      <c r="D3" s="5" t="inlineStr">
        <is>
          <t>Table 6, 5P5ZC, 220 °C</t>
        </is>
      </c>
      <c r="E3" s="5" t="inlineStr">
        <is>
          <t>CO selectivity</t>
        </is>
      </c>
      <c r="F3" s="5" t="n">
        <v>0</v>
      </c>
      <c r="G3" s="5" t="inlineStr">
        <is>
          <t>%</t>
        </is>
      </c>
      <c r="H3" s="5" t="inlineStr">
        <is>
          <t>Table 6</t>
        </is>
      </c>
      <c r="I3" s="5" t="n">
        <v>8</v>
      </c>
      <c r="J3" s="5" t="inlineStr">
        <is>
          <t>table</t>
        </is>
      </c>
      <c r="K3" s="5" t="inlineStr"/>
      <c r="L3" s="5" t="inlineStr">
        <is>
          <t>pdf/Malik_2018_Development of highly selective PdZnCeO2 and Ca-doped PdZnCeO2 catalysts for met.pdf</t>
        </is>
      </c>
      <c r="M3" s="5" t="inlineStr">
        <is>
          <t>si/10_1016_j_apcata_2018_04_036__mmc1.docx</t>
        </is>
      </c>
      <c r="N3" s="6" t="inlineStr"/>
      <c r="O3" s="6" t="inlineStr"/>
      <c r="P3" s="6" t="inlineStr"/>
      <c r="Q3" s="6" t="inlineStr"/>
      <c r="R3" s="6" t="inlineStr"/>
    </row>
    <row r="4">
      <c r="A4" s="5" t="n">
        <v>3</v>
      </c>
      <c r="B4" s="5" t="inlineStr">
        <is>
          <t>10.1016/j.apcata.2018.04.036</t>
        </is>
      </c>
      <c r="C4" s="5" t="inlineStr">
        <is>
          <t>5P5ZC</t>
        </is>
      </c>
      <c r="D4" s="5" t="inlineStr">
        <is>
          <t>Table 6, 5P5ZC, 220 °C</t>
        </is>
      </c>
      <c r="E4" s="5" t="inlineStr">
        <is>
          <t>pressure</t>
        </is>
      </c>
      <c r="F4" s="5" t="n">
        <v>30</v>
      </c>
      <c r="G4" s="5" t="inlineStr">
        <is>
          <t>bar</t>
        </is>
      </c>
      <c r="H4" s="5" t="inlineStr">
        <is>
          <t>Table 6</t>
        </is>
      </c>
      <c r="I4" s="5" t="n">
        <v>8</v>
      </c>
      <c r="J4" s="5" t="n"/>
      <c r="K4" s="5" t="inlineStr"/>
      <c r="L4" s="5" t="inlineStr">
        <is>
          <t>pdf/Malik_2018_Development of highly selective PdZnCeO2 and Ca-doped PdZnCeO2 catalysts for met.pdf</t>
        </is>
      </c>
      <c r="M4" s="5" t="inlineStr">
        <is>
          <t>si/10_1016_j_apcata_2018_04_036__mmc1.docx</t>
        </is>
      </c>
      <c r="N4" s="6" t="inlineStr"/>
      <c r="O4" s="6" t="inlineStr"/>
      <c r="P4" s="6" t="inlineStr"/>
      <c r="Q4" s="6" t="inlineStr"/>
      <c r="R4" s="6" t="inlineStr"/>
    </row>
    <row r="5">
      <c r="A5" s="5" t="n">
        <v>4</v>
      </c>
      <c r="B5" s="5" t="inlineStr">
        <is>
          <t>10.1016/j.apcata.2018.04.036</t>
        </is>
      </c>
      <c r="C5" s="5" t="inlineStr">
        <is>
          <t>5PC</t>
        </is>
      </c>
      <c r="D5" s="5" t="inlineStr">
        <is>
          <t>Table 6, 5PC, 220 °C</t>
        </is>
      </c>
      <c r="E5" s="5" t="inlineStr">
        <is>
          <t>CH3OH selectivity</t>
        </is>
      </c>
      <c r="F5" s="5" t="n">
        <v>70.09999999999999</v>
      </c>
      <c r="G5" s="5" t="inlineStr">
        <is>
          <t>%</t>
        </is>
      </c>
      <c r="H5" s="5" t="inlineStr">
        <is>
          <t>Table 6</t>
        </is>
      </c>
      <c r="I5" s="5" t="n">
        <v>8</v>
      </c>
      <c r="J5" s="5" t="inlineStr">
        <is>
          <t>table</t>
        </is>
      </c>
      <c r="K5" s="5" t="inlineStr"/>
      <c r="L5" s="5" t="inlineStr">
        <is>
          <t>pdf/Malik_2018_Development of highly selective PdZnCeO2 and Ca-doped PdZnCeO2 catalysts for met.pdf</t>
        </is>
      </c>
      <c r="M5" s="5" t="inlineStr">
        <is>
          <t>si/10_1016_j_apcata_2018_04_036__mmc1.docx</t>
        </is>
      </c>
      <c r="N5" s="6" t="inlineStr"/>
      <c r="O5" s="6" t="inlineStr"/>
      <c r="P5" s="6" t="inlineStr"/>
      <c r="Q5" s="6" t="inlineStr"/>
      <c r="R5" s="6" t="inlineStr"/>
    </row>
    <row r="6">
      <c r="A6" s="5" t="n">
        <v>5</v>
      </c>
      <c r="B6" s="5" t="inlineStr">
        <is>
          <t>10.1016/j.apcata.2018.04.036</t>
        </is>
      </c>
      <c r="C6" s="5" t="inlineStr">
        <is>
          <t>0.5Ca5P5ZC</t>
        </is>
      </c>
      <c r="D6" s="5" t="inlineStr">
        <is>
          <t>Table 6, 0.5Ca5P5ZC, 220 °C</t>
        </is>
      </c>
      <c r="E6" s="5" t="inlineStr">
        <is>
          <t>CH4 selectivity</t>
        </is>
      </c>
      <c r="F6" s="5" t="n">
        <v>0</v>
      </c>
      <c r="G6" s="5" t="inlineStr">
        <is>
          <t>%</t>
        </is>
      </c>
      <c r="H6" s="5" t="inlineStr">
        <is>
          <t>Table 6</t>
        </is>
      </c>
      <c r="I6" s="5" t="n">
        <v>8</v>
      </c>
      <c r="J6" s="5" t="inlineStr">
        <is>
          <t>table</t>
        </is>
      </c>
      <c r="K6" s="5" t="inlineStr"/>
      <c r="L6" s="5" t="inlineStr">
        <is>
          <t>pdf/Malik_2018_Development of highly selective PdZnCeO2 and Ca-doped PdZnCeO2 catalysts for met.pdf</t>
        </is>
      </c>
      <c r="M6" s="5" t="inlineStr">
        <is>
          <t>si/10_1016_j_apcata_2018_04_036__mmc1.docx</t>
        </is>
      </c>
      <c r="N6" s="6" t="inlineStr"/>
      <c r="O6" s="6" t="inlineStr"/>
      <c r="P6" s="6" t="inlineStr"/>
      <c r="Q6" s="6" t="inlineStr"/>
      <c r="R6" s="6" t="inlineStr"/>
    </row>
    <row r="7">
      <c r="A7" s="5" t="n">
        <v>6</v>
      </c>
      <c r="B7" s="5" t="inlineStr">
        <is>
          <t>10.1016/j.apcata.2018.04.036</t>
        </is>
      </c>
      <c r="C7" s="5" t="inlineStr">
        <is>
          <t>5PC</t>
        </is>
      </c>
      <c r="D7" s="5" t="inlineStr">
        <is>
          <t>Table 6, 5PC, 220 °C</t>
        </is>
      </c>
      <c r="E7" s="5" t="inlineStr">
        <is>
          <t>H2/CO2</t>
        </is>
      </c>
      <c r="F7" s="5" t="n">
        <v>3</v>
      </c>
      <c r="G7" s="5" t="inlineStr">
        <is>
          <t>mol/mol</t>
        </is>
      </c>
      <c r="H7" s="5" t="inlineStr">
        <is>
          <t>Table 6</t>
        </is>
      </c>
      <c r="I7" s="5" t="n">
        <v>8</v>
      </c>
      <c r="J7" s="5" t="n"/>
      <c r="K7" s="5" t="inlineStr"/>
      <c r="L7" s="5" t="inlineStr">
        <is>
          <t>pdf/Malik_2018_Development of highly selective PdZnCeO2 and Ca-doped PdZnCeO2 catalysts for met.pdf</t>
        </is>
      </c>
      <c r="M7" s="5" t="inlineStr">
        <is>
          <t>si/10_1016_j_apcata_2018_04_036__mmc1.docx</t>
        </is>
      </c>
      <c r="N7" s="6" t="inlineStr"/>
      <c r="O7" s="6" t="inlineStr"/>
      <c r="P7" s="6" t="inlineStr"/>
      <c r="Q7" s="6" t="inlineStr"/>
      <c r="R7" s="6" t="inlineStr"/>
    </row>
    <row r="8">
      <c r="A8" s="5" t="n">
        <v>7</v>
      </c>
      <c r="B8" s="5" t="inlineStr">
        <is>
          <t>10.1016/j.apcata.2018.04.036</t>
        </is>
      </c>
      <c r="C8" s="5" t="inlineStr">
        <is>
          <t>5PC</t>
        </is>
      </c>
      <c r="D8" s="5" t="inlineStr">
        <is>
          <t>Table 6, 5PC, 220 °C</t>
        </is>
      </c>
      <c r="E8" s="5" t="inlineStr">
        <is>
          <t>CH4 selectivity</t>
        </is>
      </c>
      <c r="F8" s="5" t="n">
        <v>2.3</v>
      </c>
      <c r="G8" s="5" t="inlineStr">
        <is>
          <t>%</t>
        </is>
      </c>
      <c r="H8" s="5" t="inlineStr">
        <is>
          <t>Table 6</t>
        </is>
      </c>
      <c r="I8" s="5" t="n">
        <v>8</v>
      </c>
      <c r="J8" s="5" t="inlineStr">
        <is>
          <t>table</t>
        </is>
      </c>
      <c r="K8" s="5" t="inlineStr"/>
      <c r="L8" s="5" t="inlineStr">
        <is>
          <t>pdf/Malik_2018_Development of highly selective PdZnCeO2 and Ca-doped PdZnCeO2 catalysts for met.pdf</t>
        </is>
      </c>
      <c r="M8" s="5" t="inlineStr">
        <is>
          <t>si/10_1016_j_apcata_2018_04_036__mmc1.docx</t>
        </is>
      </c>
      <c r="N8" s="6" t="inlineStr"/>
      <c r="O8" s="6" t="inlineStr"/>
      <c r="P8" s="6" t="inlineStr"/>
      <c r="Q8" s="6" t="inlineStr"/>
      <c r="R8" s="6" t="inlineStr"/>
    </row>
    <row r="9">
      <c r="A9" s="5" t="n">
        <v>8</v>
      </c>
      <c r="B9" s="5" t="inlineStr">
        <is>
          <t>10.1016/j.apcata.2018.04.036</t>
        </is>
      </c>
      <c r="C9" s="5" t="inlineStr">
        <is>
          <t>5PC</t>
        </is>
      </c>
      <c r="D9" s="5" t="inlineStr">
        <is>
          <t>Table 6, 5PC, 220 °C</t>
        </is>
      </c>
      <c r="E9" s="5" t="inlineStr">
        <is>
          <t>CO2 conversion</t>
        </is>
      </c>
      <c r="F9" s="5" t="n">
        <v>1.7</v>
      </c>
      <c r="G9" s="5" t="inlineStr">
        <is>
          <t>%</t>
        </is>
      </c>
      <c r="H9" s="5" t="inlineStr">
        <is>
          <t>Table 6</t>
        </is>
      </c>
      <c r="I9" s="5" t="n">
        <v>8</v>
      </c>
      <c r="J9" s="5" t="inlineStr">
        <is>
          <t>table</t>
        </is>
      </c>
      <c r="K9" s="5" t="inlineStr"/>
      <c r="L9" s="5" t="inlineStr">
        <is>
          <t>pdf/Malik_2018_Development of highly selective PdZnCeO2 and Ca-doped PdZnCeO2 catalysts for met.pdf</t>
        </is>
      </c>
      <c r="M9" s="5" t="inlineStr">
        <is>
          <t>si/10_1016_j_apcata_2018_04_036__mmc1.docx</t>
        </is>
      </c>
      <c r="N9" s="6" t="inlineStr"/>
      <c r="O9" s="6" t="inlineStr"/>
      <c r="P9" s="6" t="inlineStr"/>
      <c r="Q9" s="6" t="inlineStr"/>
      <c r="R9" s="6" t="inlineStr"/>
    </row>
    <row r="10">
      <c r="A10" s="5" t="n">
        <v>9</v>
      </c>
      <c r="B10" s="5" t="inlineStr">
        <is>
          <t>10.1016/j.apcata.2018.04.036</t>
        </is>
      </c>
      <c r="C10" s="5" t="inlineStr">
        <is>
          <t>5P5ZC</t>
        </is>
      </c>
      <c r="D10" s="5" t="inlineStr">
        <is>
          <t>Table 6, 5P5ZC, 220 °C</t>
        </is>
      </c>
      <c r="E10" s="5" t="inlineStr">
        <is>
          <t>H2/CO2</t>
        </is>
      </c>
      <c r="F10" s="5" t="n">
        <v>3</v>
      </c>
      <c r="G10" s="5" t="inlineStr">
        <is>
          <t>mol/mol</t>
        </is>
      </c>
      <c r="H10" s="5" t="inlineStr">
        <is>
          <t>Table 6</t>
        </is>
      </c>
      <c r="I10" s="5" t="n">
        <v>8</v>
      </c>
      <c r="J10" s="5" t="n"/>
      <c r="K10" s="5" t="inlineStr"/>
      <c r="L10" s="5" t="inlineStr">
        <is>
          <t>pdf/Malik_2018_Development of highly selective PdZnCeO2 and Ca-doped PdZnCeO2 catalysts for met.pdf</t>
        </is>
      </c>
      <c r="M10" s="5" t="inlineStr">
        <is>
          <t>si/10_1016_j_apcata_2018_04_036__mmc1.docx</t>
        </is>
      </c>
      <c r="N10" s="6" t="inlineStr"/>
      <c r="O10" s="6" t="inlineStr"/>
      <c r="P10" s="6" t="inlineStr"/>
      <c r="Q10" s="6" t="inlineStr"/>
      <c r="R10" s="6" t="inlineStr"/>
    </row>
    <row r="11">
      <c r="A11" s="5" t="n">
        <v>10</v>
      </c>
      <c r="B11" s="5" t="inlineStr">
        <is>
          <t>10.1016/j.apcata.2018.04.036</t>
        </is>
      </c>
      <c r="C11" s="5" t="inlineStr">
        <is>
          <t>0.5Ca5P5ZC</t>
        </is>
      </c>
      <c r="D11" s="5" t="inlineStr">
        <is>
          <t>Table 6, 0.5Ca5P5ZC, 220 °C</t>
        </is>
      </c>
      <c r="E11" s="5" t="inlineStr">
        <is>
          <t>CO selectivity</t>
        </is>
      </c>
      <c r="F11" s="5" t="n">
        <v>0</v>
      </c>
      <c r="G11" s="5" t="inlineStr">
        <is>
          <t>%</t>
        </is>
      </c>
      <c r="H11" s="5" t="inlineStr">
        <is>
          <t>Table 6</t>
        </is>
      </c>
      <c r="I11" s="5" t="n">
        <v>8</v>
      </c>
      <c r="J11" s="5" t="inlineStr">
        <is>
          <t>table</t>
        </is>
      </c>
      <c r="K11" s="5" t="inlineStr"/>
      <c r="L11" s="5" t="inlineStr">
        <is>
          <t>pdf/Malik_2018_Development of highly selective PdZnCeO2 and Ca-doped PdZnCeO2 catalysts for met.pdf</t>
        </is>
      </c>
      <c r="M11" s="5" t="inlineStr">
        <is>
          <t>si/10_1016_j_apcata_2018_04_036__mmc1.docx</t>
        </is>
      </c>
      <c r="N11" s="6" t="inlineStr"/>
      <c r="O11" s="6" t="inlineStr"/>
      <c r="P11" s="6" t="inlineStr"/>
      <c r="Q11" s="6" t="inlineStr"/>
      <c r="R11" s="6" t="inlineStr"/>
    </row>
    <row r="12">
      <c r="A12" s="5" t="n">
        <v>11</v>
      </c>
      <c r="B12" s="5" t="inlineStr">
        <is>
          <t>10.1126/sciadv.abi6012</t>
        </is>
      </c>
      <c r="C12" s="5" t="inlineStr">
        <is>
          <t>a-ZrO2</t>
        </is>
      </c>
      <c r="D12" s="5" t="inlineStr">
        <is>
          <t>SI Table S2 row a-ZrO2</t>
        </is>
      </c>
      <c r="E12" s="5" t="inlineStr">
        <is>
          <t>CO selectivity</t>
        </is>
      </c>
      <c r="F12" s="5" t="n">
        <v>26.8</v>
      </c>
      <c r="G12" s="5" t="inlineStr">
        <is>
          <t>%</t>
        </is>
      </c>
      <c r="H12" s="5" t="inlineStr">
        <is>
          <t>SI Table S2</t>
        </is>
      </c>
      <c r="I12" s="5" t="n">
        <v>19</v>
      </c>
      <c r="J12" s="5" t="inlineStr">
        <is>
          <t>SI</t>
        </is>
      </c>
      <c r="K12" s="5" t="inlineStr">
        <is>
          <t>cat_mass_g&lt;-figures</t>
        </is>
      </c>
      <c r="L12" s="5" t="inlineStr">
        <is>
          <t>pdf/Meng_2021_Oxygen-deficient metal oxides supported nano-intermetallic InNi 3 C 05 toward ef.pdf</t>
        </is>
      </c>
      <c r="M12" s="5" t="inlineStr">
        <is>
          <t>si/10_1126_sciadv_abi6012__si1.pdf</t>
        </is>
      </c>
      <c r="N12" s="6" t="inlineStr"/>
      <c r="O12" s="6" t="inlineStr"/>
      <c r="P12" s="6" t="inlineStr"/>
      <c r="Q12" s="6" t="inlineStr"/>
      <c r="R12" s="6" t="inlineStr"/>
    </row>
    <row r="13">
      <c r="A13" s="5" t="n">
        <v>12</v>
      </c>
      <c r="B13" s="5" t="inlineStr">
        <is>
          <t>10.1126/sciadv.abi6012</t>
        </is>
      </c>
      <c r="C13" s="5" t="inlineStr">
        <is>
          <t>InNi3C0.5/t-ZrO2</t>
        </is>
      </c>
      <c r="D13" s="5" t="inlineStr">
        <is>
          <t>Fig. 2B, InNi3C0.5/t-ZrO2, 24000 ml gcat-1 hour-1</t>
        </is>
      </c>
      <c r="E13" s="5" t="inlineStr">
        <is>
          <t>STY (printed)</t>
        </is>
      </c>
      <c r="F13" s="5" t="inlineStr">
        <is>
          <t>0.3 gMeOH gcat−1 hour−1</t>
        </is>
      </c>
      <c r="G13" s="5" t="inlineStr">
        <is>
          <t>as printed</t>
        </is>
      </c>
      <c r="H13" s="5" t="inlineStr">
        <is>
          <t>Fig. 2B and Results text</t>
        </is>
      </c>
      <c r="I13" s="5" t="n">
        <v>3</v>
      </c>
      <c r="J13" s="5" t="inlineStr">
        <is>
          <t>mixed</t>
        </is>
      </c>
      <c r="K13" s="5" t="inlineStr">
        <is>
          <t>X_CO2&lt;-si;S_MeOH&lt;-si;S_CO&lt;-si;S_CH4&lt;-si</t>
        </is>
      </c>
      <c r="L13" s="5" t="inlineStr">
        <is>
          <t>pdf/Meng_2021_Oxygen-deficient metal oxides supported nano-intermetallic InNi 3 C 05 toward ef.pdf</t>
        </is>
      </c>
      <c r="M13" s="5" t="inlineStr">
        <is>
          <t>si/10_1126_sciadv_abi6012__si1.pdf</t>
        </is>
      </c>
      <c r="N13" s="6" t="inlineStr"/>
      <c r="O13" s="6" t="inlineStr"/>
      <c r="P13" s="6" t="inlineStr"/>
      <c r="Q13" s="6" t="inlineStr"/>
      <c r="R13" s="6" t="inlineStr"/>
    </row>
    <row r="14">
      <c r="A14" s="5" t="n">
        <v>13</v>
      </c>
      <c r="B14" s="5" t="inlineStr">
        <is>
          <t>10.1126/sciadv.abi6012</t>
        </is>
      </c>
      <c r="C14" s="5" t="inlineStr">
        <is>
          <t>SiO2</t>
        </is>
      </c>
      <c r="D14" s="5" t="inlineStr">
        <is>
          <t>SI Table S2 row SiO2</t>
        </is>
      </c>
      <c r="E14" s="5" t="inlineStr">
        <is>
          <t>H2/CO2</t>
        </is>
      </c>
      <c r="F14" s="5" t="n">
        <v>3</v>
      </c>
      <c r="G14" s="5" t="inlineStr">
        <is>
          <t>mol/mol</t>
        </is>
      </c>
      <c r="H14" s="5" t="inlineStr">
        <is>
          <t>SI Table S2</t>
        </is>
      </c>
      <c r="I14" s="5" t="n">
        <v>19</v>
      </c>
      <c r="J14" s="5" t="n"/>
      <c r="K14" s="5" t="inlineStr"/>
      <c r="L14" s="5" t="inlineStr">
        <is>
          <t>pdf/Meng_2021_Oxygen-deficient metal oxides supported nano-intermetallic InNi 3 C 05 toward ef.pdf</t>
        </is>
      </c>
      <c r="M14" s="5" t="inlineStr">
        <is>
          <t>si/10_1126_sciadv_abi6012__si1.pdf</t>
        </is>
      </c>
      <c r="N14" s="6" t="inlineStr"/>
      <c r="O14" s="6" t="inlineStr"/>
      <c r="P14" s="6" t="inlineStr"/>
      <c r="Q14" s="6" t="inlineStr"/>
      <c r="R14" s="6" t="inlineStr"/>
    </row>
    <row r="15">
      <c r="A15" s="5" t="n">
        <v>14</v>
      </c>
      <c r="B15" s="5" t="inlineStr">
        <is>
          <t>10.1126/sciadv.abi6012</t>
        </is>
      </c>
      <c r="C15" s="5" t="inlineStr">
        <is>
          <t>InNi3C0.5/ZnO</t>
        </is>
      </c>
      <c r="D15" s="5" t="inlineStr">
        <is>
          <t>SI Table S2 row InNi3C0.5/ZnO</t>
        </is>
      </c>
      <c r="E15" s="5" t="inlineStr">
        <is>
          <t>CO2 conversion</t>
        </is>
      </c>
      <c r="F15" s="5" t="n">
        <v>7.8</v>
      </c>
      <c r="G15" s="5" t="inlineStr">
        <is>
          <t>%</t>
        </is>
      </c>
      <c r="H15" s="5" t="inlineStr">
        <is>
          <t>SI Table S2</t>
        </is>
      </c>
      <c r="I15" s="5" t="n">
        <v>19</v>
      </c>
      <c r="J15" s="5" t="inlineStr">
        <is>
          <t>SI</t>
        </is>
      </c>
      <c r="K15" s="5" t="inlineStr"/>
      <c r="L15" s="5" t="inlineStr">
        <is>
          <t>pdf/Meng_2021_Oxygen-deficient metal oxides supported nano-intermetallic InNi 3 C 05 toward ef.pdf</t>
        </is>
      </c>
      <c r="M15" s="5" t="inlineStr">
        <is>
          <t>si/10_1126_sciadv_abi6012__si1.pdf</t>
        </is>
      </c>
      <c r="N15" s="6" t="inlineStr"/>
      <c r="O15" s="6" t="inlineStr"/>
      <c r="P15" s="6" t="inlineStr"/>
      <c r="Q15" s="6" t="inlineStr"/>
      <c r="R15" s="6" t="inlineStr"/>
    </row>
    <row r="16">
      <c r="A16" s="5" t="n">
        <v>15</v>
      </c>
      <c r="B16" s="5" t="inlineStr">
        <is>
          <t>10.1126/sciadv.abi6012</t>
        </is>
      </c>
      <c r="C16" s="5" t="inlineStr">
        <is>
          <t>InNi3C0.5/TiO2</t>
        </is>
      </c>
      <c r="D16" s="5" t="inlineStr">
        <is>
          <t>SI Table S2 row InNi3C0.5/TiO2</t>
        </is>
      </c>
      <c r="E16" s="5" t="inlineStr">
        <is>
          <t>CH3OH selectivity</t>
        </is>
      </c>
      <c r="F16" s="5" t="n">
        <v>66.3</v>
      </c>
      <c r="G16" s="5" t="inlineStr">
        <is>
          <t>%</t>
        </is>
      </c>
      <c r="H16" s="5" t="inlineStr">
        <is>
          <t>SI Table S2</t>
        </is>
      </c>
      <c r="I16" s="5" t="n">
        <v>19</v>
      </c>
      <c r="J16" s="5" t="inlineStr">
        <is>
          <t>SI</t>
        </is>
      </c>
      <c r="K16" s="5" t="inlineStr"/>
      <c r="L16" s="5" t="inlineStr">
        <is>
          <t>pdf/Meng_2021_Oxygen-deficient metal oxides supported nano-intermetallic InNi 3 C 05 toward ef.pdf</t>
        </is>
      </c>
      <c r="M16" s="5" t="inlineStr">
        <is>
          <t>si/10_1126_sciadv_abi6012__si1.pdf</t>
        </is>
      </c>
      <c r="N16" s="6" t="inlineStr"/>
      <c r="O16" s="6" t="inlineStr"/>
      <c r="P16" s="6" t="inlineStr"/>
      <c r="Q16" s="6" t="inlineStr"/>
      <c r="R16" s="6" t="inlineStr"/>
    </row>
    <row r="17">
      <c r="A17" s="5" t="n">
        <v>16</v>
      </c>
      <c r="B17" s="5" t="inlineStr">
        <is>
          <t>10.1126/sciadv.abi6012</t>
        </is>
      </c>
      <c r="C17" s="5" t="inlineStr">
        <is>
          <t>m-ZrO2</t>
        </is>
      </c>
      <c r="D17" s="5" t="inlineStr">
        <is>
          <t>SI Table S2 row m-ZrO2</t>
        </is>
      </c>
      <c r="E17" s="5" t="inlineStr">
        <is>
          <t>space velocity</t>
        </is>
      </c>
      <c r="F17" s="5" t="inlineStr">
        <is>
          <t>12000 mL gcat−1 h−1</t>
        </is>
      </c>
      <c r="G17" s="5" t="inlineStr">
        <is>
          <t>as printed</t>
        </is>
      </c>
      <c r="H17" s="5" t="inlineStr">
        <is>
          <t>SI Table S2</t>
        </is>
      </c>
      <c r="I17" s="5" t="n">
        <v>19</v>
      </c>
      <c r="J17" s="5" t="inlineStr">
        <is>
          <t>SI</t>
        </is>
      </c>
      <c r="K17" s="5" t="inlineStr">
        <is>
          <t>cat_mass_g&lt;-figures</t>
        </is>
      </c>
      <c r="L17" s="5" t="inlineStr">
        <is>
          <t>pdf/Meng_2021_Oxygen-deficient metal oxides supported nano-intermetallic InNi 3 C 05 toward ef.pdf</t>
        </is>
      </c>
      <c r="M17" s="5" t="inlineStr">
        <is>
          <t>si/10_1126_sciadv_abi6012__si1.pdf</t>
        </is>
      </c>
      <c r="N17" s="6" t="inlineStr"/>
      <c r="O17" s="6" t="inlineStr"/>
      <c r="P17" s="6" t="inlineStr"/>
      <c r="Q17" s="6" t="inlineStr"/>
      <c r="R17" s="6" t="inlineStr"/>
    </row>
    <row r="18">
      <c r="A18" s="5" t="n">
        <v>17</v>
      </c>
      <c r="B18" s="5" t="inlineStr">
        <is>
          <t>10.1126/sciadv.abi6012</t>
        </is>
      </c>
      <c r="C18" s="5" t="inlineStr">
        <is>
          <t>InNi3C0.5/a-ZrO2</t>
        </is>
      </c>
      <c r="D18" s="5" t="inlineStr">
        <is>
          <t>Fig. 2A, InNi3C0.5/a-ZrO2, 12000 ml gcat-1 hour-1</t>
        </is>
      </c>
      <c r="E18" s="5" t="inlineStr">
        <is>
          <t>CH4 selectivity</t>
        </is>
      </c>
      <c r="F18" s="5" t="n">
        <v>0.4</v>
      </c>
      <c r="G18" s="5" t="inlineStr">
        <is>
          <t>%</t>
        </is>
      </c>
      <c r="H18" s="5" t="inlineStr">
        <is>
          <t>Fig. 2A</t>
        </is>
      </c>
      <c r="I18" s="5" t="n">
        <v>3</v>
      </c>
      <c r="J18" s="5" t="inlineStr">
        <is>
          <t>SI</t>
        </is>
      </c>
      <c r="K18" s="5" t="inlineStr">
        <is>
          <t>X_CO2&lt;-si;S_MeOH&lt;-si;S_CO&lt;-si;S_CH4&lt;-si;GHSV&lt;-si;H2_CO2&lt;-si</t>
        </is>
      </c>
      <c r="L18" s="5" t="inlineStr">
        <is>
          <t>pdf/Meng_2021_Oxygen-deficient metal oxides supported nano-intermetallic InNi 3 C 05 toward ef.pdf</t>
        </is>
      </c>
      <c r="M18" s="5" t="inlineStr">
        <is>
          <t>si/10_1126_sciadv_abi6012__si1.pdf</t>
        </is>
      </c>
      <c r="N18" s="6" t="inlineStr"/>
      <c r="O18" s="6" t="inlineStr"/>
      <c r="P18" s="6" t="inlineStr"/>
      <c r="Q18" s="6" t="inlineStr"/>
      <c r="R18" s="6" t="inlineStr"/>
    </row>
    <row r="19">
      <c r="A19" s="5" t="n">
        <v>18</v>
      </c>
      <c r="B19" s="5" t="inlineStr">
        <is>
          <t>10.1126/sciadv.abi6012</t>
        </is>
      </c>
      <c r="C19" s="5" t="inlineStr">
        <is>
          <t>InNi3C0.5/m-ZrO2</t>
        </is>
      </c>
      <c r="D19" s="5" t="inlineStr">
        <is>
          <t>Fig. 2A, InNi3C0.5/m-ZrO2, 12000 ml gcat-1 hour-1</t>
        </is>
      </c>
      <c r="E19" s="5" t="inlineStr">
        <is>
          <t>H2/CO2</t>
        </is>
      </c>
      <c r="F19" s="5" t="n">
        <v>3</v>
      </c>
      <c r="G19" s="5" t="inlineStr">
        <is>
          <t>mol/mol</t>
        </is>
      </c>
      <c r="H19" s="5" t="inlineStr">
        <is>
          <t>Fig. 2A and Results text</t>
        </is>
      </c>
      <c r="I19" s="5" t="n">
        <v>3</v>
      </c>
      <c r="J19" s="5" t="n"/>
      <c r="K19" s="5" t="inlineStr">
        <is>
          <t>S_CO&lt;-si;S_CH4&lt;-si</t>
        </is>
      </c>
      <c r="L19" s="5" t="inlineStr">
        <is>
          <t>pdf/Meng_2021_Oxygen-deficient metal oxides supported nano-intermetallic InNi 3 C 05 toward ef.pdf</t>
        </is>
      </c>
      <c r="M19" s="5" t="inlineStr">
        <is>
          <t>si/10_1126_sciadv_abi6012__si1.pdf</t>
        </is>
      </c>
      <c r="N19" s="6" t="inlineStr"/>
      <c r="O19" s="6" t="inlineStr"/>
      <c r="P19" s="6" t="inlineStr"/>
      <c r="Q19" s="6" t="inlineStr"/>
      <c r="R19" s="6" t="inlineStr"/>
    </row>
    <row r="20">
      <c r="A20" s="5" t="n">
        <v>19</v>
      </c>
      <c r="B20" s="5" t="inlineStr">
        <is>
          <t>10.1126/sciadv.abi6012</t>
        </is>
      </c>
      <c r="C20" s="5" t="inlineStr">
        <is>
          <t>m-ZrO2</t>
        </is>
      </c>
      <c r="D20" s="5" t="inlineStr">
        <is>
          <t>SI Table S2 row m-ZrO2</t>
        </is>
      </c>
      <c r="E20" s="5" t="inlineStr">
        <is>
          <t>temperature</t>
        </is>
      </c>
      <c r="F20" s="5" t="n">
        <v>300</v>
      </c>
      <c r="G20" s="5" t="inlineStr">
        <is>
          <t>°C (from K)</t>
        </is>
      </c>
      <c r="H20" s="5" t="inlineStr">
        <is>
          <t>SI Table S2</t>
        </is>
      </c>
      <c r="I20" s="5" t="n">
        <v>19</v>
      </c>
      <c r="J20" s="5" t="n"/>
      <c r="K20" s="5" t="inlineStr">
        <is>
          <t>cat_mass_g&lt;-figures</t>
        </is>
      </c>
      <c r="L20" s="5" t="inlineStr">
        <is>
          <t>pdf/Meng_2021_Oxygen-deficient metal oxides supported nano-intermetallic InNi 3 C 05 toward ef.pdf</t>
        </is>
      </c>
      <c r="M20" s="5" t="inlineStr">
        <is>
          <t>si/10_1126_sciadv_abi6012__si1.pdf</t>
        </is>
      </c>
      <c r="N20" s="6" t="inlineStr"/>
      <c r="O20" s="6" t="inlineStr"/>
      <c r="P20" s="6" t="inlineStr"/>
      <c r="Q20" s="6" t="inlineStr"/>
      <c r="R20" s="6" t="inlineStr"/>
    </row>
    <row r="21">
      <c r="A21" s="5" t="n">
        <v>20</v>
      </c>
      <c r="B21" s="5" t="inlineStr">
        <is>
          <t>10.1126/sciadv.abi6012</t>
        </is>
      </c>
      <c r="C21" s="5" t="inlineStr">
        <is>
          <t>InNi3C0.5/Fe3O4</t>
        </is>
      </c>
      <c r="D21" s="5" t="inlineStr">
        <is>
          <t>Text/Table S7, InNi3C0.5/Fe3O4, 325C, 4.0 MPa, H2/CO2 8:1, GHSV 30000</t>
        </is>
      </c>
      <c r="E21" s="5" t="inlineStr">
        <is>
          <t>pressure</t>
        </is>
      </c>
      <c r="F21" s="5" t="n">
        <v>40</v>
      </c>
      <c r="G21" s="5" t="inlineStr">
        <is>
          <t>bar</t>
        </is>
      </c>
      <c r="H21" s="5" t="inlineStr">
        <is>
          <t>Results text, Tailoring more advanced InNi3C0.5 catalyst</t>
        </is>
      </c>
      <c r="I21" s="5" t="n">
        <v>6</v>
      </c>
      <c r="J21" s="5" t="n"/>
      <c r="K21" s="5" t="inlineStr">
        <is>
          <t>S_CO&lt;-si;STY&lt;-si</t>
        </is>
      </c>
      <c r="L21" s="5" t="inlineStr">
        <is>
          <t>pdf/Meng_2021_Oxygen-deficient metal oxides supported nano-intermetallic InNi 3 C 05 toward ef.pdf</t>
        </is>
      </c>
      <c r="M21" s="5" t="inlineStr">
        <is>
          <t>si/10_1126_sciadv_abi6012__si1.pdf</t>
        </is>
      </c>
      <c r="N21" s="6" t="inlineStr"/>
      <c r="O21" s="6" t="inlineStr"/>
      <c r="P21" s="6" t="inlineStr"/>
      <c r="Q21" s="6" t="inlineStr"/>
      <c r="R21" s="6" t="inlineStr"/>
    </row>
    <row r="22">
      <c r="A22" s="5" t="n">
        <v>21</v>
      </c>
      <c r="B22" s="5" t="inlineStr">
        <is>
          <t>10.1039/c2cy20604h</t>
        </is>
      </c>
      <c r="C22" s="5" t="inlineStr">
        <is>
          <t>Cu–Ba/Al2O3</t>
        </is>
      </c>
      <c r="D22" s="5" t="inlineStr">
        <is>
          <t>Text, Cu-Ba/Al2O3, 443 K, 36 MPa</t>
        </is>
      </c>
      <c r="E22" s="5" t="inlineStr">
        <is>
          <t>temperature</t>
        </is>
      </c>
      <c r="F22" s="5" t="n">
        <v>169.85</v>
      </c>
      <c r="G22" s="5" t="inlineStr">
        <is>
          <t>°C (from K)</t>
        </is>
      </c>
      <c r="H22" s="5" t="inlineStr">
        <is>
          <t>Text discussing methyl formate formation</t>
        </is>
      </c>
      <c r="I22" s="5" t="n">
        <v>7</v>
      </c>
      <c r="J22" s="5" t="n"/>
      <c r="K22" s="5" t="inlineStr">
        <is>
          <t>X_CO2&lt;-si;S_MeOH&lt;-si;S_CO&lt;-si;STY&lt;-si</t>
        </is>
      </c>
      <c r="L22" s="5" t="inlineStr">
        <is>
          <t>pdf/Bansode_2013_Impact of K and Ba promoters on CO 2 hydrogenation over CuAl 2 O 3 catalysts at.pdf</t>
        </is>
      </c>
      <c r="M22" s="5" t="inlineStr">
        <is>
          <t>si/10_1039_c2cy20604h__si1.pdf</t>
        </is>
      </c>
      <c r="N22" s="6" t="inlineStr"/>
      <c r="O22" s="6" t="inlineStr"/>
      <c r="P22" s="6" t="inlineStr"/>
      <c r="Q22" s="6" t="inlineStr"/>
      <c r="R22" s="6" t="inlineStr"/>
    </row>
    <row r="23">
      <c r="A23" s="5" t="n">
        <v>22</v>
      </c>
      <c r="B23" s="5" t="inlineStr">
        <is>
          <t>10.1039/c2cy20604h</t>
        </is>
      </c>
      <c r="C23" s="5" t="inlineStr">
        <is>
          <t>Cu–Ba/Al2O3</t>
        </is>
      </c>
      <c r="D23" s="5" t="inlineStr">
        <is>
          <t>SI Table 3, 503 K, 36 MPa</t>
        </is>
      </c>
      <c r="E23" s="5" t="inlineStr">
        <is>
          <t>STY (printed)</t>
        </is>
      </c>
      <c r="F23" s="5" t="inlineStr">
        <is>
          <t>56.5 mg gcat-1 h-1</t>
        </is>
      </c>
      <c r="G23" s="5" t="inlineStr">
        <is>
          <t>as printed</t>
        </is>
      </c>
      <c r="H23" s="5" t="inlineStr">
        <is>
          <t>SI Table 3</t>
        </is>
      </c>
      <c r="I23" s="5" t="n">
        <v>4</v>
      </c>
      <c r="J23" s="5" t="inlineStr">
        <is>
          <t>SI</t>
        </is>
      </c>
      <c r="K23" s="5" t="inlineStr"/>
      <c r="L23" s="5" t="inlineStr">
        <is>
          <t>pdf/Bansode_2013_Impact of K and Ba promoters on CO 2 hydrogenation over CuAl 2 O 3 catalysts at.pdf</t>
        </is>
      </c>
      <c r="M23" s="5" t="inlineStr">
        <is>
          <t>si/10_1039_c2cy20604h__si1.pdf</t>
        </is>
      </c>
      <c r="N23" s="6" t="inlineStr"/>
      <c r="O23" s="6" t="inlineStr"/>
      <c r="P23" s="6" t="inlineStr"/>
      <c r="Q23" s="6" t="inlineStr"/>
      <c r="R23" s="6" t="inlineStr"/>
    </row>
    <row r="24">
      <c r="A24" s="5" t="n">
        <v>23</v>
      </c>
      <c r="B24" s="5" t="inlineStr">
        <is>
          <t>10.1039/c2cy20604h</t>
        </is>
      </c>
      <c r="C24" s="5" t="inlineStr">
        <is>
          <t>Cu–Ba/Al2O3</t>
        </is>
      </c>
      <c r="D24" s="5" t="inlineStr">
        <is>
          <t>SI Table 3, 533 K, 0.4 MPa</t>
        </is>
      </c>
      <c r="E24" s="5" t="inlineStr">
        <is>
          <t>CH3OH selectivity</t>
        </is>
      </c>
      <c r="F24" s="5" t="n">
        <v>4.4</v>
      </c>
      <c r="G24" s="5" t="inlineStr">
        <is>
          <t>%</t>
        </is>
      </c>
      <c r="H24" s="5" t="inlineStr">
        <is>
          <t>SI Table 3</t>
        </is>
      </c>
      <c r="I24" s="5" t="n">
        <v>4</v>
      </c>
      <c r="J24" s="5" t="inlineStr">
        <is>
          <t>SI</t>
        </is>
      </c>
      <c r="K24" s="5" t="inlineStr"/>
      <c r="L24" s="5" t="inlineStr">
        <is>
          <t>pdf/Bansode_2013_Impact of K and Ba promoters on CO 2 hydrogenation over CuAl 2 O 3 catalysts at.pdf</t>
        </is>
      </c>
      <c r="M24" s="5" t="inlineStr">
        <is>
          <t>si/10_1039_c2cy20604h__si1.pdf</t>
        </is>
      </c>
      <c r="N24" s="6" t="inlineStr"/>
      <c r="O24" s="6" t="inlineStr"/>
      <c r="P24" s="6" t="inlineStr"/>
      <c r="Q24" s="6" t="inlineStr"/>
      <c r="R24" s="6" t="inlineStr"/>
    </row>
    <row r="25">
      <c r="A25" s="5" t="n">
        <v>24</v>
      </c>
      <c r="B25" s="5" t="inlineStr">
        <is>
          <t>10.1039/c2cy20604h</t>
        </is>
      </c>
      <c r="C25" s="5" t="inlineStr">
        <is>
          <t>Cu/Al2O3</t>
        </is>
      </c>
      <c r="D25" s="5" t="inlineStr">
        <is>
          <t>Fig 5/Fig 6, Cu/Al2O3, 443 K, 10 MPa</t>
        </is>
      </c>
      <c r="E25" s="5" t="inlineStr">
        <is>
          <t>CH3OH selectivity</t>
        </is>
      </c>
      <c r="F25" s="5" t="n">
        <v>80</v>
      </c>
      <c r="G25" s="5" t="inlineStr">
        <is>
          <t>%</t>
        </is>
      </c>
      <c r="H25" s="5" t="inlineStr">
        <is>
          <t>Figure 5 and text on page 7</t>
        </is>
      </c>
      <c r="I25" s="5" t="n">
        <v>6</v>
      </c>
      <c r="J25" s="5" t="inlineStr">
        <is>
          <t>mixed</t>
        </is>
      </c>
      <c r="K25" s="5" t="inlineStr">
        <is>
          <t>X_CO2&lt;-si;S_CO&lt;-si;STY&lt;-si;GHSV&lt;-figures</t>
        </is>
      </c>
      <c r="L25" s="5" t="inlineStr">
        <is>
          <t>pdf/Bansode_2013_Impact of K and Ba promoters on CO 2 hydrogenation over CuAl 2 O 3 catalysts at.pdf</t>
        </is>
      </c>
      <c r="M25" s="5" t="inlineStr">
        <is>
          <t>si/10_1039_c2cy20604h__si1.pdf</t>
        </is>
      </c>
      <c r="N25" s="6" t="inlineStr"/>
      <c r="O25" s="6" t="inlineStr"/>
      <c r="P25" s="6" t="inlineStr"/>
      <c r="Q25" s="6" t="inlineStr"/>
      <c r="R25" s="6" t="inlineStr"/>
    </row>
    <row r="26">
      <c r="A26" s="5" t="n">
        <v>25</v>
      </c>
      <c r="B26" s="5" t="inlineStr">
        <is>
          <t>10.1039/c2cy20604h</t>
        </is>
      </c>
      <c r="C26" s="5" t="inlineStr">
        <is>
          <t>Cu–K/Al2O3</t>
        </is>
      </c>
      <c r="D26" s="5" t="inlineStr">
        <is>
          <t>Fig 7, Cu-K/Al2O3, 533 K, 36 MPa</t>
        </is>
      </c>
      <c r="E26" s="5" t="inlineStr">
        <is>
          <t>STY (printed)</t>
        </is>
      </c>
      <c r="F26" s="5" t="inlineStr">
        <is>
          <t>10.6 mg gcat-1 h-1</t>
        </is>
      </c>
      <c r="G26" s="5" t="inlineStr">
        <is>
          <t>as printed</t>
        </is>
      </c>
      <c r="H26" s="5" t="inlineStr">
        <is>
          <t>Figure 7</t>
        </is>
      </c>
      <c r="I26" s="5" t="n">
        <v>7</v>
      </c>
      <c r="J26" s="5" t="inlineStr">
        <is>
          <t>SI</t>
        </is>
      </c>
      <c r="K26" s="5" t="inlineStr">
        <is>
          <t>X_CO2&lt;-si;S_MeOH&lt;-si;S_CO&lt;-si;STY&lt;-si;H2_CO2&lt;-si;GHSV&lt;-figures</t>
        </is>
      </c>
      <c r="L26" s="5" t="inlineStr">
        <is>
          <t>pdf/Bansode_2013_Impact of K and Ba promoters on CO 2 hydrogenation over CuAl 2 O 3 catalysts at.pdf</t>
        </is>
      </c>
      <c r="M26" s="5" t="inlineStr">
        <is>
          <t>si/10_1039_c2cy20604h__si1.pdf</t>
        </is>
      </c>
      <c r="N26" s="6" t="inlineStr"/>
      <c r="O26" s="6" t="inlineStr"/>
      <c r="P26" s="6" t="inlineStr"/>
      <c r="Q26" s="6" t="inlineStr"/>
      <c r="R26" s="6" t="inlineStr"/>
    </row>
    <row r="27">
      <c r="A27" s="5" t="n">
        <v>26</v>
      </c>
      <c r="B27" s="5" t="inlineStr">
        <is>
          <t>10.1039/c2cy20604h</t>
        </is>
      </c>
      <c r="C27" s="5" t="inlineStr">
        <is>
          <t>Cu–Ba/Al2O3</t>
        </is>
      </c>
      <c r="D27" s="5" t="inlineStr">
        <is>
          <t>SI Table 3, 553 K, 0.4 MPa</t>
        </is>
      </c>
      <c r="E27" s="5" t="inlineStr">
        <is>
          <t>CO selectivity</t>
        </is>
      </c>
      <c r="F27" s="5" t="n">
        <v>98.09999999999999</v>
      </c>
      <c r="G27" s="5" t="inlineStr">
        <is>
          <t>%</t>
        </is>
      </c>
      <c r="H27" s="5" t="inlineStr">
        <is>
          <t>SI Table 3</t>
        </is>
      </c>
      <c r="I27" s="5" t="n">
        <v>4</v>
      </c>
      <c r="J27" s="5" t="inlineStr">
        <is>
          <t>SI</t>
        </is>
      </c>
      <c r="K27" s="5" t="inlineStr"/>
      <c r="L27" s="5" t="inlineStr">
        <is>
          <t>pdf/Bansode_2013_Impact of K and Ba promoters on CO 2 hydrogenation over CuAl 2 O 3 catalysts at.pdf</t>
        </is>
      </c>
      <c r="M27" s="5" t="inlineStr">
        <is>
          <t>si/10_1039_c2cy20604h__si1.pdf</t>
        </is>
      </c>
      <c r="N27" s="6" t="inlineStr"/>
      <c r="O27" s="6" t="inlineStr"/>
      <c r="P27" s="6" t="inlineStr"/>
      <c r="Q27" s="6" t="inlineStr"/>
      <c r="R27" s="6" t="inlineStr"/>
    </row>
    <row r="28">
      <c r="A28" s="5" t="n">
        <v>27</v>
      </c>
      <c r="B28" s="5" t="inlineStr">
        <is>
          <t>10.1039/c2cy20604h</t>
        </is>
      </c>
      <c r="C28" s="5" t="inlineStr">
        <is>
          <t>Cu–Ba/Al2O3</t>
        </is>
      </c>
      <c r="D28" s="5" t="inlineStr">
        <is>
          <t>SI Table 3, 443 K, 0.4 MPa</t>
        </is>
      </c>
      <c r="E28" s="5" t="inlineStr">
        <is>
          <t>CO selectivity</t>
        </is>
      </c>
      <c r="F28" s="5" t="n">
        <v>72.5</v>
      </c>
      <c r="G28" s="5" t="inlineStr">
        <is>
          <t>%</t>
        </is>
      </c>
      <c r="H28" s="5" t="inlineStr">
        <is>
          <t>SI Table 3</t>
        </is>
      </c>
      <c r="I28" s="5" t="n">
        <v>4</v>
      </c>
      <c r="J28" s="5" t="inlineStr">
        <is>
          <t>SI</t>
        </is>
      </c>
      <c r="K28" s="5" t="inlineStr"/>
      <c r="L28" s="5" t="inlineStr">
        <is>
          <t>pdf/Bansode_2013_Impact of K and Ba promoters on CO 2 hydrogenation over CuAl 2 O 3 catalysts at.pdf</t>
        </is>
      </c>
      <c r="M28" s="5" t="inlineStr">
        <is>
          <t>si/10_1039_c2cy20604h__si1.pdf</t>
        </is>
      </c>
      <c r="N28" s="6" t="inlineStr"/>
      <c r="O28" s="6" t="inlineStr"/>
      <c r="P28" s="6" t="inlineStr"/>
      <c r="Q28" s="6" t="inlineStr"/>
      <c r="R28" s="6" t="inlineStr"/>
    </row>
    <row r="29">
      <c r="A29" s="5" t="n">
        <v>28</v>
      </c>
      <c r="B29" s="5" t="inlineStr">
        <is>
          <t>10.1039/c2cy20604h</t>
        </is>
      </c>
      <c r="C29" s="5" t="inlineStr">
        <is>
          <t>Cu–Ba/Al2O3</t>
        </is>
      </c>
      <c r="D29" s="5" t="inlineStr">
        <is>
          <t>Fig 8, Cu-Ba/Al2O3, 473 K, 10 MPa</t>
        </is>
      </c>
      <c r="E29" s="5" t="inlineStr">
        <is>
          <t>temperature</t>
        </is>
      </c>
      <c r="F29" s="5" t="n">
        <v>199.85</v>
      </c>
      <c r="G29" s="5" t="inlineStr">
        <is>
          <t>°C (from K)</t>
        </is>
      </c>
      <c r="H29" s="5" t="inlineStr">
        <is>
          <t>Figure 8 and abstract</t>
        </is>
      </c>
      <c r="I29" s="5" t="n">
        <v>7</v>
      </c>
      <c r="J29" s="5" t="n"/>
      <c r="K29" s="5" t="inlineStr">
        <is>
          <t>X_CO2&lt;-si;S_CO&lt;-si;STY&lt;-si;GHSV&lt;-figures</t>
        </is>
      </c>
      <c r="L29" s="5" t="inlineStr">
        <is>
          <t>pdf/Bansode_2013_Impact of K and Ba promoters on CO 2 hydrogenation over CuAl 2 O 3 catalysts at.pdf</t>
        </is>
      </c>
      <c r="M29" s="5" t="inlineStr">
        <is>
          <t>si/10_1039_c2cy20604h__si1.pdf</t>
        </is>
      </c>
      <c r="N29" s="6" t="inlineStr"/>
      <c r="O29" s="6" t="inlineStr"/>
      <c r="P29" s="6" t="inlineStr"/>
      <c r="Q29" s="6" t="inlineStr"/>
      <c r="R29" s="6" t="inlineStr"/>
    </row>
    <row r="30">
      <c r="A30" s="5" t="n">
        <v>29</v>
      </c>
      <c r="B30" s="5" t="inlineStr">
        <is>
          <t>10.1039/c2cy20604h</t>
        </is>
      </c>
      <c r="C30" s="5" t="inlineStr">
        <is>
          <t>Cu–K/Al2O3</t>
        </is>
      </c>
      <c r="D30" s="5" t="inlineStr">
        <is>
          <t>Fig 7/Fig 8, Cu-K/Al2O3, 473 K, 36 MPa</t>
        </is>
      </c>
      <c r="E30" s="5" t="inlineStr">
        <is>
          <t>CO2 conversion</t>
        </is>
      </c>
      <c r="F30" s="5" t="n">
        <v>8.9</v>
      </c>
      <c r="G30" s="5" t="inlineStr">
        <is>
          <t>%</t>
        </is>
      </c>
      <c r="H30" s="5" t="inlineStr">
        <is>
          <t>Figure 7 and Figure 8</t>
        </is>
      </c>
      <c r="I30" s="5" t="n">
        <v>7</v>
      </c>
      <c r="J30" s="5" t="inlineStr">
        <is>
          <t>SI</t>
        </is>
      </c>
      <c r="K30" s="5" t="inlineStr">
        <is>
          <t>X_CO2&lt;-si;S_MeOH&lt;-si;S_CO&lt;-si;STY&lt;-si;H2_CO2&lt;-si;GHSV&lt;-figures</t>
        </is>
      </c>
      <c r="L30" s="5" t="inlineStr">
        <is>
          <t>pdf/Bansode_2013_Impact of K and Ba promoters on CO 2 hydrogenation over CuAl 2 O 3 catalysts at.pdf</t>
        </is>
      </c>
      <c r="M30" s="5" t="inlineStr">
        <is>
          <t>si/10_1039_c2cy20604h__si1.pdf</t>
        </is>
      </c>
      <c r="N30" s="6" t="inlineStr"/>
      <c r="O30" s="6" t="inlineStr"/>
      <c r="P30" s="6" t="inlineStr"/>
      <c r="Q30" s="6" t="inlineStr"/>
      <c r="R30" s="6" t="inlineStr"/>
    </row>
    <row r="31">
      <c r="A31" s="5" t="n">
        <v>30</v>
      </c>
      <c r="B31" s="5" t="inlineStr">
        <is>
          <t>10.1039/c2cy20604h</t>
        </is>
      </c>
      <c r="C31" s="5" t="inlineStr">
        <is>
          <t>Cu–K/Al2O3</t>
        </is>
      </c>
      <c r="D31" s="5" t="inlineStr">
        <is>
          <t>Fig 7, Cu-K/Al2O3, 533 K, 3 MPa</t>
        </is>
      </c>
      <c r="E31" s="5" t="inlineStr">
        <is>
          <t>CO selectivity</t>
        </is>
      </c>
      <c r="F31" s="5" t="n">
        <v>98.09999999999999</v>
      </c>
      <c r="G31" s="5" t="inlineStr">
        <is>
          <t>%</t>
        </is>
      </c>
      <c r="H31" s="5" t="inlineStr">
        <is>
          <t>Figure 7</t>
        </is>
      </c>
      <c r="I31" s="5" t="n">
        <v>7</v>
      </c>
      <c r="J31" s="5" t="inlineStr">
        <is>
          <t>SI</t>
        </is>
      </c>
      <c r="K31" s="5" t="inlineStr">
        <is>
          <t>X_CO2&lt;-si;S_MeOH&lt;-si;S_CO&lt;-si;STY&lt;-si;H2_CO2&lt;-si;GHSV&lt;-figures</t>
        </is>
      </c>
      <c r="L31" s="5" t="inlineStr">
        <is>
          <t>pdf/Bansode_2013_Impact of K and Ba promoters on CO 2 hydrogenation over CuAl 2 O 3 catalysts at.pdf</t>
        </is>
      </c>
      <c r="M31" s="5" t="inlineStr">
        <is>
          <t>si/10_1039_c2cy20604h__si1.pdf</t>
        </is>
      </c>
      <c r="N31" s="6" t="inlineStr"/>
      <c r="O31" s="6" t="inlineStr"/>
      <c r="P31" s="6" t="inlineStr"/>
      <c r="Q31" s="6" t="inlineStr"/>
      <c r="R31" s="6" t="inlineStr"/>
    </row>
    <row r="32">
      <c r="A32" s="5" t="n">
        <v>31</v>
      </c>
      <c r="B32" s="5" t="inlineStr">
        <is>
          <t>10.1038/s41467-019-11349-9</t>
        </is>
      </c>
      <c r="C32" s="5" t="inlineStr">
        <is>
          <t>Pd–In2O3 CP</t>
        </is>
      </c>
      <c r="D32" s="5" t="inlineStr">
        <is>
          <t>Table 2 Pd–In2O3 CP, WHSV 48,000 initial</t>
        </is>
      </c>
      <c r="E32" s="5" t="inlineStr">
        <is>
          <t>pressure</t>
        </is>
      </c>
      <c r="F32" s="5" t="n">
        <v>50</v>
      </c>
      <c r="G32" s="5" t="inlineStr">
        <is>
          <t>bar</t>
        </is>
      </c>
      <c r="H32" s="5" t="inlineStr">
        <is>
          <t>Table 2</t>
        </is>
      </c>
      <c r="I32" s="5" t="n">
        <v>9</v>
      </c>
      <c r="J32" s="5" t="n"/>
      <c r="K32" s="5" t="inlineStr"/>
      <c r="L32" s="5" t="inlineStr">
        <is>
          <t>pdf/Frei_2019_Atomic-scale engineering of indium oxide promotion by palladium for methanol pro.pdf</t>
        </is>
      </c>
      <c r="M32" s="5" t="inlineStr">
        <is>
          <t>si/10_1038_s41467_019_11349_9__si1.pdf; si/10_1038_s41467_019_11349_9__si2.pdf</t>
        </is>
      </c>
      <c r="N32" s="6" t="inlineStr"/>
      <c r="O32" s="6" t="inlineStr"/>
      <c r="P32" s="6" t="inlineStr"/>
      <c r="Q32" s="6" t="inlineStr"/>
      <c r="R32" s="6" t="inlineStr"/>
    </row>
    <row r="33">
      <c r="A33" s="5" t="n">
        <v>32</v>
      </c>
      <c r="B33" s="5" t="inlineStr">
        <is>
          <t>10.1038/s41467-019-11349-9</t>
        </is>
      </c>
      <c r="C33" s="5" t="inlineStr">
        <is>
          <t>CP</t>
        </is>
      </c>
      <c r="D33" s="5" t="inlineStr">
        <is>
          <t>Fig. 6/text Pd–In2O3 CP stability, start</t>
        </is>
      </c>
      <c r="E33" s="5" t="inlineStr">
        <is>
          <t>CH3OH selectivity</t>
        </is>
      </c>
      <c r="F33" s="5" t="n">
        <v>75</v>
      </c>
      <c r="G33" s="5" t="inlineStr">
        <is>
          <t>%</t>
        </is>
      </c>
      <c r="H33" s="5" t="inlineStr">
        <is>
          <t>Fig. 6 and Results text</t>
        </is>
      </c>
      <c r="I33" s="5" t="n">
        <v>8</v>
      </c>
      <c r="J33" s="5" t="inlineStr">
        <is>
          <t>mixed</t>
        </is>
      </c>
      <c r="K33" s="5" t="inlineStr"/>
      <c r="L33" s="5" t="inlineStr">
        <is>
          <t>pdf/Frei_2019_Atomic-scale engineering of indium oxide promotion by palladium for methanol pro.pdf</t>
        </is>
      </c>
      <c r="M33" s="5" t="inlineStr">
        <is>
          <t>si/10_1038_s41467_019_11349_9__si1.pdf; si/10_1038_s41467_019_11349_9__si2.pdf</t>
        </is>
      </c>
      <c r="N33" s="6" t="inlineStr"/>
      <c r="O33" s="6" t="inlineStr"/>
      <c r="P33" s="6" t="inlineStr"/>
      <c r="Q33" s="6" t="inlineStr"/>
      <c r="R33" s="6" t="inlineStr"/>
    </row>
    <row r="34">
      <c r="A34" s="5" t="n">
        <v>33</v>
      </c>
      <c r="B34" s="5" t="inlineStr">
        <is>
          <t>10.1038/s41467-019-11349-9</t>
        </is>
      </c>
      <c r="C34" s="5" t="inlineStr">
        <is>
          <t>Pd–In2O3 CP</t>
        </is>
      </c>
      <c r="D34" s="5" t="inlineStr">
        <is>
          <t>Table 2 Pd–In2O3 CP, WHSV 48,000 initial</t>
        </is>
      </c>
      <c r="E34" s="5" t="inlineStr">
        <is>
          <t>temperature</t>
        </is>
      </c>
      <c r="F34" s="5" t="n">
        <v>279.85</v>
      </c>
      <c r="G34" s="5" t="inlineStr">
        <is>
          <t>°C (from K)</t>
        </is>
      </c>
      <c r="H34" s="5" t="inlineStr">
        <is>
          <t>Table 2</t>
        </is>
      </c>
      <c r="I34" s="5" t="n">
        <v>9</v>
      </c>
      <c r="J34" s="5" t="n"/>
      <c r="K34" s="5" t="inlineStr"/>
      <c r="L34" s="5" t="inlineStr">
        <is>
          <t>pdf/Frei_2019_Atomic-scale engineering of indium oxide promotion by palladium for methanol pro.pdf</t>
        </is>
      </c>
      <c r="M34" s="5" t="inlineStr">
        <is>
          <t>si/10_1038_s41467_019_11349_9__si1.pdf; si/10_1038_s41467_019_11349_9__si2.pdf</t>
        </is>
      </c>
      <c r="N34" s="6" t="inlineStr"/>
      <c r="O34" s="6" t="inlineStr"/>
      <c r="P34" s="6" t="inlineStr"/>
      <c r="Q34" s="6" t="inlineStr"/>
      <c r="R34" s="6" t="inlineStr"/>
    </row>
    <row r="35">
      <c r="A35" s="5" t="n">
        <v>34</v>
      </c>
      <c r="B35" s="5" t="inlineStr">
        <is>
          <t>10.1038/s41467-019-11349-9</t>
        </is>
      </c>
      <c r="C35" s="5" t="inlineStr">
        <is>
          <t>CP</t>
        </is>
      </c>
      <c r="D35" s="5" t="inlineStr">
        <is>
          <t>Fig. 6/text Pd–In2O3 CP stability, after 500 h</t>
        </is>
      </c>
      <c r="E35" s="5" t="inlineStr">
        <is>
          <t>temperature</t>
        </is>
      </c>
      <c r="F35" s="5" t="n">
        <v>279.85</v>
      </c>
      <c r="G35" s="5" t="inlineStr">
        <is>
          <t>°C (from K)</t>
        </is>
      </c>
      <c r="H35" s="5" t="inlineStr">
        <is>
          <t>Fig. 6 and Results text</t>
        </is>
      </c>
      <c r="I35" s="5" t="n">
        <v>8</v>
      </c>
      <c r="J35" s="5" t="n"/>
      <c r="K35" s="5" t="inlineStr"/>
      <c r="L35" s="5" t="inlineStr">
        <is>
          <t>pdf/Frei_2019_Atomic-scale engineering of indium oxide promotion by palladium for methanol pro.pdf</t>
        </is>
      </c>
      <c r="M35" s="5" t="inlineStr">
        <is>
          <t>si/10_1038_s41467_019_11349_9__si1.pdf; si/10_1038_s41467_019_11349_9__si2.pdf</t>
        </is>
      </c>
      <c r="N35" s="6" t="inlineStr"/>
      <c r="O35" s="6" t="inlineStr"/>
      <c r="P35" s="6" t="inlineStr"/>
      <c r="Q35" s="6" t="inlineStr"/>
      <c r="R35" s="6" t="inlineStr"/>
    </row>
    <row r="36">
      <c r="A36" s="5" t="n">
        <v>35</v>
      </c>
      <c r="B36" s="5" t="inlineStr">
        <is>
          <t>10.1038/s41467-019-11349-9</t>
        </is>
      </c>
      <c r="C36" s="5" t="inlineStr">
        <is>
          <t>CP</t>
        </is>
      </c>
      <c r="D36" s="5" t="inlineStr">
        <is>
          <t>Fig. 6/text Pd–In2O3 CP stability, start</t>
        </is>
      </c>
      <c r="E36" s="5" t="inlineStr">
        <is>
          <t>CO2 conversion</t>
        </is>
      </c>
      <c r="F36" s="5" t="n">
        <v>9.699999999999999</v>
      </c>
      <c r="G36" s="5" t="inlineStr">
        <is>
          <t>%</t>
        </is>
      </c>
      <c r="H36" s="5" t="inlineStr">
        <is>
          <t>Fig. 6 and Results text</t>
        </is>
      </c>
      <c r="I36" s="5" t="n">
        <v>8</v>
      </c>
      <c r="J36" s="5" t="inlineStr">
        <is>
          <t>mixed</t>
        </is>
      </c>
      <c r="K36" s="5" t="inlineStr"/>
      <c r="L36" s="5" t="inlineStr">
        <is>
          <t>pdf/Frei_2019_Atomic-scale engineering of indium oxide promotion by palladium for methanol pro.pdf</t>
        </is>
      </c>
      <c r="M36" s="5" t="inlineStr">
        <is>
          <t>si/10_1038_s41467_019_11349_9__si1.pdf; si/10_1038_s41467_019_11349_9__si2.pdf</t>
        </is>
      </c>
      <c r="N36" s="6" t="inlineStr"/>
      <c r="O36" s="6" t="inlineStr"/>
      <c r="P36" s="6" t="inlineStr"/>
      <c r="Q36" s="6" t="inlineStr"/>
      <c r="R36" s="6" t="inlineStr"/>
    </row>
    <row r="37">
      <c r="A37" s="5" t="n">
        <v>36</v>
      </c>
      <c r="B37" s="5" t="inlineStr">
        <is>
          <t>10.1038/s41467-019-11349-9</t>
        </is>
      </c>
      <c r="C37" s="5" t="inlineStr">
        <is>
          <t>CP</t>
        </is>
      </c>
      <c r="D37" s="5" t="inlineStr">
        <is>
          <t>Fig. 6/text Pd–In2O3 CP stability, start</t>
        </is>
      </c>
      <c r="E37" s="5" t="inlineStr">
        <is>
          <t>H2/CO2</t>
        </is>
      </c>
      <c r="F37" s="5" t="n">
        <v>4</v>
      </c>
      <c r="G37" s="5" t="inlineStr">
        <is>
          <t>mol/mol</t>
        </is>
      </c>
      <c r="H37" s="5" t="inlineStr">
        <is>
          <t>Fig. 6 and Results text</t>
        </is>
      </c>
      <c r="I37" s="5" t="n">
        <v>8</v>
      </c>
      <c r="J37" s="5" t="n"/>
      <c r="K37" s="5" t="inlineStr"/>
      <c r="L37" s="5" t="inlineStr">
        <is>
          <t>pdf/Frei_2019_Atomic-scale engineering of indium oxide promotion by palladium for methanol pro.pdf</t>
        </is>
      </c>
      <c r="M37" s="5" t="inlineStr">
        <is>
          <t>si/10_1038_s41467_019_11349_9__si1.pdf; si/10_1038_s41467_019_11349_9__si2.pdf</t>
        </is>
      </c>
      <c r="N37" s="6" t="inlineStr"/>
      <c r="O37" s="6" t="inlineStr"/>
      <c r="P37" s="6" t="inlineStr"/>
      <c r="Q37" s="6" t="inlineStr"/>
      <c r="R37" s="6" t="inlineStr"/>
    </row>
    <row r="38">
      <c r="A38" s="5" t="n">
        <v>37</v>
      </c>
      <c r="B38" s="5" t="inlineStr">
        <is>
          <t>10.1038/s41467-019-11349-9</t>
        </is>
      </c>
      <c r="C38" s="5" t="inlineStr">
        <is>
          <t>CP</t>
        </is>
      </c>
      <c r="D38" s="5" t="inlineStr">
        <is>
          <t>Fig. 6/text Pd–In2O3 CP stability, after 500 h</t>
        </is>
      </c>
      <c r="E38" s="5" t="inlineStr">
        <is>
          <t>CO2 conversion</t>
        </is>
      </c>
      <c r="F38" s="5" t="n">
        <v>9.199999999999999</v>
      </c>
      <c r="G38" s="5" t="inlineStr">
        <is>
          <t>%</t>
        </is>
      </c>
      <c r="H38" s="5" t="inlineStr">
        <is>
          <t>Fig. 6 and Results text</t>
        </is>
      </c>
      <c r="I38" s="5" t="n">
        <v>8</v>
      </c>
      <c r="J38" s="5" t="inlineStr">
        <is>
          <t>mixed</t>
        </is>
      </c>
      <c r="K38" s="5" t="inlineStr"/>
      <c r="L38" s="5" t="inlineStr">
        <is>
          <t>pdf/Frei_2019_Atomic-scale engineering of indium oxide promotion by palladium for methanol pro.pdf</t>
        </is>
      </c>
      <c r="M38" s="5" t="inlineStr">
        <is>
          <t>si/10_1038_s41467_019_11349_9__si1.pdf; si/10_1038_s41467_019_11349_9__si2.pdf</t>
        </is>
      </c>
      <c r="N38" s="6" t="inlineStr"/>
      <c r="O38" s="6" t="inlineStr"/>
      <c r="P38" s="6" t="inlineStr"/>
      <c r="Q38" s="6" t="inlineStr"/>
      <c r="R38" s="6" t="inlineStr"/>
    </row>
    <row r="39">
      <c r="A39" s="5" t="n">
        <v>38</v>
      </c>
      <c r="B39" s="5" t="inlineStr">
        <is>
          <t>10.1038/s41467-019-11349-9</t>
        </is>
      </c>
      <c r="C39" s="5" t="inlineStr">
        <is>
          <t>CP</t>
        </is>
      </c>
      <c r="D39" s="5" t="inlineStr">
        <is>
          <t>Fig. 6/text Pd–In2O3 CP stability, start</t>
        </is>
      </c>
      <c r="E39" s="5" t="inlineStr">
        <is>
          <t>temperature</t>
        </is>
      </c>
      <c r="F39" s="5" t="n">
        <v>279.85</v>
      </c>
      <c r="G39" s="5" t="inlineStr">
        <is>
          <t>°C (from K)</t>
        </is>
      </c>
      <c r="H39" s="5" t="inlineStr">
        <is>
          <t>Fig. 6 and Results text</t>
        </is>
      </c>
      <c r="I39" s="5" t="n">
        <v>8</v>
      </c>
      <c r="J39" s="5" t="n"/>
      <c r="K39" s="5" t="inlineStr"/>
      <c r="L39" s="5" t="inlineStr">
        <is>
          <t>pdf/Frei_2019_Atomic-scale engineering of indium oxide promotion by palladium for methanol pro.pdf</t>
        </is>
      </c>
      <c r="M39" s="5" t="inlineStr">
        <is>
          <t>si/10_1038_s41467_019_11349_9__si1.pdf; si/10_1038_s41467_019_11349_9__si2.pdf</t>
        </is>
      </c>
      <c r="N39" s="6" t="inlineStr"/>
      <c r="O39" s="6" t="inlineStr"/>
      <c r="P39" s="6" t="inlineStr"/>
      <c r="Q39" s="6" t="inlineStr"/>
      <c r="R39" s="6" t="inlineStr"/>
    </row>
    <row r="40">
      <c r="A40" s="5" t="n">
        <v>39</v>
      </c>
      <c r="B40" s="5" t="inlineStr">
        <is>
          <t>10.1038/s41467-019-11349-9</t>
        </is>
      </c>
      <c r="C40" s="5" t="inlineStr">
        <is>
          <t>CP</t>
        </is>
      </c>
      <c r="D40" s="5" t="inlineStr">
        <is>
          <t>Fig. 6/text Pd–In2O3 CP stability, start</t>
        </is>
      </c>
      <c r="E40" s="5" t="inlineStr">
        <is>
          <t>pressure</t>
        </is>
      </c>
      <c r="F40" s="5" t="n">
        <v>50</v>
      </c>
      <c r="G40" s="5" t="inlineStr">
        <is>
          <t>bar</t>
        </is>
      </c>
      <c r="H40" s="5" t="inlineStr">
        <is>
          <t>Fig. 6 and Results text</t>
        </is>
      </c>
      <c r="I40" s="5" t="n">
        <v>8</v>
      </c>
      <c r="J40" s="5" t="n"/>
      <c r="K40" s="5" t="inlineStr"/>
      <c r="L40" s="5" t="inlineStr">
        <is>
          <t>pdf/Frei_2019_Atomic-scale engineering of indium oxide promotion by palladium for methanol pro.pdf</t>
        </is>
      </c>
      <c r="M40" s="5" t="inlineStr">
        <is>
          <t>si/10_1038_s41467_019_11349_9__si1.pdf; si/10_1038_s41467_019_11349_9__si2.pdf</t>
        </is>
      </c>
      <c r="N40" s="6" t="inlineStr"/>
      <c r="O40" s="6" t="inlineStr"/>
      <c r="P40" s="6" t="inlineStr"/>
      <c r="Q40" s="6" t="inlineStr"/>
      <c r="R40" s="6" t="inlineStr"/>
    </row>
    <row r="41">
      <c r="A41" s="5" t="n">
        <v>40</v>
      </c>
      <c r="B41" s="5" t="inlineStr">
        <is>
          <t>10.1038/s41467-019-11349-9</t>
        </is>
      </c>
      <c r="C41" s="5" t="inlineStr">
        <is>
          <t>Pd–In2O3 CP</t>
        </is>
      </c>
      <c r="D41" s="5" t="inlineStr">
        <is>
          <t>Table 2 Pd–In2O3 CP, WHSV 48,000 initial</t>
        </is>
      </c>
      <c r="E41" s="5" t="inlineStr">
        <is>
          <t>CO2 conversion</t>
        </is>
      </c>
      <c r="F41" s="5" t="n">
        <v>9.699999999999999</v>
      </c>
      <c r="G41" s="5" t="inlineStr">
        <is>
          <t>%</t>
        </is>
      </c>
      <c r="H41" s="5" t="inlineStr">
        <is>
          <t>Table 2</t>
        </is>
      </c>
      <c r="I41" s="5" t="n">
        <v>9</v>
      </c>
      <c r="J41" s="5" t="inlineStr">
        <is>
          <t>mixed</t>
        </is>
      </c>
      <c r="K41" s="5" t="inlineStr"/>
      <c r="L41" s="5" t="inlineStr">
        <is>
          <t>pdf/Frei_2019_Atomic-scale engineering of indium oxide promotion by palladium for methanol pro.pdf</t>
        </is>
      </c>
      <c r="M41" s="5" t="inlineStr">
        <is>
          <t>si/10_1038_s41467_019_11349_9__si1.pdf; si/10_1038_s41467_019_11349_9__si2.pdf</t>
        </is>
      </c>
      <c r="N41" s="6" t="inlineStr"/>
      <c r="O41" s="6" t="inlineStr"/>
      <c r="P41" s="6" t="inlineStr"/>
      <c r="Q41" s="6" t="inlineStr"/>
      <c r="R41" s="6" t="inlineStr"/>
    </row>
    <row r="42">
      <c r="A42" s="5" t="n">
        <v>41</v>
      </c>
      <c r="B42" s="5" t="inlineStr">
        <is>
          <t>10.1126/sciadv.aaz2060</t>
        </is>
      </c>
      <c r="C42" s="5" t="inlineStr">
        <is>
          <t>h–In2O3-R</t>
        </is>
      </c>
      <c r="D42" s="5" t="inlineStr">
        <is>
          <t>Fig. 5B/C, h–In2O3-R, 240°C, standard feed</t>
        </is>
      </c>
      <c r="E42" s="5" t="inlineStr">
        <is>
          <t>space velocity</t>
        </is>
      </c>
      <c r="F42" s="5" t="inlineStr">
        <is>
          <t>9000 ml gcat−1 hour−1</t>
        </is>
      </c>
      <c r="G42" s="5" t="inlineStr">
        <is>
          <t>as printed</t>
        </is>
      </c>
      <c r="H42" s="5" t="inlineStr">
        <is>
          <t>Figure 5B and Figure 5C</t>
        </is>
      </c>
      <c r="I42" s="5" t="n">
        <v>7</v>
      </c>
      <c r="J42" s="5" t="inlineStr">
        <is>
          <t>mixed</t>
        </is>
      </c>
      <c r="K42" s="5" t="inlineStr"/>
      <c r="L42" s="5" t="inlineStr">
        <is>
          <t>pdf/Dang_2020_Rationally designed indium oxide catalysts for CO 2 hydrogenation to methanol wi.pdf</t>
        </is>
      </c>
      <c r="M42" s="5" t="inlineStr">
        <is>
          <t>si/10_1126_sciadv_aaz2060__si1.pdf</t>
        </is>
      </c>
      <c r="N42" s="6" t="inlineStr"/>
      <c r="O42" s="6" t="inlineStr"/>
      <c r="P42" s="6" t="inlineStr"/>
      <c r="Q42" s="6" t="inlineStr"/>
      <c r="R42" s="6" t="inlineStr"/>
    </row>
    <row r="43">
      <c r="A43" s="5" t="n">
        <v>42</v>
      </c>
      <c r="B43" s="5" t="inlineStr">
        <is>
          <t>10.1126/sciadv.aaz2060</t>
        </is>
      </c>
      <c r="C43" s="5" t="inlineStr">
        <is>
          <t>h–In2O3-R</t>
        </is>
      </c>
      <c r="D43" s="5" t="inlineStr">
        <is>
          <t>Fig. 5E/text, h–In2O3-R stability, initial</t>
        </is>
      </c>
      <c r="E43" s="5" t="inlineStr">
        <is>
          <t>CH3OH selectivity</t>
        </is>
      </c>
      <c r="F43" s="5" t="n">
        <v>71</v>
      </c>
      <c r="G43" s="5" t="inlineStr">
        <is>
          <t>%</t>
        </is>
      </c>
      <c r="H43" s="5" t="inlineStr">
        <is>
          <t>Figure 5E and text on page 6</t>
        </is>
      </c>
      <c r="I43" s="5" t="n">
        <v>7</v>
      </c>
      <c r="J43" s="5" t="inlineStr">
        <is>
          <t>mixed</t>
        </is>
      </c>
      <c r="K43" s="5" t="inlineStr"/>
      <c r="L43" s="5" t="inlineStr">
        <is>
          <t>pdf/Dang_2020_Rationally designed indium oxide catalysts for CO 2 hydrogenation to methanol wi.pdf</t>
        </is>
      </c>
      <c r="M43" s="5" t="inlineStr">
        <is>
          <t>si/10_1126_sciadv_aaz2060__si1.pdf</t>
        </is>
      </c>
      <c r="N43" s="6" t="inlineStr"/>
      <c r="O43" s="6" t="inlineStr"/>
      <c r="P43" s="6" t="inlineStr"/>
      <c r="Q43" s="6" t="inlineStr"/>
      <c r="R43" s="6" t="inlineStr"/>
    </row>
    <row r="44">
      <c r="A44" s="5" t="n">
        <v>43</v>
      </c>
      <c r="B44" s="5" t="inlineStr">
        <is>
          <t>10.1126/sciadv.aaz2060</t>
        </is>
      </c>
      <c r="C44" s="5" t="inlineStr">
        <is>
          <t>h–In2O3-R</t>
        </is>
      </c>
      <c r="D44" s="5" t="inlineStr">
        <is>
          <t>Fig. 5B/C, h–In2O3-R, 240°C, standard feed</t>
        </is>
      </c>
      <c r="E44" s="5" t="inlineStr">
        <is>
          <t>temperature</t>
        </is>
      </c>
      <c r="F44" s="5" t="n">
        <v>240</v>
      </c>
      <c r="G44" s="5" t="inlineStr">
        <is>
          <t>°C (from K)</t>
        </is>
      </c>
      <c r="H44" s="5" t="inlineStr">
        <is>
          <t>Figure 5B and Figure 5C</t>
        </is>
      </c>
      <c r="I44" s="5" t="n">
        <v>7</v>
      </c>
      <c r="J44" s="5" t="n"/>
      <c r="K44" s="5" t="inlineStr"/>
      <c r="L44" s="5" t="inlineStr">
        <is>
          <t>pdf/Dang_2020_Rationally designed indium oxide catalysts for CO 2 hydrogenation to methanol wi.pdf</t>
        </is>
      </c>
      <c r="M44" s="5" t="inlineStr">
        <is>
          <t>si/10_1126_sciadv_aaz2060__si1.pdf</t>
        </is>
      </c>
      <c r="N44" s="6" t="inlineStr"/>
      <c r="O44" s="6" t="inlineStr"/>
      <c r="P44" s="6" t="inlineStr"/>
      <c r="Q44" s="6" t="inlineStr"/>
      <c r="R44" s="6" t="inlineStr"/>
    </row>
    <row r="45">
      <c r="A45" s="5" t="n">
        <v>44</v>
      </c>
      <c r="B45" s="5" t="inlineStr">
        <is>
          <t>10.1126/sciadv.aaz2060</t>
        </is>
      </c>
      <c r="C45" s="5" t="inlineStr">
        <is>
          <t>h–In2O3-R</t>
        </is>
      </c>
      <c r="D45" s="5" t="inlineStr">
        <is>
          <t>Fig. 5E/text, h–In2O3-R stability, 44 h</t>
        </is>
      </c>
      <c r="E45" s="5" t="inlineStr">
        <is>
          <t>pressure</t>
        </is>
      </c>
      <c r="F45" s="5" t="n">
        <v>50</v>
      </c>
      <c r="G45" s="5" t="inlineStr">
        <is>
          <t>bar</t>
        </is>
      </c>
      <c r="H45" s="5" t="inlineStr">
        <is>
          <t>Figure 5E and text on page 6</t>
        </is>
      </c>
      <c r="I45" s="5" t="n">
        <v>7</v>
      </c>
      <c r="J45" s="5" t="n"/>
      <c r="K45" s="5" t="inlineStr"/>
      <c r="L45" s="5" t="inlineStr">
        <is>
          <t>pdf/Dang_2020_Rationally designed indium oxide catalysts for CO 2 hydrogenation to methanol wi.pdf</t>
        </is>
      </c>
      <c r="M45" s="5" t="inlineStr">
        <is>
          <t>si/10_1126_sciadv_aaz2060__si1.pdf</t>
        </is>
      </c>
      <c r="N45" s="6" t="inlineStr"/>
      <c r="O45" s="6" t="inlineStr"/>
      <c r="P45" s="6" t="inlineStr"/>
      <c r="Q45" s="6" t="inlineStr"/>
      <c r="R45" s="6" t="inlineStr"/>
    </row>
    <row r="46">
      <c r="A46" s="5" t="n">
        <v>45</v>
      </c>
      <c r="B46" s="5" t="inlineStr">
        <is>
          <t>10.1126/sciadv.aaz2060</t>
        </is>
      </c>
      <c r="C46" s="5" t="inlineStr">
        <is>
          <t>h–In2O3-R</t>
        </is>
      </c>
      <c r="D46" s="5" t="inlineStr">
        <is>
          <t>Fig. 5E/text, h–In2O3-R stability, initial</t>
        </is>
      </c>
      <c r="E46" s="5" t="inlineStr">
        <is>
          <t>H2/CO2</t>
        </is>
      </c>
      <c r="F46" s="5" t="n">
        <v>3.041666666666667</v>
      </c>
      <c r="G46" s="5" t="inlineStr">
        <is>
          <t>mol/mol</t>
        </is>
      </c>
      <c r="H46" s="5" t="inlineStr">
        <is>
          <t>Figure 5E and text on page 6</t>
        </is>
      </c>
      <c r="I46" s="5" t="n">
        <v>7</v>
      </c>
      <c r="J46" s="5" t="n"/>
      <c r="K46" s="5" t="inlineStr"/>
      <c r="L46" s="5" t="inlineStr">
        <is>
          <t>pdf/Dang_2020_Rationally designed indium oxide catalysts for CO 2 hydrogenation to methanol wi.pdf</t>
        </is>
      </c>
      <c r="M46" s="5" t="inlineStr">
        <is>
          <t>si/10_1126_sciadv_aaz2060__si1.pdf</t>
        </is>
      </c>
      <c r="N46" s="6" t="inlineStr"/>
      <c r="O46" s="6" t="inlineStr"/>
      <c r="P46" s="6" t="inlineStr"/>
      <c r="Q46" s="6" t="inlineStr"/>
      <c r="R46" s="6" t="inlineStr"/>
    </row>
    <row r="47">
      <c r="A47" s="5" t="n">
        <v>46</v>
      </c>
      <c r="B47" s="5" t="inlineStr">
        <is>
          <t>10.1126/sciadv.aaz2060</t>
        </is>
      </c>
      <c r="C47" s="5" t="inlineStr">
        <is>
          <t>h–In2O3-R</t>
        </is>
      </c>
      <c r="D47" s="5" t="inlineStr">
        <is>
          <t>Fig. 5E/text, h–In2O3-R stability, initial</t>
        </is>
      </c>
      <c r="E47" s="5" t="inlineStr">
        <is>
          <t>pressure</t>
        </is>
      </c>
      <c r="F47" s="5" t="n">
        <v>50</v>
      </c>
      <c r="G47" s="5" t="inlineStr">
        <is>
          <t>bar</t>
        </is>
      </c>
      <c r="H47" s="5" t="inlineStr">
        <is>
          <t>Figure 5E and text on page 6</t>
        </is>
      </c>
      <c r="I47" s="5" t="n">
        <v>7</v>
      </c>
      <c r="J47" s="5" t="n"/>
      <c r="K47" s="5" t="inlineStr"/>
      <c r="L47" s="5" t="inlineStr">
        <is>
          <t>pdf/Dang_2020_Rationally designed indium oxide catalysts for CO 2 hydrogenation to methanol wi.pdf</t>
        </is>
      </c>
      <c r="M47" s="5" t="inlineStr">
        <is>
          <t>si/10_1126_sciadv_aaz2060__si1.pdf</t>
        </is>
      </c>
      <c r="N47" s="6" t="inlineStr"/>
      <c r="O47" s="6" t="inlineStr"/>
      <c r="P47" s="6" t="inlineStr"/>
      <c r="Q47" s="6" t="inlineStr"/>
      <c r="R47" s="6" t="inlineStr"/>
    </row>
    <row r="48">
      <c r="A48" s="5" t="n">
        <v>47</v>
      </c>
      <c r="B48" s="5" t="inlineStr">
        <is>
          <t>10.1126/sciadv.aaz2060</t>
        </is>
      </c>
      <c r="C48" s="5" t="inlineStr">
        <is>
          <t>h–In2O3-R</t>
        </is>
      </c>
      <c r="D48" s="5" t="inlineStr">
        <is>
          <t>Fig. 5E/text, h–In2O3-R stability, 44 h</t>
        </is>
      </c>
      <c r="E48" s="5" t="inlineStr">
        <is>
          <t>space velocity</t>
        </is>
      </c>
      <c r="F48" s="5" t="inlineStr">
        <is>
          <t>9000 ml gcat−1 hour−1</t>
        </is>
      </c>
      <c r="G48" s="5" t="inlineStr">
        <is>
          <t>as printed</t>
        </is>
      </c>
      <c r="H48" s="5" t="inlineStr">
        <is>
          <t>Figure 5E and text on page 6</t>
        </is>
      </c>
      <c r="I48" s="5" t="n">
        <v>7</v>
      </c>
      <c r="J48" s="5" t="inlineStr">
        <is>
          <t>mixed</t>
        </is>
      </c>
      <c r="K48" s="5" t="inlineStr"/>
      <c r="L48" s="5" t="inlineStr">
        <is>
          <t>pdf/Dang_2020_Rationally designed indium oxide catalysts for CO 2 hydrogenation to methanol wi.pdf</t>
        </is>
      </c>
      <c r="M48" s="5" t="inlineStr">
        <is>
          <t>si/10_1126_sciadv_aaz2060__si1.pdf</t>
        </is>
      </c>
      <c r="N48" s="6" t="inlineStr"/>
      <c r="O48" s="6" t="inlineStr"/>
      <c r="P48" s="6" t="inlineStr"/>
      <c r="Q48" s="6" t="inlineStr"/>
      <c r="R48" s="6" t="inlineStr"/>
    </row>
    <row r="49">
      <c r="A49" s="5" t="n">
        <v>48</v>
      </c>
      <c r="B49" s="5" t="inlineStr">
        <is>
          <t>10.1126/sciadv.aaz2060</t>
        </is>
      </c>
      <c r="C49" s="5" t="inlineStr">
        <is>
          <t>h–In2O3-R</t>
        </is>
      </c>
      <c r="D49" s="5" t="inlineStr">
        <is>
          <t>Fig. 5B/C, h–In2O3-R, 360°C, standard feed</t>
        </is>
      </c>
      <c r="E49" s="5" t="inlineStr">
        <is>
          <t>temperature</t>
        </is>
      </c>
      <c r="F49" s="5" t="n">
        <v>360</v>
      </c>
      <c r="G49" s="5" t="inlineStr">
        <is>
          <t>°C (from K)</t>
        </is>
      </c>
      <c r="H49" s="5" t="inlineStr">
        <is>
          <t>Figure 5B and Figure 5C</t>
        </is>
      </c>
      <c r="I49" s="5" t="n">
        <v>7</v>
      </c>
      <c r="J49" s="5" t="n"/>
      <c r="K49" s="5" t="inlineStr"/>
      <c r="L49" s="5" t="inlineStr">
        <is>
          <t>pdf/Dang_2020_Rationally designed indium oxide catalysts for CO 2 hydrogenation to methanol wi.pdf</t>
        </is>
      </c>
      <c r="M49" s="5" t="inlineStr">
        <is>
          <t>si/10_1126_sciadv_aaz2060__si1.pdf</t>
        </is>
      </c>
      <c r="N49" s="6" t="inlineStr"/>
      <c r="O49" s="6" t="inlineStr"/>
      <c r="P49" s="6" t="inlineStr"/>
      <c r="Q49" s="6" t="inlineStr"/>
      <c r="R49" s="6" t="inlineStr"/>
    </row>
    <row r="50">
      <c r="A50" s="5" t="n">
        <v>49</v>
      </c>
      <c r="B50" s="5" t="inlineStr">
        <is>
          <t>10.1126/sciadv.aaz2060</t>
        </is>
      </c>
      <c r="C50" s="5" t="inlineStr">
        <is>
          <t>h–In2O3-R</t>
        </is>
      </c>
      <c r="D50" s="5" t="inlineStr">
        <is>
          <t>Fig. 5B/C, h–In2O3-R, 360°C, standard feed</t>
        </is>
      </c>
      <c r="E50" s="5" t="inlineStr">
        <is>
          <t>CO2 conversion</t>
        </is>
      </c>
      <c r="F50" s="5" t="n">
        <v>15.4</v>
      </c>
      <c r="G50" s="5" t="inlineStr">
        <is>
          <t>%</t>
        </is>
      </c>
      <c r="H50" s="5" t="inlineStr">
        <is>
          <t>Figure 5B and Figure 5C</t>
        </is>
      </c>
      <c r="I50" s="5" t="n">
        <v>7</v>
      </c>
      <c r="J50" s="5" t="inlineStr">
        <is>
          <t>mixed</t>
        </is>
      </c>
      <c r="K50" s="5" t="inlineStr"/>
      <c r="L50" s="5" t="inlineStr">
        <is>
          <t>pdf/Dang_2020_Rationally designed indium oxide catalysts for CO 2 hydrogenation to methanol wi.pdf</t>
        </is>
      </c>
      <c r="M50" s="5" t="inlineStr">
        <is>
          <t>si/10_1126_sciadv_aaz2060__si1.pdf</t>
        </is>
      </c>
      <c r="N50" s="6" t="inlineStr"/>
      <c r="O50" s="6" t="inlineStr"/>
      <c r="P50" s="6" t="inlineStr"/>
      <c r="Q50" s="6" t="inlineStr"/>
      <c r="R50" s="6" t="inlineStr"/>
    </row>
    <row r="51">
      <c r="A51" s="5" t="n">
        <v>50</v>
      </c>
      <c r="B51" s="5" t="inlineStr">
        <is>
          <t>10.1126/sciadv.aaz2060</t>
        </is>
      </c>
      <c r="C51" s="5" t="inlineStr">
        <is>
          <t>h–In2O3-R</t>
        </is>
      </c>
      <c r="D51" s="5" t="inlineStr">
        <is>
          <t>Fig. 5B/C, h–In2O3-R, 360°C, standard feed</t>
        </is>
      </c>
      <c r="E51" s="5" t="inlineStr">
        <is>
          <t>pressure</t>
        </is>
      </c>
      <c r="F51" s="5" t="n">
        <v>50</v>
      </c>
      <c r="G51" s="5" t="inlineStr">
        <is>
          <t>bar</t>
        </is>
      </c>
      <c r="H51" s="5" t="inlineStr">
        <is>
          <t>Figure 5B and Figure 5C</t>
        </is>
      </c>
      <c r="I51" s="5" t="n">
        <v>7</v>
      </c>
      <c r="J51" s="5" t="n"/>
      <c r="K51" s="5" t="inlineStr"/>
      <c r="L51" s="5" t="inlineStr">
        <is>
          <t>pdf/Dang_2020_Rationally designed indium oxide catalysts for CO 2 hydrogenation to methanol wi.pdf</t>
        </is>
      </c>
      <c r="M51" s="5" t="inlineStr">
        <is>
          <t>si/10_1126_sciadv_aaz2060__si1.pdf</t>
        </is>
      </c>
      <c r="N51" s="6" t="inlineStr"/>
      <c r="O51" s="6" t="inlineStr"/>
      <c r="P51" s="6" t="inlineStr"/>
      <c r="Q51" s="6" t="inlineStr"/>
      <c r="R51" s="6" t="inlineStr"/>
    </row>
    <row r="52">
      <c r="A52" s="5" t="n">
        <v>51</v>
      </c>
      <c r="B52" s="5" t="inlineStr">
        <is>
          <t>10.1039/c5cy00372e</t>
        </is>
      </c>
      <c r="C52" s="5" t="inlineStr">
        <is>
          <t>CHT-Y0.1</t>
        </is>
      </c>
      <c r="D52" s="5" t="inlineStr">
        <is>
          <t>Table 6 row CHT-Y0.1</t>
        </is>
      </c>
      <c r="E52" s="5" t="inlineStr">
        <is>
          <t>temperature</t>
        </is>
      </c>
      <c r="F52" s="5" t="n">
        <v>229.85</v>
      </c>
      <c r="G52" s="5" t="inlineStr">
        <is>
          <t>°C (from K)</t>
        </is>
      </c>
      <c r="H52" s="5" t="inlineStr">
        <is>
          <t>Table 6</t>
        </is>
      </c>
      <c r="I52" s="5" t="n">
        <v>11</v>
      </c>
      <c r="J52" s="5" t="n"/>
      <c r="K52" s="5" t="inlineStr"/>
      <c r="L52" s="5" t="inlineStr">
        <is>
          <t>pdf/Gao_2015_Yttrium oxide modified CuZnOAl 2 O 3 catalysts via hydrotalcite-like precursors.pdf</t>
        </is>
      </c>
      <c r="M52" s="5" t="inlineStr">
        <is>
          <t>si/10_1039_c5cy00372e__si1.pdf; si/10_1039_c5cy00372e__si2.pdf</t>
        </is>
      </c>
      <c r="N52" s="6" t="inlineStr"/>
      <c r="O52" s="6" t="inlineStr"/>
      <c r="P52" s="6" t="inlineStr"/>
      <c r="Q52" s="6" t="inlineStr"/>
      <c r="R52" s="6" t="inlineStr"/>
    </row>
    <row r="53">
      <c r="A53" s="5" t="n">
        <v>52</v>
      </c>
      <c r="B53" s="5" t="inlineStr">
        <is>
          <t>10.1039/c5cy00372e</t>
        </is>
      </c>
      <c r="C53" s="5" t="inlineStr">
        <is>
          <t>CHT-Y0.5</t>
        </is>
      </c>
      <c r="D53" s="5" t="inlineStr">
        <is>
          <t>Table 6 row CHT-Y0.5</t>
        </is>
      </c>
      <c r="E53" s="5" t="inlineStr">
        <is>
          <t>CO selectivity</t>
        </is>
      </c>
      <c r="F53" s="5" t="n">
        <v>33.1</v>
      </c>
      <c r="G53" s="5" t="inlineStr">
        <is>
          <t>%</t>
        </is>
      </c>
      <c r="H53" s="5" t="inlineStr">
        <is>
          <t>Table 6</t>
        </is>
      </c>
      <c r="I53" s="5" t="n">
        <v>11</v>
      </c>
      <c r="J53" s="5" t="inlineStr">
        <is>
          <t>table</t>
        </is>
      </c>
      <c r="K53" s="5" t="inlineStr"/>
      <c r="L53" s="5" t="inlineStr">
        <is>
          <t>pdf/Gao_2015_Yttrium oxide modified CuZnOAl 2 O 3 catalysts via hydrotalcite-like precursors.pdf</t>
        </is>
      </c>
      <c r="M53" s="5" t="inlineStr">
        <is>
          <t>si/10_1039_c5cy00372e__si1.pdf; si/10_1039_c5cy00372e__si2.pdf</t>
        </is>
      </c>
      <c r="N53" s="6" t="inlineStr"/>
      <c r="O53" s="6" t="inlineStr"/>
      <c r="P53" s="6" t="inlineStr"/>
      <c r="Q53" s="6" t="inlineStr"/>
      <c r="R53" s="6" t="inlineStr"/>
    </row>
    <row r="54">
      <c r="A54" s="5" t="n">
        <v>53</v>
      </c>
      <c r="B54" s="5" t="inlineStr">
        <is>
          <t>10.1039/c5cy00372e</t>
        </is>
      </c>
      <c r="C54" s="5" t="inlineStr">
        <is>
          <t>CHT-Y0.05</t>
        </is>
      </c>
      <c r="D54" s="5" t="inlineStr">
        <is>
          <t>Table 6 row CHT-Y0.05</t>
        </is>
      </c>
      <c r="E54" s="5" t="inlineStr">
        <is>
          <t>CH4 selectivity</t>
        </is>
      </c>
      <c r="F54" s="5" t="n">
        <v>0.2</v>
      </c>
      <c r="G54" s="5" t="inlineStr">
        <is>
          <t>%</t>
        </is>
      </c>
      <c r="H54" s="5" t="inlineStr">
        <is>
          <t>Table 6</t>
        </is>
      </c>
      <c r="I54" s="5" t="n">
        <v>11</v>
      </c>
      <c r="J54" s="5" t="inlineStr">
        <is>
          <t>table</t>
        </is>
      </c>
      <c r="K54" s="5" t="inlineStr"/>
      <c r="L54" s="5" t="inlineStr">
        <is>
          <t>pdf/Gao_2015_Yttrium oxide modified CuZnOAl 2 O 3 catalysts via hydrotalcite-like precursors.pdf</t>
        </is>
      </c>
      <c r="M54" s="5" t="inlineStr">
        <is>
          <t>si/10_1039_c5cy00372e__si1.pdf; si/10_1039_c5cy00372e__si2.pdf</t>
        </is>
      </c>
      <c r="N54" s="6" t="inlineStr"/>
      <c r="O54" s="6" t="inlineStr"/>
      <c r="P54" s="6" t="inlineStr"/>
      <c r="Q54" s="6" t="inlineStr"/>
      <c r="R54" s="6" t="inlineStr"/>
    </row>
    <row r="55">
      <c r="A55" s="5" t="n">
        <v>54</v>
      </c>
      <c r="B55" s="5" t="inlineStr">
        <is>
          <t>10.1039/c5cy00372e</t>
        </is>
      </c>
      <c r="C55" s="5" t="inlineStr">
        <is>
          <t>CHT-Y0</t>
        </is>
      </c>
      <c r="D55" s="5" t="inlineStr">
        <is>
          <t>Table 6 row CHT-Y0</t>
        </is>
      </c>
      <c r="E55" s="5" t="inlineStr">
        <is>
          <t>CO selectivity</t>
        </is>
      </c>
      <c r="F55" s="5" t="n">
        <v>41.6</v>
      </c>
      <c r="G55" s="5" t="inlineStr">
        <is>
          <t>%</t>
        </is>
      </c>
      <c r="H55" s="5" t="inlineStr">
        <is>
          <t>Table 6</t>
        </is>
      </c>
      <c r="I55" s="5" t="n">
        <v>11</v>
      </c>
      <c r="J55" s="5" t="inlineStr">
        <is>
          <t>table</t>
        </is>
      </c>
      <c r="K55" s="5" t="inlineStr"/>
      <c r="L55" s="5" t="inlineStr">
        <is>
          <t>pdf/Gao_2015_Yttrium oxide modified CuZnOAl 2 O 3 catalysts via hydrotalcite-like precursors.pdf</t>
        </is>
      </c>
      <c r="M55" s="5" t="inlineStr">
        <is>
          <t>si/10_1039_c5cy00372e__si1.pdf; si/10_1039_c5cy00372e__si2.pdf</t>
        </is>
      </c>
      <c r="N55" s="6" t="inlineStr"/>
      <c r="O55" s="6" t="inlineStr"/>
      <c r="P55" s="6" t="inlineStr"/>
      <c r="Q55" s="6" t="inlineStr"/>
      <c r="R55" s="6" t="inlineStr"/>
    </row>
    <row r="56">
      <c r="A56" s="5" t="n">
        <v>55</v>
      </c>
      <c r="B56" s="5" t="inlineStr">
        <is>
          <t>10.1039/c5cy00372e</t>
        </is>
      </c>
      <c r="C56" s="5" t="inlineStr">
        <is>
          <t>CHT-Y0.2</t>
        </is>
      </c>
      <c r="D56" s="5" t="inlineStr">
        <is>
          <t>Table 6 row CHT-Y0.2</t>
        </is>
      </c>
      <c r="E56" s="5" t="inlineStr">
        <is>
          <t>CH3OH selectivity</t>
        </is>
      </c>
      <c r="F56" s="5" t="n">
        <v>70.5</v>
      </c>
      <c r="G56" s="5" t="inlineStr">
        <is>
          <t>%</t>
        </is>
      </c>
      <c r="H56" s="5" t="inlineStr">
        <is>
          <t>Table 6</t>
        </is>
      </c>
      <c r="I56" s="5" t="n">
        <v>11</v>
      </c>
      <c r="J56" s="5" t="inlineStr">
        <is>
          <t>table</t>
        </is>
      </c>
      <c r="K56" s="5" t="inlineStr"/>
      <c r="L56" s="5" t="inlineStr">
        <is>
          <t>pdf/Gao_2015_Yttrium oxide modified CuZnOAl 2 O 3 catalysts via hydrotalcite-like precursors.pdf</t>
        </is>
      </c>
      <c r="M56" s="5" t="inlineStr">
        <is>
          <t>si/10_1039_c5cy00372e__si1.pdf; si/10_1039_c5cy00372e__si2.pdf</t>
        </is>
      </c>
      <c r="N56" s="6" t="inlineStr"/>
      <c r="O56" s="6" t="inlineStr"/>
      <c r="P56" s="6" t="inlineStr"/>
      <c r="Q56" s="6" t="inlineStr"/>
      <c r="R56" s="6" t="inlineStr"/>
    </row>
    <row r="57">
      <c r="A57" s="5" t="n">
        <v>56</v>
      </c>
      <c r="B57" s="5" t="inlineStr">
        <is>
          <t>10.1039/c5cy00372e</t>
        </is>
      </c>
      <c r="C57" s="5" t="inlineStr">
        <is>
          <t>CHT-Y0</t>
        </is>
      </c>
      <c r="D57" s="5" t="inlineStr">
        <is>
          <t>Table 6 row CHT-Y0</t>
        </is>
      </c>
      <c r="E57" s="5" t="inlineStr">
        <is>
          <t>CH3OH selectivity</t>
        </is>
      </c>
      <c r="F57" s="5" t="n">
        <v>58.1</v>
      </c>
      <c r="G57" s="5" t="inlineStr">
        <is>
          <t>%</t>
        </is>
      </c>
      <c r="H57" s="5" t="inlineStr">
        <is>
          <t>Table 6</t>
        </is>
      </c>
      <c r="I57" s="5" t="n">
        <v>11</v>
      </c>
      <c r="J57" s="5" t="inlineStr">
        <is>
          <t>table</t>
        </is>
      </c>
      <c r="K57" s="5" t="inlineStr"/>
      <c r="L57" s="5" t="inlineStr">
        <is>
          <t>pdf/Gao_2015_Yttrium oxide modified CuZnOAl 2 O 3 catalysts via hydrotalcite-like precursors.pdf</t>
        </is>
      </c>
      <c r="M57" s="5" t="inlineStr">
        <is>
          <t>si/10_1039_c5cy00372e__si1.pdf; si/10_1039_c5cy00372e__si2.pdf</t>
        </is>
      </c>
      <c r="N57" s="6" t="inlineStr"/>
      <c r="O57" s="6" t="inlineStr"/>
      <c r="P57" s="6" t="inlineStr"/>
      <c r="Q57" s="6" t="inlineStr"/>
      <c r="R57" s="6" t="inlineStr"/>
    </row>
    <row r="58">
      <c r="A58" s="5" t="n">
        <v>57</v>
      </c>
      <c r="B58" s="5" t="inlineStr">
        <is>
          <t>10.1039/c5cy00372e</t>
        </is>
      </c>
      <c r="C58" s="5" t="inlineStr">
        <is>
          <t>CHT-Y0.2</t>
        </is>
      </c>
      <c r="D58" s="5" t="inlineStr">
        <is>
          <t>Table 6 row CHT-Y0.2</t>
        </is>
      </c>
      <c r="E58" s="5" t="inlineStr">
        <is>
          <t>CH4 selectivity</t>
        </is>
      </c>
      <c r="F58" s="5" t="n">
        <v>0.1</v>
      </c>
      <c r="G58" s="5" t="inlineStr">
        <is>
          <t>%</t>
        </is>
      </c>
      <c r="H58" s="5" t="inlineStr">
        <is>
          <t>Table 6</t>
        </is>
      </c>
      <c r="I58" s="5" t="n">
        <v>11</v>
      </c>
      <c r="J58" s="5" t="inlineStr">
        <is>
          <t>table</t>
        </is>
      </c>
      <c r="K58" s="5" t="inlineStr"/>
      <c r="L58" s="5" t="inlineStr">
        <is>
          <t>pdf/Gao_2015_Yttrium oxide modified CuZnOAl 2 O 3 catalysts via hydrotalcite-like precursors.pdf</t>
        </is>
      </c>
      <c r="M58" s="5" t="inlineStr">
        <is>
          <t>si/10_1039_c5cy00372e__si1.pdf; si/10_1039_c5cy00372e__si2.pdf</t>
        </is>
      </c>
      <c r="N58" s="6" t="inlineStr"/>
      <c r="O58" s="6" t="inlineStr"/>
      <c r="P58" s="6" t="inlineStr"/>
      <c r="Q58" s="6" t="inlineStr"/>
      <c r="R58" s="6" t="inlineStr"/>
    </row>
    <row r="59">
      <c r="A59" s="5" t="n">
        <v>58</v>
      </c>
      <c r="B59" s="5" t="inlineStr">
        <is>
          <t>10.1039/c5cy00372e</t>
        </is>
      </c>
      <c r="C59" s="5" t="inlineStr">
        <is>
          <t>CHT-Y0</t>
        </is>
      </c>
      <c r="D59" s="5" t="inlineStr">
        <is>
          <t>Table 6 row CHT-Y0</t>
        </is>
      </c>
      <c r="E59" s="5" t="inlineStr">
        <is>
          <t>CH4 selectivity</t>
        </is>
      </c>
      <c r="F59" s="5" t="n">
        <v>0.3</v>
      </c>
      <c r="G59" s="5" t="inlineStr">
        <is>
          <t>%</t>
        </is>
      </c>
      <c r="H59" s="5" t="inlineStr">
        <is>
          <t>Table 6</t>
        </is>
      </c>
      <c r="I59" s="5" t="n">
        <v>11</v>
      </c>
      <c r="J59" s="5" t="inlineStr">
        <is>
          <t>table</t>
        </is>
      </c>
      <c r="K59" s="5" t="inlineStr"/>
      <c r="L59" s="5" t="inlineStr">
        <is>
          <t>pdf/Gao_2015_Yttrium oxide modified CuZnOAl 2 O 3 catalysts via hydrotalcite-like precursors.pdf</t>
        </is>
      </c>
      <c r="M59" s="5" t="inlineStr">
        <is>
          <t>si/10_1039_c5cy00372e__si1.pdf; si/10_1039_c5cy00372e__si2.pdf</t>
        </is>
      </c>
      <c r="N59" s="6" t="inlineStr"/>
      <c r="O59" s="6" t="inlineStr"/>
      <c r="P59" s="6" t="inlineStr"/>
      <c r="Q59" s="6" t="inlineStr"/>
      <c r="R59" s="6" t="inlineStr"/>
    </row>
    <row r="60">
      <c r="A60" s="5" t="n">
        <v>59</v>
      </c>
      <c r="B60" s="5" t="inlineStr">
        <is>
          <t>10.1039/c5cy00372e</t>
        </is>
      </c>
      <c r="C60" s="5" t="inlineStr">
        <is>
          <t>CHT-Y0.1</t>
        </is>
      </c>
      <c r="D60" s="5" t="inlineStr">
        <is>
          <t>Table 6 row CHT-Y0.1</t>
        </is>
      </c>
      <c r="E60" s="5" t="inlineStr">
        <is>
          <t>STY (printed)</t>
        </is>
      </c>
      <c r="F60" s="5" t="inlineStr">
        <is>
          <t>0.39 g gcat−1 h−1</t>
        </is>
      </c>
      <c r="G60" s="5" t="inlineStr">
        <is>
          <t>as printed</t>
        </is>
      </c>
      <c r="H60" s="5" t="inlineStr">
        <is>
          <t>Table 6</t>
        </is>
      </c>
      <c r="I60" s="5" t="n">
        <v>11</v>
      </c>
      <c r="J60" s="5" t="inlineStr">
        <is>
          <t>table</t>
        </is>
      </c>
      <c r="K60" s="5" t="inlineStr"/>
      <c r="L60" s="5" t="inlineStr">
        <is>
          <t>pdf/Gao_2015_Yttrium oxide modified CuZnOAl 2 O 3 catalysts via hydrotalcite-like precursors.pdf</t>
        </is>
      </c>
      <c r="M60" s="5" t="inlineStr">
        <is>
          <t>si/10_1039_c5cy00372e__si1.pdf; si/10_1039_c5cy00372e__si2.pdf</t>
        </is>
      </c>
      <c r="N60" s="6" t="inlineStr"/>
      <c r="O60" s="6" t="inlineStr"/>
      <c r="P60" s="6" t="inlineStr"/>
      <c r="Q60" s="6" t="inlineStr"/>
      <c r="R60" s="6" t="inlineStr"/>
    </row>
    <row r="61">
      <c r="A61" s="5" t="n">
        <v>60</v>
      </c>
      <c r="B61" s="5" t="inlineStr">
        <is>
          <t>10.1039/c5cy00372e</t>
        </is>
      </c>
      <c r="C61" s="5" t="inlineStr">
        <is>
          <t>CHT-Y0</t>
        </is>
      </c>
      <c r="D61" s="5" t="inlineStr">
        <is>
          <t>Table 6 row CHT-Y0</t>
        </is>
      </c>
      <c r="E61" s="5" t="inlineStr">
        <is>
          <t>pressure</t>
        </is>
      </c>
      <c r="F61" s="5" t="n">
        <v>50</v>
      </c>
      <c r="G61" s="5" t="inlineStr">
        <is>
          <t>bar</t>
        </is>
      </c>
      <c r="H61" s="5" t="inlineStr">
        <is>
          <t>Table 6</t>
        </is>
      </c>
      <c r="I61" s="5" t="n">
        <v>11</v>
      </c>
      <c r="J61" s="5" t="n"/>
      <c r="K61" s="5" t="inlineStr"/>
      <c r="L61" s="5" t="inlineStr">
        <is>
          <t>pdf/Gao_2015_Yttrium oxide modified CuZnOAl 2 O 3 catalysts via hydrotalcite-like precursors.pdf</t>
        </is>
      </c>
      <c r="M61" s="5" t="inlineStr">
        <is>
          <t>si/10_1039_c5cy00372e__si1.pdf; si/10_1039_c5cy00372e__si2.pdf</t>
        </is>
      </c>
      <c r="N61" s="6" t="inlineStr"/>
      <c r="O61" s="6" t="inlineStr"/>
      <c r="P61" s="6" t="inlineStr"/>
      <c r="Q61" s="6" t="inlineStr"/>
      <c r="R61" s="6" t="inlineStr"/>
    </row>
    <row r="62">
      <c r="A62" s="5" t="n">
        <v>61</v>
      </c>
      <c r="B62" s="5" t="inlineStr">
        <is>
          <t>10.1016/j.apcatb.2017.06.069</t>
        </is>
      </c>
      <c r="C62" s="5" t="inlineStr">
        <is>
          <t>In2O3</t>
        </is>
      </c>
      <c r="D62" s="5" t="inlineStr">
        <is>
          <t>SI Table S1, In2O3 This work</t>
        </is>
      </c>
      <c r="E62" s="5" t="inlineStr">
        <is>
          <t>temperature</t>
        </is>
      </c>
      <c r="F62" s="5" t="n">
        <v>300</v>
      </c>
      <c r="G62" s="5" t="inlineStr">
        <is>
          <t>°C (from K)</t>
        </is>
      </c>
      <c r="H62" s="5" t="inlineStr">
        <is>
          <t>SI Table S1</t>
        </is>
      </c>
      <c r="I62" s="5" t="n">
        <v>2</v>
      </c>
      <c r="J62" s="5" t="n"/>
      <c r="K62" s="5" t="inlineStr">
        <is>
          <t>H2_CO2&lt;-figures;cat_mass_g&lt;-figures</t>
        </is>
      </c>
      <c r="L62" s="5" t="inlineStr">
        <is>
          <t>pdf/Rui_2017_CO2 hydrogenation to methanol over PdIn2O3 effects of Pd and oxygen vacancy.pdf</t>
        </is>
      </c>
      <c r="M62" s="5" t="inlineStr">
        <is>
          <t>si/10_1016_j_apcatb_2017_06_069__mmc1.docx</t>
        </is>
      </c>
      <c r="N62" s="6" t="inlineStr"/>
      <c r="O62" s="6" t="inlineStr"/>
      <c r="P62" s="6" t="inlineStr"/>
      <c r="Q62" s="6" t="inlineStr"/>
      <c r="R62" s="6" t="inlineStr"/>
    </row>
    <row r="63">
      <c r="A63" s="5" t="n">
        <v>62</v>
      </c>
      <c r="B63" s="5" t="inlineStr">
        <is>
          <t>10.1016/j.apcatb.2017.06.069</t>
        </is>
      </c>
      <c r="C63" s="5" t="inlineStr">
        <is>
          <t>In2O3</t>
        </is>
      </c>
      <c r="D63" s="5" t="inlineStr">
        <is>
          <t>SI Table S1, In2O3 This work</t>
        </is>
      </c>
      <c r="E63" s="5" t="inlineStr">
        <is>
          <t>STY (printed)</t>
        </is>
      </c>
      <c r="F63" s="5" t="inlineStr">
        <is>
          <t>0.352 gMeOH h-1 gcat-1</t>
        </is>
      </c>
      <c r="G63" s="5" t="inlineStr">
        <is>
          <t>as printed</t>
        </is>
      </c>
      <c r="H63" s="5" t="inlineStr">
        <is>
          <t>SI Table S1</t>
        </is>
      </c>
      <c r="I63" s="5" t="n">
        <v>2</v>
      </c>
      <c r="J63" s="5" t="inlineStr">
        <is>
          <t>SI</t>
        </is>
      </c>
      <c r="K63" s="5" t="inlineStr">
        <is>
          <t>H2_CO2&lt;-figures;cat_mass_g&lt;-figures</t>
        </is>
      </c>
      <c r="L63" s="5" t="inlineStr">
        <is>
          <t>pdf/Rui_2017_CO2 hydrogenation to methanol over PdIn2O3 effects of Pd and oxygen vacancy.pdf</t>
        </is>
      </c>
      <c r="M63" s="5" t="inlineStr">
        <is>
          <t>si/10_1016_j_apcatb_2017_06_069__mmc1.docx</t>
        </is>
      </c>
      <c r="N63" s="6" t="inlineStr"/>
      <c r="O63" s="6" t="inlineStr"/>
      <c r="P63" s="6" t="inlineStr"/>
      <c r="Q63" s="6" t="inlineStr"/>
      <c r="R63" s="6" t="inlineStr"/>
    </row>
    <row r="64">
      <c r="A64" s="5" t="n">
        <v>63</v>
      </c>
      <c r="B64" s="5" t="inlineStr">
        <is>
          <t>10.1016/j.apcatb.2017.06.069</t>
        </is>
      </c>
      <c r="C64" s="5" t="inlineStr">
        <is>
          <t>Pd-I/In2O3</t>
        </is>
      </c>
      <c r="D64" s="5" t="inlineStr">
        <is>
          <t>SI Table S2, Pd-I/In2O3 This work</t>
        </is>
      </c>
      <c r="E64" s="5" t="inlineStr">
        <is>
          <t>CH3OH selectivity</t>
        </is>
      </c>
      <c r="F64" s="5" t="n">
        <v>72.7</v>
      </c>
      <c r="G64" s="5" t="inlineStr">
        <is>
          <t>%</t>
        </is>
      </c>
      <c r="H64" s="5" t="inlineStr">
        <is>
          <t>SI Table S2</t>
        </is>
      </c>
      <c r="I64" s="5" t="n">
        <v>3</v>
      </c>
      <c r="J64" s="5" t="inlineStr">
        <is>
          <t>SI</t>
        </is>
      </c>
      <c r="K64" s="5" t="inlineStr">
        <is>
          <t>H2_CO2&lt;-figures;cat_mass_g&lt;-figures;metal_wt_pct&lt;-figures</t>
        </is>
      </c>
      <c r="L64" s="5" t="inlineStr">
        <is>
          <t>pdf/Rui_2017_CO2 hydrogenation to methanol over PdIn2O3 effects of Pd and oxygen vacancy.pdf</t>
        </is>
      </c>
      <c r="M64" s="5" t="inlineStr">
        <is>
          <t>si/10_1016_j_apcatb_2017_06_069__mmc1.docx</t>
        </is>
      </c>
      <c r="N64" s="6" t="inlineStr"/>
      <c r="O64" s="6" t="inlineStr"/>
      <c r="P64" s="6" t="inlineStr"/>
      <c r="Q64" s="6" t="inlineStr"/>
      <c r="R64" s="6" t="inlineStr"/>
    </row>
    <row r="65">
      <c r="A65" s="5" t="n">
        <v>64</v>
      </c>
      <c r="B65" s="5" t="inlineStr">
        <is>
          <t>10.1016/j.apcatb.2017.06.069</t>
        </is>
      </c>
      <c r="C65" s="5" t="inlineStr">
        <is>
          <t>Pd-I/In2O3</t>
        </is>
      </c>
      <c r="D65" s="5" t="inlineStr">
        <is>
          <t>SI Table S2, Pd-I/In2O3 This work</t>
        </is>
      </c>
      <c r="E65" s="5" t="inlineStr">
        <is>
          <t>pressure</t>
        </is>
      </c>
      <c r="F65" s="5" t="n">
        <v>50</v>
      </c>
      <c r="G65" s="5" t="inlineStr">
        <is>
          <t>bar</t>
        </is>
      </c>
      <c r="H65" s="5" t="inlineStr">
        <is>
          <t>SI Table S2</t>
        </is>
      </c>
      <c r="I65" s="5" t="n">
        <v>3</v>
      </c>
      <c r="J65" s="5" t="n"/>
      <c r="K65" s="5" t="inlineStr">
        <is>
          <t>H2_CO2&lt;-figures;cat_mass_g&lt;-figures;metal_wt_pct&lt;-figures</t>
        </is>
      </c>
      <c r="L65" s="5" t="inlineStr">
        <is>
          <t>pdf/Rui_2017_CO2 hydrogenation to methanol over PdIn2O3 effects of Pd and oxygen vacancy.pdf</t>
        </is>
      </c>
      <c r="M65" s="5" t="inlineStr">
        <is>
          <t>si/10_1016_j_apcatb_2017_06_069__mmc1.docx</t>
        </is>
      </c>
      <c r="N65" s="6" t="inlineStr"/>
      <c r="O65" s="6" t="inlineStr"/>
      <c r="P65" s="6" t="inlineStr"/>
      <c r="Q65" s="6" t="inlineStr"/>
      <c r="R65" s="6" t="inlineStr"/>
    </row>
    <row r="66">
      <c r="A66" s="5" t="n">
        <v>65</v>
      </c>
      <c r="B66" s="5" t="inlineStr">
        <is>
          <t>10.1016/j.apcatb.2017.06.069</t>
        </is>
      </c>
      <c r="C66" s="5" t="inlineStr">
        <is>
          <t>Pd-I/In2O3</t>
        </is>
      </c>
      <c r="D66" s="5" t="inlineStr">
        <is>
          <t>SI Table S2, Pd-I/In2O3 This work</t>
        </is>
      </c>
      <c r="E66" s="5" t="inlineStr">
        <is>
          <t>temperature</t>
        </is>
      </c>
      <c r="F66" s="5" t="n">
        <v>300</v>
      </c>
      <c r="G66" s="5" t="inlineStr">
        <is>
          <t>°C (from K)</t>
        </is>
      </c>
      <c r="H66" s="5" t="inlineStr">
        <is>
          <t>SI Table S2</t>
        </is>
      </c>
      <c r="I66" s="5" t="n">
        <v>3</v>
      </c>
      <c r="J66" s="5" t="n"/>
      <c r="K66" s="5" t="inlineStr">
        <is>
          <t>H2_CO2&lt;-figures;cat_mass_g&lt;-figures;metal_wt_pct&lt;-figures</t>
        </is>
      </c>
      <c r="L66" s="5" t="inlineStr">
        <is>
          <t>pdf/Rui_2017_CO2 hydrogenation to methanol over PdIn2O3 effects of Pd and oxygen vacancy.pdf</t>
        </is>
      </c>
      <c r="M66" s="5" t="inlineStr">
        <is>
          <t>si/10_1016_j_apcatb_2017_06_069__mmc1.docx</t>
        </is>
      </c>
      <c r="N66" s="6" t="inlineStr"/>
      <c r="O66" s="6" t="inlineStr"/>
      <c r="P66" s="6" t="inlineStr"/>
      <c r="Q66" s="6" t="inlineStr"/>
      <c r="R66" s="6" t="inlineStr"/>
    </row>
    <row r="67">
      <c r="A67" s="5" t="n">
        <v>66</v>
      </c>
      <c r="B67" s="5" t="inlineStr">
        <is>
          <t>10.1016/j.apcatb.2017.06.069</t>
        </is>
      </c>
      <c r="C67" s="5" t="inlineStr">
        <is>
          <t>Pd-I/In2O3</t>
        </is>
      </c>
      <c r="D67" s="5" t="inlineStr">
        <is>
          <t>SI Table S2, Pd-I/In2O3 This work</t>
        </is>
      </c>
      <c r="E67" s="5" t="inlineStr">
        <is>
          <t>CO2 conversion</t>
        </is>
      </c>
      <c r="F67" s="5" t="n">
        <v>18.4</v>
      </c>
      <c r="G67" s="5" t="inlineStr">
        <is>
          <t>%</t>
        </is>
      </c>
      <c r="H67" s="5" t="inlineStr">
        <is>
          <t>SI Table S2</t>
        </is>
      </c>
      <c r="I67" s="5" t="n">
        <v>3</v>
      </c>
      <c r="J67" s="5" t="inlineStr">
        <is>
          <t>SI</t>
        </is>
      </c>
      <c r="K67" s="5" t="inlineStr">
        <is>
          <t>H2_CO2&lt;-figures;cat_mass_g&lt;-figures;metal_wt_pct&lt;-figures</t>
        </is>
      </c>
      <c r="L67" s="5" t="inlineStr">
        <is>
          <t>pdf/Rui_2017_CO2 hydrogenation to methanol over PdIn2O3 effects of Pd and oxygen vacancy.pdf</t>
        </is>
      </c>
      <c r="M67" s="5" t="inlineStr">
        <is>
          <t>si/10_1016_j_apcatb_2017_06_069__mmc1.docx</t>
        </is>
      </c>
      <c r="N67" s="6" t="inlineStr"/>
      <c r="O67" s="6" t="inlineStr"/>
      <c r="P67" s="6" t="inlineStr"/>
      <c r="Q67" s="6" t="inlineStr"/>
      <c r="R67" s="6" t="inlineStr"/>
    </row>
    <row r="68">
      <c r="A68" s="5" t="n">
        <v>67</v>
      </c>
      <c r="B68" s="5" t="inlineStr">
        <is>
          <t>10.1016/j.apcatb.2017.06.069</t>
        </is>
      </c>
      <c r="C68" s="5" t="inlineStr">
        <is>
          <t>In2O3</t>
        </is>
      </c>
      <c r="D68" s="5" t="inlineStr">
        <is>
          <t>SI Table S1, In2O3 This work</t>
        </is>
      </c>
      <c r="E68" s="5" t="inlineStr">
        <is>
          <t>pressure</t>
        </is>
      </c>
      <c r="F68" s="5" t="n">
        <v>50</v>
      </c>
      <c r="G68" s="5" t="inlineStr">
        <is>
          <t>bar</t>
        </is>
      </c>
      <c r="H68" s="5" t="inlineStr">
        <is>
          <t>SI Table S1</t>
        </is>
      </c>
      <c r="I68" s="5" t="n">
        <v>2</v>
      </c>
      <c r="J68" s="5" t="n"/>
      <c r="K68" s="5" t="inlineStr">
        <is>
          <t>H2_CO2&lt;-figures;cat_mass_g&lt;-figures</t>
        </is>
      </c>
      <c r="L68" s="5" t="inlineStr">
        <is>
          <t>pdf/Rui_2017_CO2 hydrogenation to methanol over PdIn2O3 effects of Pd and oxygen vacancy.pdf</t>
        </is>
      </c>
      <c r="M68" s="5" t="inlineStr">
        <is>
          <t>si/10_1016_j_apcatb_2017_06_069__mmc1.docx</t>
        </is>
      </c>
      <c r="N68" s="6" t="inlineStr"/>
      <c r="O68" s="6" t="inlineStr"/>
      <c r="P68" s="6" t="inlineStr"/>
      <c r="Q68" s="6" t="inlineStr"/>
      <c r="R68" s="6" t="inlineStr"/>
    </row>
    <row r="69">
      <c r="A69" s="5" t="n">
        <v>68</v>
      </c>
      <c r="B69" s="5" t="inlineStr">
        <is>
          <t>10.1016/j.apcatb.2017.06.069</t>
        </is>
      </c>
      <c r="C69" s="5" t="inlineStr">
        <is>
          <t>Pd-I/In2O3</t>
        </is>
      </c>
      <c r="D69" s="5" t="inlineStr">
        <is>
          <t>SI Table S2, Pd-I/In2O3 This work</t>
        </is>
      </c>
      <c r="E69" s="5" t="inlineStr">
        <is>
          <t>H2/CO2</t>
        </is>
      </c>
      <c r="F69" s="5" t="n">
        <v>4</v>
      </c>
      <c r="G69" s="5" t="inlineStr">
        <is>
          <t>mol/mol</t>
        </is>
      </c>
      <c r="H69" s="5" t="inlineStr">
        <is>
          <t>SI Table S2</t>
        </is>
      </c>
      <c r="I69" s="5" t="n">
        <v>3</v>
      </c>
      <c r="J69" s="5" t="n"/>
      <c r="K69" s="5" t="inlineStr">
        <is>
          <t>H2_CO2&lt;-figures;cat_mass_g&lt;-figures;metal_wt_pct&lt;-figures</t>
        </is>
      </c>
      <c r="L69" s="5" t="inlineStr">
        <is>
          <t>pdf/Rui_2017_CO2 hydrogenation to methanol over PdIn2O3 effects of Pd and oxygen vacancy.pdf</t>
        </is>
      </c>
      <c r="M69" s="5" t="inlineStr">
        <is>
          <t>si/10_1016_j_apcatb_2017_06_069__mmc1.docx</t>
        </is>
      </c>
      <c r="N69" s="6" t="inlineStr"/>
      <c r="O69" s="6" t="inlineStr"/>
      <c r="P69" s="6" t="inlineStr"/>
      <c r="Q69" s="6" t="inlineStr"/>
      <c r="R69" s="6" t="inlineStr"/>
    </row>
    <row r="70">
      <c r="A70" s="5" t="n">
        <v>69</v>
      </c>
      <c r="B70" s="5" t="inlineStr">
        <is>
          <t>10.1016/j.apcatb.2017.06.069</t>
        </is>
      </c>
      <c r="C70" s="5" t="inlineStr">
        <is>
          <t>In2O3</t>
        </is>
      </c>
      <c r="D70" s="5" t="inlineStr">
        <is>
          <t>SI Table S1, In2O3 This work</t>
        </is>
      </c>
      <c r="E70" s="5" t="inlineStr">
        <is>
          <t>H2/CO2</t>
        </is>
      </c>
      <c r="F70" s="5" t="n">
        <v>4</v>
      </c>
      <c r="G70" s="5" t="inlineStr">
        <is>
          <t>mol/mol</t>
        </is>
      </c>
      <c r="H70" s="5" t="inlineStr">
        <is>
          <t>SI Table S1</t>
        </is>
      </c>
      <c r="I70" s="5" t="n">
        <v>2</v>
      </c>
      <c r="J70" s="5" t="n"/>
      <c r="K70" s="5" t="inlineStr">
        <is>
          <t>H2_CO2&lt;-figures;cat_mass_g&lt;-figures</t>
        </is>
      </c>
      <c r="L70" s="5" t="inlineStr">
        <is>
          <t>pdf/Rui_2017_CO2 hydrogenation to methanol over PdIn2O3 effects of Pd and oxygen vacancy.pdf</t>
        </is>
      </c>
      <c r="M70" s="5" t="inlineStr">
        <is>
          <t>si/10_1016_j_apcatb_2017_06_069__mmc1.docx</t>
        </is>
      </c>
      <c r="N70" s="6" t="inlineStr"/>
      <c r="O70" s="6" t="inlineStr"/>
      <c r="P70" s="6" t="inlineStr"/>
      <c r="Q70" s="6" t="inlineStr"/>
      <c r="R70" s="6" t="inlineStr"/>
    </row>
    <row r="71">
      <c r="A71" s="5" t="n">
        <v>70</v>
      </c>
      <c r="B71" s="5" t="inlineStr">
        <is>
          <t>10.1016/j.apcatb.2017.06.069</t>
        </is>
      </c>
      <c r="C71" s="5" t="inlineStr">
        <is>
          <t>In2O3</t>
        </is>
      </c>
      <c r="D71" s="5" t="inlineStr">
        <is>
          <t>SI Table S1, In2O3 This work</t>
        </is>
      </c>
      <c r="E71" s="5" t="inlineStr">
        <is>
          <t>CH3OH selectivity</t>
        </is>
      </c>
      <c r="F71" s="5" t="n">
        <v>71.2</v>
      </c>
      <c r="G71" s="5" t="inlineStr">
        <is>
          <t>%</t>
        </is>
      </c>
      <c r="H71" s="5" t="inlineStr">
        <is>
          <t>SI Table S1</t>
        </is>
      </c>
      <c r="I71" s="5" t="n">
        <v>2</v>
      </c>
      <c r="J71" s="5" t="inlineStr">
        <is>
          <t>SI</t>
        </is>
      </c>
      <c r="K71" s="5" t="inlineStr">
        <is>
          <t>H2_CO2&lt;-figures;cat_mass_g&lt;-figures</t>
        </is>
      </c>
      <c r="L71" s="5" t="inlineStr">
        <is>
          <t>pdf/Rui_2017_CO2 hydrogenation to methanol over PdIn2O3 effects of Pd and oxygen vacancy.pdf</t>
        </is>
      </c>
      <c r="M71" s="5" t="inlineStr">
        <is>
          <t>si/10_1016_j_apcatb_2017_06_069__mmc1.docx</t>
        </is>
      </c>
      <c r="N71" s="6" t="inlineStr"/>
      <c r="O71" s="6" t="inlineStr"/>
      <c r="P71" s="6" t="inlineStr"/>
      <c r="Q71" s="6" t="inlineStr"/>
      <c r="R71" s="6" t="inlineStr"/>
    </row>
    <row r="72">
      <c r="A72" s="5" t="n">
        <v>71</v>
      </c>
      <c r="B72" s="5" t="inlineStr">
        <is>
          <t>10.1002/ente.201800747</t>
        </is>
      </c>
      <c r="C72" s="5" t="inlineStr">
        <is>
          <t>Cat-1.5</t>
        </is>
      </c>
      <c r="D72" s="5" t="inlineStr">
        <is>
          <t>SI Table S1, Cat-1.5, 300 °C</t>
        </is>
      </c>
      <c r="E72" s="5" t="inlineStr">
        <is>
          <t>STY (printed)</t>
        </is>
      </c>
      <c r="F72" s="5" t="inlineStr">
        <is>
          <t>0.074 gMeOH gcat-1 h-1</t>
        </is>
      </c>
      <c r="G72" s="5" t="inlineStr">
        <is>
          <t>as printed</t>
        </is>
      </c>
      <c r="H72" s="5" t="inlineStr">
        <is>
          <t>SI Table S1</t>
        </is>
      </c>
      <c r="I72" s="5" t="n">
        <v>1</v>
      </c>
      <c r="J72" s="5" t="inlineStr">
        <is>
          <t>SI</t>
        </is>
      </c>
      <c r="K72" s="5" t="inlineStr"/>
      <c r="L72" s="5" t="inlineStr">
        <is>
          <t>pdf/Chen_2019_MorphologyControllable HexagonalPhase Indium Oxide In Situ Structured onto a Thi.pdf</t>
        </is>
      </c>
      <c r="M72" s="5" t="inlineStr">
        <is>
          <t>si/10_1002_ente_201800747__si1.pdf</t>
        </is>
      </c>
      <c r="N72" s="6" t="inlineStr"/>
      <c r="O72" s="6" t="inlineStr"/>
      <c r="P72" s="6" t="inlineStr"/>
      <c r="Q72" s="6" t="inlineStr"/>
      <c r="R72" s="6" t="inlineStr"/>
    </row>
    <row r="73">
      <c r="A73" s="5" t="n">
        <v>72</v>
      </c>
      <c r="B73" s="5" t="inlineStr">
        <is>
          <t>10.1002/ente.201800747</t>
        </is>
      </c>
      <c r="C73" s="5" t="inlineStr">
        <is>
          <t>H-In2O3/Al2O3</t>
        </is>
      </c>
      <c r="D73" s="5" t="inlineStr">
        <is>
          <t>SI Table S1, H-In2O3/Al2O3, 325 °C</t>
        </is>
      </c>
      <c r="E73" s="5" t="inlineStr">
        <is>
          <t>pressure</t>
        </is>
      </c>
      <c r="F73" s="5" t="n">
        <v>40</v>
      </c>
      <c r="G73" s="5" t="inlineStr">
        <is>
          <t>bar</t>
        </is>
      </c>
      <c r="H73" s="5" t="inlineStr">
        <is>
          <t>SI Table S1</t>
        </is>
      </c>
      <c r="I73" s="5" t="n">
        <v>1</v>
      </c>
      <c r="J73" s="5" t="n"/>
      <c r="K73" s="5" t="inlineStr"/>
      <c r="L73" s="5" t="inlineStr">
        <is>
          <t>pdf/Chen_2019_MorphologyControllable HexagonalPhase Indium Oxide In Situ Structured onto a Thi.pdf</t>
        </is>
      </c>
      <c r="M73" s="5" t="inlineStr">
        <is>
          <t>si/10_1002_ente_201800747__si1.pdf</t>
        </is>
      </c>
      <c r="N73" s="6" t="inlineStr"/>
      <c r="O73" s="6" t="inlineStr"/>
      <c r="P73" s="6" t="inlineStr"/>
      <c r="Q73" s="6" t="inlineStr"/>
      <c r="R73" s="6" t="inlineStr"/>
    </row>
    <row r="74">
      <c r="A74" s="5" t="n">
        <v>73</v>
      </c>
      <c r="B74" s="5" t="inlineStr">
        <is>
          <t>10.1002/ente.201800747</t>
        </is>
      </c>
      <c r="C74" s="5" t="inlineStr">
        <is>
          <t>Cat-4.5</t>
        </is>
      </c>
      <c r="D74" s="5" t="inlineStr">
        <is>
          <t>Figure 4c/text, Cat-4.5 at 325 °C</t>
        </is>
      </c>
      <c r="E74" s="5" t="inlineStr">
        <is>
          <t>pressure</t>
        </is>
      </c>
      <c r="F74" s="5" t="n">
        <v>40</v>
      </c>
      <c r="G74" s="5" t="inlineStr">
        <is>
          <t>bar</t>
        </is>
      </c>
      <c r="H74" s="5" t="inlineStr">
        <is>
          <t>Figure 4c and text in Section 2.2</t>
        </is>
      </c>
      <c r="I74" s="5" t="n">
        <v>4</v>
      </c>
      <c r="J74" s="5" t="n"/>
      <c r="K74" s="5" t="inlineStr">
        <is>
          <t>S_CO&lt;-si;S_CH4&lt;-si</t>
        </is>
      </c>
      <c r="L74" s="5" t="inlineStr">
        <is>
          <t>pdf/Chen_2019_MorphologyControllable HexagonalPhase Indium Oxide In Situ Structured onto a Thi.pdf</t>
        </is>
      </c>
      <c r="M74" s="5" t="inlineStr">
        <is>
          <t>si/10_1002_ente_201800747__si1.pdf</t>
        </is>
      </c>
      <c r="N74" s="6" t="inlineStr"/>
      <c r="O74" s="6" t="inlineStr"/>
      <c r="P74" s="6" t="inlineStr"/>
      <c r="Q74" s="6" t="inlineStr"/>
      <c r="R74" s="6" t="inlineStr"/>
    </row>
    <row r="75">
      <c r="A75" s="5" t="n">
        <v>74</v>
      </c>
      <c r="B75" s="5" t="inlineStr">
        <is>
          <t>10.1002/ente.201800747</t>
        </is>
      </c>
      <c r="C75" s="5" t="inlineStr">
        <is>
          <t>H-In2O3/Al2O3</t>
        </is>
      </c>
      <c r="D75" s="5" t="inlineStr">
        <is>
          <t>SI Table S1, H-In2O3/Al2O3, 325 °C</t>
        </is>
      </c>
      <c r="E75" s="5" t="inlineStr">
        <is>
          <t>STY (printed)</t>
        </is>
      </c>
      <c r="F75" s="5" t="inlineStr">
        <is>
          <t>0.109 gMeOH gcat-1 h-1</t>
        </is>
      </c>
      <c r="G75" s="5" t="inlineStr">
        <is>
          <t>as printed</t>
        </is>
      </c>
      <c r="H75" s="5" t="inlineStr">
        <is>
          <t>SI Table S1</t>
        </is>
      </c>
      <c r="I75" s="5" t="n">
        <v>1</v>
      </c>
      <c r="J75" s="5" t="inlineStr">
        <is>
          <t>SI</t>
        </is>
      </c>
      <c r="K75" s="5" t="inlineStr"/>
      <c r="L75" s="5" t="inlineStr">
        <is>
          <t>pdf/Chen_2019_MorphologyControllable HexagonalPhase Indium Oxide In Situ Structured onto a Thi.pdf</t>
        </is>
      </c>
      <c r="M75" s="5" t="inlineStr">
        <is>
          <t>si/10_1002_ente_201800747__si1.pdf</t>
        </is>
      </c>
      <c r="N75" s="6" t="inlineStr"/>
      <c r="O75" s="6" t="inlineStr"/>
      <c r="P75" s="6" t="inlineStr"/>
      <c r="Q75" s="6" t="inlineStr"/>
      <c r="R75" s="6" t="inlineStr"/>
    </row>
    <row r="76">
      <c r="A76" s="5" t="n">
        <v>75</v>
      </c>
      <c r="B76" s="5" t="inlineStr">
        <is>
          <t>10.1002/ente.201800747</t>
        </is>
      </c>
      <c r="C76" s="5" t="inlineStr">
        <is>
          <t>H-In2O3/Al2O3</t>
        </is>
      </c>
      <c r="D76" s="5" t="inlineStr">
        <is>
          <t>SI Table S1, H-In2O3/Al2O3, 250 °C</t>
        </is>
      </c>
      <c r="E76" s="5" t="inlineStr">
        <is>
          <t>CO selectivity</t>
        </is>
      </c>
      <c r="F76" s="5" t="n">
        <v>6.8</v>
      </c>
      <c r="G76" s="5" t="inlineStr">
        <is>
          <t>%</t>
        </is>
      </c>
      <c r="H76" s="5" t="inlineStr">
        <is>
          <t>SI Table S1</t>
        </is>
      </c>
      <c r="I76" s="5" t="n">
        <v>1</v>
      </c>
      <c r="J76" s="5" t="inlineStr">
        <is>
          <t>SI</t>
        </is>
      </c>
      <c r="K76" s="5" t="inlineStr"/>
      <c r="L76" s="5" t="inlineStr">
        <is>
          <t>pdf/Chen_2019_MorphologyControllable HexagonalPhase Indium Oxide In Situ Structured onto a Thi.pdf</t>
        </is>
      </c>
      <c r="M76" s="5" t="inlineStr">
        <is>
          <t>si/10_1002_ente_201800747__si1.pdf</t>
        </is>
      </c>
      <c r="N76" s="6" t="inlineStr"/>
      <c r="O76" s="6" t="inlineStr"/>
      <c r="P76" s="6" t="inlineStr"/>
      <c r="Q76" s="6" t="inlineStr"/>
      <c r="R76" s="6" t="inlineStr"/>
    </row>
    <row r="77">
      <c r="A77" s="5" t="n">
        <v>76</v>
      </c>
      <c r="B77" s="5" t="inlineStr">
        <is>
          <t>10.1002/ente.201800747</t>
        </is>
      </c>
      <c r="C77" s="5" t="inlineStr">
        <is>
          <t>Cat-3.0</t>
        </is>
      </c>
      <c r="D77" s="5" t="inlineStr">
        <is>
          <t>Figure 4c, Cat-3.0 at 325 °C</t>
        </is>
      </c>
      <c r="E77" s="5" t="inlineStr">
        <is>
          <t>CO2 conversion</t>
        </is>
      </c>
      <c r="F77" s="5" t="n">
        <v>3.4</v>
      </c>
      <c r="G77" s="5" t="inlineStr">
        <is>
          <t>%</t>
        </is>
      </c>
      <c r="H77" s="5" t="inlineStr">
        <is>
          <t>Figure 4c</t>
        </is>
      </c>
      <c r="I77" s="5" t="n">
        <v>4</v>
      </c>
      <c r="J77" s="5" t="inlineStr">
        <is>
          <t>SI</t>
        </is>
      </c>
      <c r="K77" s="5" t="inlineStr">
        <is>
          <t>X_CO2&lt;-si;S_MeOH&lt;-si;S_CO&lt;-si;S_CH4&lt;-si;STY&lt;-si;GHSV&lt;-si;H2_CO2&lt;-si;cat_mass_g&lt;-si</t>
        </is>
      </c>
      <c r="L77" s="5" t="inlineStr">
        <is>
          <t>pdf/Chen_2019_MorphologyControllable HexagonalPhase Indium Oxide In Situ Structured onto a Thi.pdf</t>
        </is>
      </c>
      <c r="M77" s="5" t="inlineStr">
        <is>
          <t>si/10_1002_ente_201800747__si1.pdf</t>
        </is>
      </c>
      <c r="N77" s="6" t="inlineStr"/>
      <c r="O77" s="6" t="inlineStr"/>
      <c r="P77" s="6" t="inlineStr"/>
      <c r="Q77" s="6" t="inlineStr"/>
      <c r="R77" s="6" t="inlineStr"/>
    </row>
    <row r="78">
      <c r="A78" s="5" t="n">
        <v>77</v>
      </c>
      <c r="B78" s="5" t="inlineStr">
        <is>
          <t>10.1002/ente.201800747</t>
        </is>
      </c>
      <c r="C78" s="5" t="inlineStr">
        <is>
          <t>Cat-4.5</t>
        </is>
      </c>
      <c r="D78" s="5" t="inlineStr">
        <is>
          <t>SI Table S1, Cat-4.5, 250 °C</t>
        </is>
      </c>
      <c r="E78" s="5" t="inlineStr">
        <is>
          <t>CH4 selectivity</t>
        </is>
      </c>
      <c r="F78" s="5" t="n">
        <v>0</v>
      </c>
      <c r="G78" s="5" t="inlineStr">
        <is>
          <t>%</t>
        </is>
      </c>
      <c r="H78" s="5" t="inlineStr">
        <is>
          <t>SI Table S1</t>
        </is>
      </c>
      <c r="I78" s="5" t="n">
        <v>1</v>
      </c>
      <c r="J78" s="5" t="inlineStr">
        <is>
          <t>SI</t>
        </is>
      </c>
      <c r="K78" s="5" t="inlineStr"/>
      <c r="L78" s="5" t="inlineStr">
        <is>
          <t>pdf/Chen_2019_MorphologyControllable HexagonalPhase Indium Oxide In Situ Structured onto a Thi.pdf</t>
        </is>
      </c>
      <c r="M78" s="5" t="inlineStr">
        <is>
          <t>si/10_1002_ente_201800747__si1.pdf</t>
        </is>
      </c>
      <c r="N78" s="6" t="inlineStr"/>
      <c r="O78" s="6" t="inlineStr"/>
      <c r="P78" s="6" t="inlineStr"/>
      <c r="Q78" s="6" t="inlineStr"/>
      <c r="R78" s="6" t="inlineStr"/>
    </row>
    <row r="79">
      <c r="A79" s="5" t="n">
        <v>78</v>
      </c>
      <c r="B79" s="5" t="inlineStr">
        <is>
          <t>10.1002/ente.201800747</t>
        </is>
      </c>
      <c r="C79" s="5" t="inlineStr">
        <is>
          <t>Cat-4.5</t>
        </is>
      </c>
      <c r="D79" s="5" t="inlineStr">
        <is>
          <t>SI Table S1, Cat-4.5, 275 °C</t>
        </is>
      </c>
      <c r="E79" s="5" t="inlineStr">
        <is>
          <t>CH3OH selectivity</t>
        </is>
      </c>
      <c r="F79" s="5" t="n">
        <v>91.59999999999999</v>
      </c>
      <c r="G79" s="5" t="inlineStr">
        <is>
          <t>%</t>
        </is>
      </c>
      <c r="H79" s="5" t="inlineStr">
        <is>
          <t>SI Table S1</t>
        </is>
      </c>
      <c r="I79" s="5" t="n">
        <v>1</v>
      </c>
      <c r="J79" s="5" t="inlineStr">
        <is>
          <t>SI</t>
        </is>
      </c>
      <c r="K79" s="5" t="inlineStr"/>
      <c r="L79" s="5" t="inlineStr">
        <is>
          <t>pdf/Chen_2019_MorphologyControllable HexagonalPhase Indium Oxide In Situ Structured onto a Thi.pdf</t>
        </is>
      </c>
      <c r="M79" s="5" t="inlineStr">
        <is>
          <t>si/10_1002_ente_201800747__si1.pdf</t>
        </is>
      </c>
      <c r="N79" s="6" t="inlineStr"/>
      <c r="O79" s="6" t="inlineStr"/>
      <c r="P79" s="6" t="inlineStr"/>
      <c r="Q79" s="6" t="inlineStr"/>
      <c r="R79" s="6" t="inlineStr"/>
    </row>
    <row r="80">
      <c r="A80" s="5" t="n">
        <v>79</v>
      </c>
      <c r="B80" s="5" t="inlineStr">
        <is>
          <t>10.1002/ente.201800747</t>
        </is>
      </c>
      <c r="C80" s="5" t="inlineStr">
        <is>
          <t>In2O3-IWI/Al2O3/Al-fiber</t>
        </is>
      </c>
      <c r="D80" s="5" t="inlineStr">
        <is>
          <t>SI Table S1, In2O3-IWI/Al2O3/Al-fiber, 350 °C</t>
        </is>
      </c>
      <c r="E80" s="5" t="inlineStr">
        <is>
          <t>H2/CO2</t>
        </is>
      </c>
      <c r="F80" s="5" t="n">
        <v>3</v>
      </c>
      <c r="G80" s="5" t="inlineStr">
        <is>
          <t>mol/mol</t>
        </is>
      </c>
      <c r="H80" s="5" t="inlineStr">
        <is>
          <t>SI Table S1</t>
        </is>
      </c>
      <c r="I80" s="5" t="n">
        <v>1</v>
      </c>
      <c r="J80" s="5" t="n"/>
      <c r="K80" s="5" t="inlineStr"/>
      <c r="L80" s="5" t="inlineStr">
        <is>
          <t>pdf/Chen_2019_MorphologyControllable HexagonalPhase Indium Oxide In Situ Structured onto a Thi.pdf</t>
        </is>
      </c>
      <c r="M80" s="5" t="inlineStr">
        <is>
          <t>si/10_1002_ente_201800747__si1.pdf</t>
        </is>
      </c>
      <c r="N80" s="6" t="inlineStr"/>
      <c r="O80" s="6" t="inlineStr"/>
      <c r="P80" s="6" t="inlineStr"/>
      <c r="Q80" s="6" t="inlineStr"/>
      <c r="R80" s="6" t="inlineStr"/>
    </row>
    <row r="81">
      <c r="A81" s="5" t="n">
        <v>80</v>
      </c>
      <c r="B81" s="5" t="inlineStr">
        <is>
          <t>10.1002/ente.201800747</t>
        </is>
      </c>
      <c r="C81" s="5" t="inlineStr">
        <is>
          <t>H-In2O3/Al2O3</t>
        </is>
      </c>
      <c r="D81" s="5" t="inlineStr">
        <is>
          <t>SI Table S1, H-In2O3/Al2O3, 250 °C</t>
        </is>
      </c>
      <c r="E81" s="5" t="inlineStr">
        <is>
          <t>STY (printed)</t>
        </is>
      </c>
      <c r="F81" s="5" t="inlineStr">
        <is>
          <t>0.051 gMeOH gcat-1 h-1</t>
        </is>
      </c>
      <c r="G81" s="5" t="inlineStr">
        <is>
          <t>as printed</t>
        </is>
      </c>
      <c r="H81" s="5" t="inlineStr">
        <is>
          <t>SI Table S1</t>
        </is>
      </c>
      <c r="I81" s="5" t="n">
        <v>1</v>
      </c>
      <c r="J81" s="5" t="inlineStr">
        <is>
          <t>SI</t>
        </is>
      </c>
      <c r="K81" s="5" t="inlineStr"/>
      <c r="L81" s="5" t="inlineStr">
        <is>
          <t>pdf/Chen_2019_MorphologyControllable HexagonalPhase Indium Oxide In Situ Structured onto a Thi.pdf</t>
        </is>
      </c>
      <c r="M81" s="5" t="inlineStr">
        <is>
          <t>si/10_1002_ente_201800747__si1.pdf</t>
        </is>
      </c>
      <c r="N81" s="6" t="inlineStr"/>
      <c r="O81" s="6" t="inlineStr"/>
      <c r="P81" s="6" t="inlineStr"/>
      <c r="Q81" s="6" t="inlineStr"/>
      <c r="R81" s="6" t="inlineStr"/>
    </row>
    <row r="82">
      <c r="A82" s="5" t="n">
        <v>81</v>
      </c>
      <c r="B82" s="5" t="inlineStr">
        <is>
          <t>10.1002/cctc.202000974</t>
        </is>
      </c>
      <c r="C82" s="5" t="inlineStr">
        <is>
          <t>TiO2</t>
        </is>
      </c>
      <c r="D82" s="5" t="inlineStr">
        <is>
          <t>SI Table S3, TiO2, 225 °C</t>
        </is>
      </c>
      <c r="E82" s="5" t="inlineStr">
        <is>
          <t>CH4 selectivity</t>
        </is>
      </c>
      <c r="F82" s="5" t="n">
        <v>0</v>
      </c>
      <c r="G82" s="5" t="inlineStr">
        <is>
          <t>%</t>
        </is>
      </c>
      <c r="H82" s="5" t="inlineStr">
        <is>
          <t>SI Table S3</t>
        </is>
      </c>
      <c r="I82" s="5" t="n">
        <v>10</v>
      </c>
      <c r="J82" s="5" t="inlineStr">
        <is>
          <t>SI</t>
        </is>
      </c>
      <c r="K82" s="5" t="inlineStr"/>
      <c r="L82" s="5" t="inlineStr">
        <is>
          <t>pdf/RuizEsquius_2020_CO 2 Hydrogenation to CH 3 OH over PdZn Catalysts with Reduced CH 4 Production.pdf</t>
        </is>
      </c>
      <c r="M82" s="5" t="inlineStr">
        <is>
          <t>si/10_1002_cctc_202000974__si1.pdf</t>
        </is>
      </c>
      <c r="N82" s="6" t="inlineStr"/>
      <c r="O82" s="6" t="inlineStr"/>
      <c r="P82" s="6" t="inlineStr"/>
      <c r="Q82" s="6" t="inlineStr"/>
      <c r="R82" s="6" t="inlineStr"/>
    </row>
    <row r="83">
      <c r="A83" s="5" t="n">
        <v>82</v>
      </c>
      <c r="B83" s="5" t="inlineStr">
        <is>
          <t>10.1002/cctc.202000974</t>
        </is>
      </c>
      <c r="C83" s="5" t="inlineStr">
        <is>
          <t>Pd/TiO2</t>
        </is>
      </c>
      <c r="D83" s="5" t="inlineStr">
        <is>
          <t>Table 1 row 1, 225°C</t>
        </is>
      </c>
      <c r="E83" s="5" t="inlineStr">
        <is>
          <t>temperature</t>
        </is>
      </c>
      <c r="F83" s="5" t="n">
        <v>225</v>
      </c>
      <c r="G83" s="5" t="inlineStr">
        <is>
          <t>°C (from K)</t>
        </is>
      </c>
      <c r="H83" s="5" t="inlineStr">
        <is>
          <t>Table 1</t>
        </is>
      </c>
      <c r="I83" s="5" t="n">
        <v>3</v>
      </c>
      <c r="J83" s="5" t="n"/>
      <c r="K83" s="5" t="inlineStr">
        <is>
          <t>GHSV&lt;-si;cat_mass_g&lt;-si</t>
        </is>
      </c>
      <c r="L83" s="5" t="inlineStr">
        <is>
          <t>pdf/RuizEsquius_2020_CO 2 Hydrogenation to CH 3 OH over PdZn Catalysts with Reduced CH 4 Production.pdf</t>
        </is>
      </c>
      <c r="M83" s="5" t="inlineStr">
        <is>
          <t>si/10_1002_cctc_202000974__si1.pdf</t>
        </is>
      </c>
      <c r="N83" s="6" t="inlineStr"/>
      <c r="O83" s="6" t="inlineStr"/>
      <c r="P83" s="6" t="inlineStr"/>
      <c r="Q83" s="6" t="inlineStr"/>
      <c r="R83" s="6" t="inlineStr"/>
    </row>
    <row r="84">
      <c r="A84" s="5" t="n">
        <v>83</v>
      </c>
      <c r="B84" s="5" t="inlineStr">
        <is>
          <t>10.1002/cctc.202000974</t>
        </is>
      </c>
      <c r="C84" s="5" t="inlineStr">
        <is>
          <t>ZnTiO3</t>
        </is>
      </c>
      <c r="D84" s="5" t="inlineStr">
        <is>
          <t>SI Table S3, ZnTiO3, 250 °C</t>
        </is>
      </c>
      <c r="E84" s="5" t="inlineStr">
        <is>
          <t>CO selectivity</t>
        </is>
      </c>
      <c r="F84" s="5" t="n">
        <v>70</v>
      </c>
      <c r="G84" s="5" t="inlineStr">
        <is>
          <t>%</t>
        </is>
      </c>
      <c r="H84" s="5" t="inlineStr">
        <is>
          <t>SI Table S3</t>
        </is>
      </c>
      <c r="I84" s="5" t="n">
        <v>10</v>
      </c>
      <c r="J84" s="5" t="inlineStr">
        <is>
          <t>SI</t>
        </is>
      </c>
      <c r="K84" s="5" t="inlineStr"/>
      <c r="L84" s="5" t="inlineStr">
        <is>
          <t>pdf/RuizEsquius_2020_CO 2 Hydrogenation to CH 3 OH over PdZn Catalysts with Reduced CH 4 Production.pdf</t>
        </is>
      </c>
      <c r="M84" s="5" t="inlineStr">
        <is>
          <t>si/10_1002_cctc_202000974__si1.pdf</t>
        </is>
      </c>
      <c r="N84" s="6" t="inlineStr"/>
      <c r="O84" s="6" t="inlineStr"/>
      <c r="P84" s="6" t="inlineStr"/>
      <c r="Q84" s="6" t="inlineStr"/>
      <c r="R84" s="6" t="inlineStr"/>
    </row>
    <row r="85">
      <c r="A85" s="5" t="n">
        <v>84</v>
      </c>
      <c r="B85" s="5" t="inlineStr">
        <is>
          <t>10.1002/cctc.202000974</t>
        </is>
      </c>
      <c r="C85" s="5" t="inlineStr">
        <is>
          <t>Pd/ZnO</t>
        </is>
      </c>
      <c r="D85" s="5" t="inlineStr">
        <is>
          <t>Figure 1, Pd/ZnO, 175°C</t>
        </is>
      </c>
      <c r="E85" s="5" t="inlineStr">
        <is>
          <t>CH3OH selectivity</t>
        </is>
      </c>
      <c r="F85" s="5" t="n">
        <v>69</v>
      </c>
      <c r="G85" s="5" t="inlineStr">
        <is>
          <t>%</t>
        </is>
      </c>
      <c r="H85" s="5" t="inlineStr">
        <is>
          <t>Figure 1</t>
        </is>
      </c>
      <c r="I85" s="5" t="n">
        <v>4</v>
      </c>
      <c r="J85" s="5" t="inlineStr">
        <is>
          <t>SI</t>
        </is>
      </c>
      <c r="K85" s="5" t="inlineStr">
        <is>
          <t>X_CO2&lt;-si;S_MeOH&lt;-si;S_CO&lt;-si;S_CH4&lt;-si;GHSV&lt;-si;H2_CO2&lt;-si;cat_mass_g&lt;-si;metal_wt_pct&lt;-figures</t>
        </is>
      </c>
      <c r="L85" s="5" t="inlineStr">
        <is>
          <t>pdf/RuizEsquius_2020_CO 2 Hydrogenation to CH 3 OH over PdZn Catalysts with Reduced CH 4 Production.pdf</t>
        </is>
      </c>
      <c r="M85" s="5" t="inlineStr">
        <is>
          <t>si/10_1002_cctc_202000974__si1.pdf</t>
        </is>
      </c>
      <c r="N85" s="6" t="inlineStr"/>
      <c r="O85" s="6" t="inlineStr"/>
      <c r="P85" s="6" t="inlineStr"/>
      <c r="Q85" s="6" t="inlineStr"/>
      <c r="R85" s="6" t="inlineStr"/>
    </row>
    <row r="86">
      <c r="A86" s="5" t="n">
        <v>85</v>
      </c>
      <c r="B86" s="5" t="inlineStr">
        <is>
          <t>10.1002/cctc.202000974</t>
        </is>
      </c>
      <c r="C86" s="5" t="inlineStr">
        <is>
          <t>Pd/ZnTiO3</t>
        </is>
      </c>
      <c r="D86" s="5" t="inlineStr">
        <is>
          <t>SI Table S2, Pd/ZnTiO3, 200 °C</t>
        </is>
      </c>
      <c r="E86" s="5" t="inlineStr">
        <is>
          <t>H2/CO2</t>
        </is>
      </c>
      <c r="F86" s="5" t="n">
        <v>3</v>
      </c>
      <c r="G86" s="5" t="inlineStr">
        <is>
          <t>mol/mol</t>
        </is>
      </c>
      <c r="H86" s="5" t="inlineStr">
        <is>
          <t>SI Table S2</t>
        </is>
      </c>
      <c r="I86" s="5" t="n">
        <v>9</v>
      </c>
      <c r="J86" s="5" t="n"/>
      <c r="K86" s="5" t="inlineStr"/>
      <c r="L86" s="5" t="inlineStr">
        <is>
          <t>pdf/RuizEsquius_2020_CO 2 Hydrogenation to CH 3 OH over PdZn Catalysts with Reduced CH 4 Production.pdf</t>
        </is>
      </c>
      <c r="M86" s="5" t="inlineStr">
        <is>
          <t>si/10_1002_cctc_202000974__si1.pdf</t>
        </is>
      </c>
      <c r="N86" s="6" t="inlineStr"/>
      <c r="O86" s="6" t="inlineStr"/>
      <c r="P86" s="6" t="inlineStr"/>
      <c r="Q86" s="6" t="inlineStr"/>
      <c r="R86" s="6" t="inlineStr"/>
    </row>
    <row r="87">
      <c r="A87" s="5" t="n">
        <v>86</v>
      </c>
      <c r="B87" s="5" t="inlineStr">
        <is>
          <t>10.1002/cctc.202000974</t>
        </is>
      </c>
      <c r="C87" s="5" t="inlineStr">
        <is>
          <t>Pd/TiO2</t>
        </is>
      </c>
      <c r="D87" s="5" t="inlineStr">
        <is>
          <t>SI Table S2, Pd/TiO2, 250 °C</t>
        </is>
      </c>
      <c r="E87" s="5" t="inlineStr">
        <is>
          <t>CO selectivity</t>
        </is>
      </c>
      <c r="F87" s="5" t="n">
        <v>91.40000000000001</v>
      </c>
      <c r="G87" s="5" t="inlineStr">
        <is>
          <t>%</t>
        </is>
      </c>
      <c r="H87" s="5" t="inlineStr">
        <is>
          <t>SI Table S2</t>
        </is>
      </c>
      <c r="I87" s="5" t="n">
        <v>8</v>
      </c>
      <c r="J87" s="5" t="inlineStr">
        <is>
          <t>SI</t>
        </is>
      </c>
      <c r="K87" s="5" t="inlineStr"/>
      <c r="L87" s="5" t="inlineStr">
        <is>
          <t>pdf/RuizEsquius_2020_CO 2 Hydrogenation to CH 3 OH over PdZn Catalysts with Reduced CH 4 Production.pdf</t>
        </is>
      </c>
      <c r="M87" s="5" t="inlineStr">
        <is>
          <t>si/10_1002_cctc_202000974__si1.pdf</t>
        </is>
      </c>
      <c r="N87" s="6" t="inlineStr"/>
      <c r="O87" s="6" t="inlineStr"/>
      <c r="P87" s="6" t="inlineStr"/>
      <c r="Q87" s="6" t="inlineStr"/>
      <c r="R87" s="6" t="inlineStr"/>
    </row>
    <row r="88">
      <c r="A88" s="5" t="n">
        <v>87</v>
      </c>
      <c r="B88" s="5" t="inlineStr">
        <is>
          <t>10.1002/cctc.202000974</t>
        </is>
      </c>
      <c r="C88" s="5" t="inlineStr">
        <is>
          <t>TiO2</t>
        </is>
      </c>
      <c r="D88" s="5" t="inlineStr">
        <is>
          <t>SI Table S3, TiO2, 200 °C</t>
        </is>
      </c>
      <c r="E88" s="5" t="inlineStr">
        <is>
          <t>temperature</t>
        </is>
      </c>
      <c r="F88" s="5" t="n">
        <v>200</v>
      </c>
      <c r="G88" s="5" t="inlineStr">
        <is>
          <t>°C (from K)</t>
        </is>
      </c>
      <c r="H88" s="5" t="inlineStr">
        <is>
          <t>SI Table S3</t>
        </is>
      </c>
      <c r="I88" s="5" t="n">
        <v>10</v>
      </c>
      <c r="J88" s="5" t="n"/>
      <c r="K88" s="5" t="inlineStr"/>
      <c r="L88" s="5" t="inlineStr">
        <is>
          <t>pdf/RuizEsquius_2020_CO 2 Hydrogenation to CH 3 OH over PdZn Catalysts with Reduced CH 4 Production.pdf</t>
        </is>
      </c>
      <c r="M88" s="5" t="inlineStr">
        <is>
          <t>si/10_1002_cctc_202000974__si1.pdf</t>
        </is>
      </c>
      <c r="N88" s="6" t="inlineStr"/>
      <c r="O88" s="6" t="inlineStr"/>
      <c r="P88" s="6" t="inlineStr"/>
      <c r="Q88" s="6" t="inlineStr"/>
      <c r="R88" s="6" t="inlineStr"/>
    </row>
    <row r="89">
      <c r="A89" s="5" t="n">
        <v>88</v>
      </c>
      <c r="B89" s="5" t="inlineStr">
        <is>
          <t>10.1002/cctc.202000974</t>
        </is>
      </c>
      <c r="C89" s="5" t="inlineStr">
        <is>
          <t>ZnO</t>
        </is>
      </c>
      <c r="D89" s="5" t="inlineStr">
        <is>
          <t>SI Table S3, ZnO, 250 °C</t>
        </is>
      </c>
      <c r="E89" s="5" t="inlineStr">
        <is>
          <t>CH4 selectivity</t>
        </is>
      </c>
      <c r="F89" s="5" t="n">
        <v>0</v>
      </c>
      <c r="G89" s="5" t="inlineStr">
        <is>
          <t>%</t>
        </is>
      </c>
      <c r="H89" s="5" t="inlineStr">
        <is>
          <t>SI Table S3</t>
        </is>
      </c>
      <c r="I89" s="5" t="n">
        <v>10</v>
      </c>
      <c r="J89" s="5" t="inlineStr">
        <is>
          <t>SI</t>
        </is>
      </c>
      <c r="K89" s="5" t="inlineStr"/>
      <c r="L89" s="5" t="inlineStr">
        <is>
          <t>pdf/RuizEsquius_2020_CO 2 Hydrogenation to CH 3 OH over PdZn Catalysts with Reduced CH 4 Production.pdf</t>
        </is>
      </c>
      <c r="M89" s="5" t="inlineStr">
        <is>
          <t>si/10_1002_cctc_202000974__si1.pdf</t>
        </is>
      </c>
      <c r="N89" s="6" t="inlineStr"/>
      <c r="O89" s="6" t="inlineStr"/>
      <c r="P89" s="6" t="inlineStr"/>
      <c r="Q89" s="6" t="inlineStr"/>
      <c r="R89" s="6" t="inlineStr"/>
    </row>
    <row r="90">
      <c r="A90" s="5" t="n">
        <v>89</v>
      </c>
      <c r="B90" s="5" t="inlineStr">
        <is>
          <t>10.1002/cctc.202000974</t>
        </is>
      </c>
      <c r="C90" s="5" t="inlineStr">
        <is>
          <t>physical mixture of Pd/ZnO and TiO2</t>
        </is>
      </c>
      <c r="D90" s="5" t="inlineStr">
        <is>
          <t>Text, physical mixture Pd/ZnO and TiO2, 250°C</t>
        </is>
      </c>
      <c r="E90" s="5" t="inlineStr">
        <is>
          <t>CO selectivity</t>
        </is>
      </c>
      <c r="F90" s="5" t="n">
        <v>73.3</v>
      </c>
      <c r="G90" s="5" t="inlineStr">
        <is>
          <t>%</t>
        </is>
      </c>
      <c r="H90" s="5" t="inlineStr">
        <is>
          <t>Results text</t>
        </is>
      </c>
      <c r="I90" s="5" t="n">
        <v>3</v>
      </c>
      <c r="J90" s="5" t="inlineStr">
        <is>
          <t>SI</t>
        </is>
      </c>
      <c r="K90" s="5" t="inlineStr">
        <is>
          <t>X_CO2&lt;-si;S_MeOH&lt;-si;S_CO&lt;-si;S_CH4&lt;-si;GHSV&lt;-si;cat_mass_g&lt;-si</t>
        </is>
      </c>
      <c r="L90" s="5" t="inlineStr">
        <is>
          <t>pdf/RuizEsquius_2020_CO 2 Hydrogenation to CH 3 OH over PdZn Catalysts with Reduced CH 4 Production.pdf</t>
        </is>
      </c>
      <c r="M90" s="5" t="inlineStr">
        <is>
          <t>si/10_1002_cctc_202000974__si1.pdf</t>
        </is>
      </c>
      <c r="N90" s="6" t="inlineStr"/>
      <c r="O90" s="6" t="inlineStr"/>
      <c r="P90" s="6" t="inlineStr"/>
      <c r="Q90" s="6" t="inlineStr"/>
      <c r="R90" s="6" t="inlineStr"/>
    </row>
    <row r="91">
      <c r="A91" s="5" t="n">
        <v>90</v>
      </c>
      <c r="B91" s="5" t="inlineStr">
        <is>
          <t>10.1002/cctc.202000974</t>
        </is>
      </c>
      <c r="C91" s="5" t="inlineStr">
        <is>
          <t>Pd/ZnO</t>
        </is>
      </c>
      <c r="D91" s="5" t="inlineStr">
        <is>
          <t>Table 1 row 2, 225°C</t>
        </is>
      </c>
      <c r="E91" s="5" t="inlineStr">
        <is>
          <t>H2/CO2</t>
        </is>
      </c>
      <c r="F91" s="5" t="n">
        <v>3</v>
      </c>
      <c r="G91" s="5" t="inlineStr">
        <is>
          <t>mol/mol</t>
        </is>
      </c>
      <c r="H91" s="5" t="inlineStr">
        <is>
          <t>Table 1</t>
        </is>
      </c>
      <c r="I91" s="5" t="n">
        <v>3</v>
      </c>
      <c r="J91" s="5" t="n"/>
      <c r="K91" s="5" t="inlineStr">
        <is>
          <t>GHSV&lt;-si;cat_mass_g&lt;-si;metal_wt_pct&lt;-figures</t>
        </is>
      </c>
      <c r="L91" s="5" t="inlineStr">
        <is>
          <t>pdf/RuizEsquius_2020_CO 2 Hydrogenation to CH 3 OH over PdZn Catalysts with Reduced CH 4 Production.pdf</t>
        </is>
      </c>
      <c r="M91" s="5" t="inlineStr">
        <is>
          <t>si/10_1002_cctc_202000974__si1.pdf</t>
        </is>
      </c>
      <c r="N91" s="6" t="inlineStr"/>
      <c r="O91" s="6" t="inlineStr"/>
      <c r="P91" s="6" t="inlineStr"/>
      <c r="Q91" s="6" t="inlineStr"/>
      <c r="R91" s="6" t="inlineStr"/>
    </row>
    <row r="92">
      <c r="A92" s="5" t="n">
        <v>91</v>
      </c>
      <c r="B92" s="5" t="inlineStr">
        <is>
          <t>10.1016/j.jcat.2012.05.020</t>
        </is>
      </c>
      <c r="C92" s="5" t="inlineStr">
        <is>
          <t>PdMgGa</t>
        </is>
      </c>
      <c r="D92" s="5" t="inlineStr">
        <is>
          <t>Table 2, PdMgGa</t>
        </is>
      </c>
      <c r="E92" s="5" t="inlineStr">
        <is>
          <t>CO2 conversion</t>
        </is>
      </c>
      <c r="F92" s="5" t="n">
        <v>1</v>
      </c>
      <c r="G92" s="5" t="inlineStr">
        <is>
          <t>%</t>
        </is>
      </c>
      <c r="H92" s="5" t="inlineStr">
        <is>
          <t>Table 2</t>
        </is>
      </c>
      <c r="I92" s="5" t="n">
        <v>11</v>
      </c>
      <c r="J92" s="5" t="inlineStr">
        <is>
          <t>table</t>
        </is>
      </c>
      <c r="K92" s="5" t="inlineStr"/>
      <c r="L92" s="5" t="inlineStr">
        <is>
          <t>pdf/Ota_2012_Comparative study of hydrotalcite-derived supported Pd2Ga and PdZn intermetallic.pdf</t>
        </is>
      </c>
      <c r="M92" s="5" t="inlineStr">
        <is>
          <t>si/10_1016_j_jcat_2012_05_020__mmc1.pdf</t>
        </is>
      </c>
      <c r="N92" s="6" t="inlineStr"/>
      <c r="O92" s="6" t="inlineStr"/>
      <c r="P92" s="6" t="inlineStr"/>
      <c r="Q92" s="6" t="inlineStr"/>
      <c r="R92" s="6" t="inlineStr"/>
    </row>
    <row r="93">
      <c r="A93" s="5" t="n">
        <v>92</v>
      </c>
      <c r="B93" s="5" t="inlineStr">
        <is>
          <t>10.1016/j.jcat.2012.05.020</t>
        </is>
      </c>
      <c r="C93" s="5" t="inlineStr">
        <is>
          <t>PdMgAl</t>
        </is>
      </c>
      <c r="D93" s="5" t="inlineStr">
        <is>
          <t>Table 2, PdMgAl</t>
        </is>
      </c>
      <c r="E93" s="5" t="inlineStr">
        <is>
          <t>CO2 conversion</t>
        </is>
      </c>
      <c r="F93" s="5" t="n">
        <v>0.3</v>
      </c>
      <c r="G93" s="5" t="inlineStr">
        <is>
          <t>%</t>
        </is>
      </c>
      <c r="H93" s="5" t="inlineStr">
        <is>
          <t>Table 2</t>
        </is>
      </c>
      <c r="I93" s="5" t="n">
        <v>11</v>
      </c>
      <c r="J93" s="5" t="inlineStr">
        <is>
          <t>table</t>
        </is>
      </c>
      <c r="K93" s="5" t="inlineStr"/>
      <c r="L93" s="5" t="inlineStr">
        <is>
          <t>pdf/Ota_2012_Comparative study of hydrotalcite-derived supported Pd2Ga and PdZn intermetallic.pdf</t>
        </is>
      </c>
      <c r="M93" s="5" t="inlineStr">
        <is>
          <t>si/10_1016_j_jcat_2012_05_020__mmc1.pdf</t>
        </is>
      </c>
      <c r="N93" s="6" t="inlineStr"/>
      <c r="O93" s="6" t="inlineStr"/>
      <c r="P93" s="6" t="inlineStr"/>
      <c r="Q93" s="6" t="inlineStr"/>
      <c r="R93" s="6" t="inlineStr"/>
    </row>
    <row r="94">
      <c r="A94" s="5" t="n">
        <v>93</v>
      </c>
      <c r="B94" s="5" t="inlineStr">
        <is>
          <t>10.1016/j.jcat.2012.05.020</t>
        </is>
      </c>
      <c r="C94" s="5" t="inlineStr">
        <is>
          <t>PdZnAl</t>
        </is>
      </c>
      <c r="D94" s="5" t="inlineStr">
        <is>
          <t>Table 2, PdZnAl</t>
        </is>
      </c>
      <c r="E94" s="5" t="inlineStr">
        <is>
          <t>CH4 selectivity</t>
        </is>
      </c>
      <c r="F94" s="5" t="n">
        <v>0.1</v>
      </c>
      <c r="G94" s="5" t="inlineStr">
        <is>
          <t>%</t>
        </is>
      </c>
      <c r="H94" s="5" t="inlineStr">
        <is>
          <t>Table 2</t>
        </is>
      </c>
      <c r="I94" s="5" t="n">
        <v>11</v>
      </c>
      <c r="J94" s="5" t="inlineStr">
        <is>
          <t>table</t>
        </is>
      </c>
      <c r="K94" s="5" t="inlineStr"/>
      <c r="L94" s="5" t="inlineStr">
        <is>
          <t>pdf/Ota_2012_Comparative study of hydrotalcite-derived supported Pd2Ga and PdZn intermetallic.pdf</t>
        </is>
      </c>
      <c r="M94" s="5" t="inlineStr">
        <is>
          <t>si/10_1016_j_jcat_2012_05_020__mmc1.pdf</t>
        </is>
      </c>
      <c r="N94" s="6" t="inlineStr"/>
      <c r="O94" s="6" t="inlineStr"/>
      <c r="P94" s="6" t="inlineStr"/>
      <c r="Q94" s="6" t="inlineStr"/>
      <c r="R94" s="6" t="inlineStr"/>
    </row>
    <row r="95">
      <c r="A95" s="5" t="n">
        <v>94</v>
      </c>
      <c r="B95" s="5" t="inlineStr">
        <is>
          <t>10.1016/j.jcat.2012.05.020</t>
        </is>
      </c>
      <c r="C95" s="5" t="inlineStr">
        <is>
          <t>PdZnAl</t>
        </is>
      </c>
      <c r="D95" s="5" t="inlineStr">
        <is>
          <t>Table 2, PdZnAl</t>
        </is>
      </c>
      <c r="E95" s="5" t="inlineStr">
        <is>
          <t>temperature</t>
        </is>
      </c>
      <c r="F95" s="5" t="n">
        <v>249.85</v>
      </c>
      <c r="G95" s="5" t="inlineStr">
        <is>
          <t>°C (from K)</t>
        </is>
      </c>
      <c r="H95" s="5" t="inlineStr">
        <is>
          <t>Table 2</t>
        </is>
      </c>
      <c r="I95" s="5" t="n">
        <v>11</v>
      </c>
      <c r="J95" s="5" t="n"/>
      <c r="K95" s="5" t="inlineStr"/>
      <c r="L95" s="5" t="inlineStr">
        <is>
          <t>pdf/Ota_2012_Comparative study of hydrotalcite-derived supported Pd2Ga and PdZn intermetallic.pdf</t>
        </is>
      </c>
      <c r="M95" s="5" t="inlineStr">
        <is>
          <t>si/10_1016_j_jcat_2012_05_020__mmc1.pdf</t>
        </is>
      </c>
      <c r="N95" s="6" t="inlineStr"/>
      <c r="O95" s="6" t="inlineStr"/>
      <c r="P95" s="6" t="inlineStr"/>
      <c r="Q95" s="6" t="inlineStr"/>
      <c r="R95" s="6" t="inlineStr"/>
    </row>
    <row r="96">
      <c r="A96" s="5" t="n">
        <v>95</v>
      </c>
      <c r="B96" s="5" t="inlineStr">
        <is>
          <t>10.1016/j.jcat.2012.05.020</t>
        </is>
      </c>
      <c r="C96" s="5" t="inlineStr">
        <is>
          <t>PdZnAl</t>
        </is>
      </c>
      <c r="D96" s="5" t="inlineStr">
        <is>
          <t>Table 2, PdZnAl</t>
        </is>
      </c>
      <c r="E96" s="5" t="inlineStr">
        <is>
          <t>H2/CO2</t>
        </is>
      </c>
      <c r="F96" s="5" t="n">
        <v>3</v>
      </c>
      <c r="G96" s="5" t="inlineStr">
        <is>
          <t>mol/mol</t>
        </is>
      </c>
      <c r="H96" s="5" t="inlineStr">
        <is>
          <t>Table 2</t>
        </is>
      </c>
      <c r="I96" s="5" t="n">
        <v>11</v>
      </c>
      <c r="J96" s="5" t="n"/>
      <c r="K96" s="5" t="inlineStr"/>
      <c r="L96" s="5" t="inlineStr">
        <is>
          <t>pdf/Ota_2012_Comparative study of hydrotalcite-derived supported Pd2Ga and PdZn intermetallic.pdf</t>
        </is>
      </c>
      <c r="M96" s="5" t="inlineStr">
        <is>
          <t>si/10_1016_j_jcat_2012_05_020__mmc1.pdf</t>
        </is>
      </c>
      <c r="N96" s="6" t="inlineStr"/>
      <c r="O96" s="6" t="inlineStr"/>
      <c r="P96" s="6" t="inlineStr"/>
      <c r="Q96" s="6" t="inlineStr"/>
      <c r="R96" s="6" t="inlineStr"/>
    </row>
    <row r="97">
      <c r="A97" s="5" t="n">
        <v>96</v>
      </c>
      <c r="B97" s="5" t="inlineStr">
        <is>
          <t>10.1016/j.jcat.2012.05.020</t>
        </is>
      </c>
      <c r="C97" s="5" t="inlineStr">
        <is>
          <t>PdMgGa</t>
        </is>
      </c>
      <c r="D97" s="5" t="inlineStr">
        <is>
          <t>Table 2, PdMgGa</t>
        </is>
      </c>
      <c r="E97" s="5" t="inlineStr">
        <is>
          <t>H2/CO2</t>
        </is>
      </c>
      <c r="F97" s="5" t="n">
        <v>3</v>
      </c>
      <c r="G97" s="5" t="inlineStr">
        <is>
          <t>mol/mol</t>
        </is>
      </c>
      <c r="H97" s="5" t="inlineStr">
        <is>
          <t>Table 2</t>
        </is>
      </c>
      <c r="I97" s="5" t="n">
        <v>11</v>
      </c>
      <c r="J97" s="5" t="n"/>
      <c r="K97" s="5" t="inlineStr"/>
      <c r="L97" s="5" t="inlineStr">
        <is>
          <t>pdf/Ota_2012_Comparative study of hydrotalcite-derived supported Pd2Ga and PdZn intermetallic.pdf</t>
        </is>
      </c>
      <c r="M97" s="5" t="inlineStr">
        <is>
          <t>si/10_1016_j_jcat_2012_05_020__mmc1.pdf</t>
        </is>
      </c>
      <c r="N97" s="6" t="inlineStr"/>
      <c r="O97" s="6" t="inlineStr"/>
      <c r="P97" s="6" t="inlineStr"/>
      <c r="Q97" s="6" t="inlineStr"/>
      <c r="R97" s="6" t="inlineStr"/>
    </row>
    <row r="98">
      <c r="A98" s="5" t="n">
        <v>97</v>
      </c>
      <c r="B98" s="5" t="inlineStr">
        <is>
          <t>10.1016/j.jcat.2012.05.020</t>
        </is>
      </c>
      <c r="C98" s="5" t="inlineStr">
        <is>
          <t>PdMgAl</t>
        </is>
      </c>
      <c r="D98" s="5" t="inlineStr">
        <is>
          <t>Table 2, PdMgAl</t>
        </is>
      </c>
      <c r="E98" s="5" t="inlineStr">
        <is>
          <t>temperature</t>
        </is>
      </c>
      <c r="F98" s="5" t="n">
        <v>249.85</v>
      </c>
      <c r="G98" s="5" t="inlineStr">
        <is>
          <t>°C (from K)</t>
        </is>
      </c>
      <c r="H98" s="5" t="inlineStr">
        <is>
          <t>Table 2</t>
        </is>
      </c>
      <c r="I98" s="5" t="n">
        <v>11</v>
      </c>
      <c r="J98" s="5" t="n"/>
      <c r="K98" s="5" t="inlineStr"/>
      <c r="L98" s="5" t="inlineStr">
        <is>
          <t>pdf/Ota_2012_Comparative study of hydrotalcite-derived supported Pd2Ga and PdZn intermetallic.pdf</t>
        </is>
      </c>
      <c r="M98" s="5" t="inlineStr">
        <is>
          <t>si/10_1016_j_jcat_2012_05_020__mmc1.pdf</t>
        </is>
      </c>
      <c r="N98" s="6" t="inlineStr"/>
      <c r="O98" s="6" t="inlineStr"/>
      <c r="P98" s="6" t="inlineStr"/>
      <c r="Q98" s="6" t="inlineStr"/>
      <c r="R98" s="6" t="inlineStr"/>
    </row>
    <row r="99">
      <c r="A99" s="5" t="n">
        <v>98</v>
      </c>
      <c r="B99" s="5" t="inlineStr">
        <is>
          <t>10.1016/j.jcat.2012.05.020</t>
        </is>
      </c>
      <c r="C99" s="5" t="inlineStr">
        <is>
          <t>PdMgGa</t>
        </is>
      </c>
      <c r="D99" s="5" t="inlineStr">
        <is>
          <t>Table 2, PdMgGa</t>
        </is>
      </c>
      <c r="E99" s="5" t="inlineStr">
        <is>
          <t>temperature</t>
        </is>
      </c>
      <c r="F99" s="5" t="n">
        <v>249.85</v>
      </c>
      <c r="G99" s="5" t="inlineStr">
        <is>
          <t>°C (from K)</t>
        </is>
      </c>
      <c r="H99" s="5" t="inlineStr">
        <is>
          <t>Table 2</t>
        </is>
      </c>
      <c r="I99" s="5" t="n">
        <v>11</v>
      </c>
      <c r="J99" s="5" t="n"/>
      <c r="K99" s="5" t="inlineStr"/>
      <c r="L99" s="5" t="inlineStr">
        <is>
          <t>pdf/Ota_2012_Comparative study of hydrotalcite-derived supported Pd2Ga and PdZn intermetallic.pdf</t>
        </is>
      </c>
      <c r="M99" s="5" t="inlineStr">
        <is>
          <t>si/10_1016_j_jcat_2012_05_020__mmc1.pdf</t>
        </is>
      </c>
      <c r="N99" s="6" t="inlineStr"/>
      <c r="O99" s="6" t="inlineStr"/>
      <c r="P99" s="6" t="inlineStr"/>
      <c r="Q99" s="6" t="inlineStr"/>
      <c r="R99" s="6" t="inlineStr"/>
    </row>
    <row r="100">
      <c r="A100" s="5" t="n">
        <v>99</v>
      </c>
      <c r="B100" s="5" t="inlineStr">
        <is>
          <t>10.1016/j.jcat.2012.05.020</t>
        </is>
      </c>
      <c r="C100" s="5" t="inlineStr">
        <is>
          <t>PdMgAl</t>
        </is>
      </c>
      <c r="D100" s="5" t="inlineStr">
        <is>
          <t>Table 2, PdMgAl</t>
        </is>
      </c>
      <c r="E100" s="5" t="inlineStr">
        <is>
          <t>STY (printed)</t>
        </is>
      </c>
      <c r="F100" s="5" t="inlineStr">
        <is>
          <t>0.3 µmol/min gcat</t>
        </is>
      </c>
      <c r="G100" s="5" t="inlineStr">
        <is>
          <t>as printed</t>
        </is>
      </c>
      <c r="H100" s="5" t="inlineStr">
        <is>
          <t>Table 2</t>
        </is>
      </c>
      <c r="I100" s="5" t="n">
        <v>11</v>
      </c>
      <c r="J100" s="5" t="inlineStr">
        <is>
          <t>table</t>
        </is>
      </c>
      <c r="K100" s="5" t="inlineStr"/>
      <c r="L100" s="5" t="inlineStr">
        <is>
          <t>pdf/Ota_2012_Comparative study of hydrotalcite-derived supported Pd2Ga and PdZn intermetallic.pdf</t>
        </is>
      </c>
      <c r="M100" s="5" t="inlineStr">
        <is>
          <t>si/10_1016_j_jcat_2012_05_020__mmc1.pdf</t>
        </is>
      </c>
      <c r="N100" s="6" t="inlineStr"/>
      <c r="O100" s="6" t="inlineStr"/>
      <c r="P100" s="6" t="inlineStr"/>
      <c r="Q100" s="6" t="inlineStr"/>
      <c r="R100" s="6" t="inlineStr"/>
    </row>
    <row r="101">
      <c r="A101" s="5" t="n">
        <v>100</v>
      </c>
      <c r="B101" s="5" t="inlineStr">
        <is>
          <t>10.1016/j.jcat.2012.05.020</t>
        </is>
      </c>
      <c r="C101" s="5" t="inlineStr">
        <is>
          <t>PdZnAl</t>
        </is>
      </c>
      <c r="D101" s="5" t="inlineStr">
        <is>
          <t>Table 2, PdZnAl</t>
        </is>
      </c>
      <c r="E101" s="5" t="inlineStr">
        <is>
          <t>CO2 conversion</t>
        </is>
      </c>
      <c r="F101" s="5" t="n">
        <v>0.6</v>
      </c>
      <c r="G101" s="5" t="inlineStr">
        <is>
          <t>%</t>
        </is>
      </c>
      <c r="H101" s="5" t="inlineStr">
        <is>
          <t>Table 2</t>
        </is>
      </c>
      <c r="I101" s="5" t="n">
        <v>11</v>
      </c>
      <c r="J101" s="5" t="inlineStr">
        <is>
          <t>table</t>
        </is>
      </c>
      <c r="K101" s="5" t="inlineStr"/>
      <c r="L101" s="5" t="inlineStr">
        <is>
          <t>pdf/Ota_2012_Comparative study of hydrotalcite-derived supported Pd2Ga and PdZn intermetallic.pdf</t>
        </is>
      </c>
      <c r="M101" s="5" t="inlineStr">
        <is>
          <t>si/10_1016_j_jcat_2012_05_020__mmc1.pdf</t>
        </is>
      </c>
      <c r="N101" s="6" t="inlineStr"/>
      <c r="O101" s="6" t="inlineStr"/>
      <c r="P101" s="6" t="inlineStr"/>
      <c r="Q101" s="6" t="inlineStr"/>
      <c r="R101" s="6" t="inlineStr"/>
    </row>
  </sheetData>
  <dataValidations count="2">
    <dataValidation sqref="P2:P101" showDropDown="0" showInputMessage="0" showErrorMessage="0" allowBlank="1" type="list">
      <formula1>"Y,N"</formula1>
    </dataValidation>
    <dataValidation sqref="Q2:Q101" showDropDown="0" showInputMessage="0" showErrorMessage="0" allowBlank="1" type="list">
      <formula1>"correct,rounding,wrong"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9" customWidth="1" min="2" max="2"/>
    <col width="76" customWidth="1" min="3" max="3"/>
    <col width="33" customWidth="1" min="4" max="4"/>
    <col width="85" customWidth="1" min="5" max="5"/>
    <col width="75" customWidth="1" min="6" max="6"/>
  </cols>
  <sheetData>
    <row r="1" ht="42" customHeight="1">
      <c r="A1" s="8" t="inlineStr">
        <is>
          <t>问题ID</t>
        </is>
      </c>
      <c r="B1" s="8" t="inlineStr">
        <is>
          <t>具体字段</t>
        </is>
      </c>
      <c r="C1" s="8" t="inlineStr">
        <is>
          <t>原文证据</t>
        </is>
      </c>
      <c r="D1" s="8" t="inlineStr">
        <is>
          <t>严格评价</t>
        </is>
      </c>
      <c r="E1" s="8" t="inlineStr">
        <is>
          <t>必须修订</t>
        </is>
      </c>
      <c r="F1" s="8" t="inlineStr">
        <is>
          <t>对主结论的含义</t>
        </is>
      </c>
    </row>
    <row r="2" ht="65" customHeight="1">
      <c r="A2" s="5" t="inlineStr">
        <is>
          <t>45,79,85,90</t>
        </is>
      </c>
      <c r="B2" s="5" t="inlineStr">
        <is>
          <t>H2/CO2</t>
        </is>
      </c>
      <c r="C2" s="5" t="inlineStr">
        <is>
          <t>原文给的是多组分 H2/CO2/N2 73/24/3；66/22/12；60/20/20</t>
        </is>
      </c>
      <c r="D2" s="5" t="inlineStr">
        <is>
          <t>数值准确、字段不直接印刷</t>
        </is>
      </c>
      <c r="E2" s="5" t="inlineStr">
        <is>
          <t>source_type=derived；存储feedcomposition三分量与计算式</t>
        </is>
      </c>
      <c r="F2" s="5" t="inlineStr">
        <is>
          <t>论文方法需明示选择气组成转换口径</t>
        </is>
      </c>
    </row>
    <row r="3" ht="65" customHeight="1">
      <c r="A3" s="5" t="inlineStr">
        <is>
          <t>95,96</t>
        </is>
      </c>
      <c r="B3" s="5" t="inlineStr">
        <is>
          <t>H2/CO2</t>
        </is>
      </c>
      <c r="C3" s="5" t="inlineStr">
        <is>
          <t>Ota Table2给CO2:H2=1:3</t>
        </is>
      </c>
      <c r="D3" s="5" t="inlineStr">
        <is>
          <t>倒序转换值正确</t>
        </is>
      </c>
      <c r="E3" s="5" t="inlineStr">
        <is>
          <t>raw_value=CO2:H2 1:3，normalized_H2/CO2=3</t>
        </is>
      </c>
      <c r="F3" s="5" t="inlineStr">
        <is>
          <t>避免将倒序比描述成原文直接写H2/CO2</t>
        </is>
      </c>
    </row>
    <row r="4" ht="65" customHeight="1">
      <c r="A4" s="5" t="inlineStr">
        <is>
          <t>40</t>
        </is>
      </c>
      <c r="B4" s="5" t="inlineStr">
        <is>
          <t>CO2 conversion 9.7%</t>
        </is>
      </c>
      <c r="C4" s="5" t="inlineStr">
        <is>
          <t>Frei正文Fig.6附近给9.7%，Table2无CO2 conversion列</t>
        </is>
      </c>
      <c r="D4" s="5" t="inlineStr">
        <is>
          <t>数值匹配、定位错误</t>
        </is>
      </c>
      <c r="E4" s="5" t="inlineStr">
        <is>
          <t>改found_where为Main text near Fig.6 (PDF p8)</t>
        </is>
      </c>
      <c r="F4" s="5" t="inlineStr">
        <is>
          <t>保证审稿人按索引能找到来源</t>
        </is>
      </c>
    </row>
    <row r="5" ht="65" customHeight="1">
      <c r="A5" s="5" t="inlineStr">
        <is>
          <t>93</t>
        </is>
      </c>
      <c r="B5" s="5" t="inlineStr">
        <is>
          <t>CH4 selectivity &lt;0.1%</t>
        </is>
      </c>
      <c r="C5" s="5" t="inlineStr">
        <is>
          <t>Ota正文 methods: traces (less than 0.1% selectivity) of methane</t>
        </is>
      </c>
      <c r="D5" s="5" t="inlineStr">
        <is>
          <t>上界不是实测0.1%</t>
        </is>
      </c>
      <c r="E5" s="5" t="inlineStr">
        <is>
          <t>源表增加qualifier列并保留&lt;；改定位为正文p3；不填exact 0.1</t>
        </is>
      </c>
      <c r="F5" s="5" t="inlineStr">
        <is>
          <t>必须作为censored/upper-bound输入处理</t>
        </is>
      </c>
    </row>
    <row r="6" ht="65" customHeight="1">
      <c r="A6" s="5" t="inlineStr">
        <is>
          <t>99</t>
        </is>
      </c>
      <c r="B6" s="5" t="inlineStr">
        <is>
          <t>STY (printed) 0.3</t>
        </is>
      </c>
      <c r="C6" s="5" t="inlineStr">
        <is>
          <t>Ota Table2列标题Rate, MeOH=0.3 µmol/(gcat min)</t>
        </is>
      </c>
      <c r="D6" s="5" t="inlineStr">
        <is>
          <t>值匹配、列名应审计</t>
        </is>
      </c>
      <c r="E6" s="5" t="inlineStr">
        <is>
          <t>保留原量纲并标注original_label=Rate而非直接定义为质量STY</t>
        </is>
      </c>
      <c r="F6" s="5" t="inlineStr">
        <is>
          <t>影响跨论文单位汇总风险</t>
        </is>
      </c>
    </row>
    <row r="7" ht="65" customHeight="1">
      <c r="A7" s="5" t="inlineStr">
        <is>
          <t>32</t>
        </is>
      </c>
      <c r="B7" s="5" t="inlineStr">
        <is>
          <t>CH3OH selectivity 75%</t>
        </is>
      </c>
      <c r="C7" s="5" t="inlineStr">
        <is>
          <t>Frei正文Fig6稳定性初期75→78%；Table2另给初始78%</t>
        </is>
      </c>
      <c r="D7" s="5" t="inlineStr">
        <is>
          <t>按实验序列分组两者均有各自来源</t>
        </is>
      </c>
      <c r="E7" s="5" t="inlineStr">
        <is>
          <t>区分Table2测量口径和500h稳定性序列</t>
        </is>
      </c>
      <c r="F7" s="5" t="inlineStr">
        <is>
          <t>同论文不能把两初始值当成相同运行点</t>
        </is>
      </c>
    </row>
    <row r="8" ht="65" customHeight="1">
      <c r="A8" s="5" t="inlineStr">
        <is>
          <t>10篇论文的条件字段</t>
        </is>
      </c>
      <c r="B8" s="5" t="inlineStr">
        <is>
          <t>重复P/T/H2/CO2</t>
        </is>
      </c>
      <c r="C8" s="5" t="inlineStr">
        <is>
          <t>同论文Table caption/common conditions跨多行共享</t>
        </is>
      </c>
      <c r="D8" s="5" t="inlineStr">
        <is>
          <t>源数值支持，但并非独立实验观测</t>
        </is>
      </c>
      <c r="E8" s="5" t="inlineStr">
        <is>
          <t>论文级cluster统计；分开性能与条件字段</t>
        </is>
      </c>
      <c r="F8" s="5" t="inlineStr">
        <is>
          <t>不能把100条当独立验证样本</t>
        </is>
      </c>
    </row>
    <row r="9" ht="65" customHeight="1">
      <c r="A9" s="5" t="inlineStr">
        <is>
          <t>未抽到的Bansode压力</t>
        </is>
      </c>
      <c r="B9" s="5" t="inlineStr">
        <is>
          <t>36MPa与36bar</t>
        </is>
      </c>
      <c r="C9" s="5" t="inlineStr">
        <is>
          <t>原始SI 0.4/3/10/36 MPa</t>
        </is>
      </c>
      <c r="D9" s="5" t="inlineStr">
        <is>
          <t>存在100条样本之外的外部数据库勘误风险</t>
        </is>
      </c>
      <c r="E9" s="5" t="inlineStr">
        <is>
          <t>与独立errata sheet交叉核，必要时回溯模型输入</t>
        </is>
      </c>
      <c r="F9" s="5" t="inlineStr">
        <is>
          <t>100条样本通过也不等于数据总体无单位错误</t>
        </is>
      </c>
    </row>
    <row r="10" ht="65" customHeight="1">
      <c r="A10" s="5" t="inlineStr">
        <is>
          <t>Malik原论文文本内部</t>
        </is>
      </c>
      <c r="B10" s="5" t="inlineStr">
        <is>
          <t>7.6% vs 7.7%</t>
        </is>
      </c>
      <c r="C10" s="5" t="inlineStr">
        <is>
          <t>正文4节7.6%但Table6 0.5Ca5P5ZC为7.7%</t>
        </is>
      </c>
      <c r="D10" s="5" t="inlineStr">
        <is>
          <t>文献内部冲突；非此次100抽样字段</t>
        </is>
      </c>
      <c r="E10" s="5" t="inlineStr">
        <is>
          <t>主模型若使用此行优先采用表格印刷值并备注冲突</t>
        </is>
      </c>
      <c r="F10" s="5" t="inlineStr">
        <is>
          <t>需审计模型引用来源</t>
        </is>
      </c>
    </row>
    <row r="11" ht="65" customHeight="1">
      <c r="A11" s="5" t="inlineStr">
        <is>
          <t>审计资格</t>
        </is>
      </c>
      <c r="B11" s="5" t="inlineStr">
        <is>
          <t>100项AI依据</t>
        </is>
      </c>
      <c r="C11" s="5" t="inlineStr">
        <is>
          <t>已有10篇主文、原始SI部分全部可获取</t>
        </is>
      </c>
      <c r="D11" s="5" t="inlineStr">
        <is>
          <t>AI辅助原文独立复核，不是人类双盲人工签字</t>
        </is>
      </c>
      <c r="E11" s="5" t="inlineStr">
        <is>
          <t>保留人工判定栏空白，请检查者复签</t>
        </is>
      </c>
      <c r="F11" s="5" t="inlineStr">
        <is>
          <t>论文摘要不能报告“100项已人工核验”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75" customWidth="1" min="3" max="3"/>
    <col width="80" customWidth="1" min="4" max="4"/>
    <col width="73" customWidth="1" min="5" max="5"/>
    <col width="15" customWidth="1" min="6" max="6"/>
    <col width="30" customWidth="1" min="7" max="7"/>
    <col width="50" customWidth="1" min="8" max="8"/>
  </cols>
  <sheetData>
    <row r="1" ht="42" customHeight="1">
      <c r="A1" s="8" t="inlineStr">
        <is>
          <t>来源KEY</t>
        </is>
      </c>
      <c r="B1" s="8" t="inlineStr">
        <is>
          <t>类型</t>
        </is>
      </c>
      <c r="C1" s="8" t="inlineStr">
        <is>
          <t>文件名</t>
        </is>
      </c>
      <c r="D1" s="8" t="inlineStr">
        <is>
          <t>Google Drive 原始地址</t>
        </is>
      </c>
      <c r="E1" s="8" t="inlineStr">
        <is>
          <t>SHA256</t>
        </is>
      </c>
      <c r="F1" s="8" t="inlineStr">
        <is>
          <t>字节数</t>
        </is>
      </c>
      <c r="G1" s="8" t="inlineStr">
        <is>
          <t>用于核验的ID</t>
        </is>
      </c>
      <c r="H1" s="8" t="inlineStr">
        <is>
          <t>注释</t>
        </is>
      </c>
    </row>
    <row r="2" ht="45" customHeight="1">
      <c r="A2" s="5" t="inlineStr">
        <is>
          <t>Malik-main</t>
        </is>
      </c>
      <c r="B2" s="5" t="inlineStr">
        <is>
          <t>论文正文</t>
        </is>
      </c>
      <c r="C2" s="5" t="inlineStr">
        <is>
          <t>Malik_2018_Development of highly selective PdZnCeO2 and Ca-doped PdZnCeO2 catalysts for met.pdf</t>
        </is>
      </c>
      <c r="D2" s="5" t="inlineStr">
        <is>
          <t>https://drive.google.com/file/d/1--kU_GkfzNu3dB71N5o_RA6ri2lVgEcj/view</t>
        </is>
      </c>
      <c r="E2" s="5" t="inlineStr">
        <is>
          <t>58e4e1e6d1ae981bc27217fd90ac31d34660d313ce095820052e13d7c065e1ab</t>
        </is>
      </c>
      <c r="F2" s="5" t="n">
        <v>3141275</v>
      </c>
      <c r="G2" s="5" t="inlineStr">
        <is>
          <t>1, 2, 3, 4, 5, 6, 7, 8, 9, 10</t>
        </is>
      </c>
      <c r="H2" s="5" t="inlineStr">
        <is>
          <t>源为Google Drive 2026-10-12下载的原始PDF；哈希用于离线再核</t>
        </is>
      </c>
    </row>
    <row r="3" ht="45" customHeight="1">
      <c r="A3" s="5" t="inlineStr">
        <is>
          <t>Meng-main</t>
        </is>
      </c>
      <c r="B3" s="5" t="inlineStr">
        <is>
          <t>论文正文</t>
        </is>
      </c>
      <c r="C3" s="5" t="inlineStr">
        <is>
          <t>Meng_2021_Oxygen-deficient metal oxides supported nano-intermetallic InNi 3 C 05 toward ef.pdf</t>
        </is>
      </c>
      <c r="D3" s="5" t="inlineStr">
        <is>
          <t>https://drive.google.com/file/d/1R7gbS2sdMmPWvqKsrC6fKUXSedvwZfwe/view</t>
        </is>
      </c>
      <c r="E3" s="5" t="inlineStr">
        <is>
          <t>c227d1c10d8ff9c77df8e7a2b1466afeb6e2aa272c436fcb2db7e55e2e5bbb37</t>
        </is>
      </c>
      <c r="F3" s="5" t="n">
        <v>4397358</v>
      </c>
      <c r="G3" s="5" t="inlineStr"/>
      <c r="H3" s="5" t="inlineStr">
        <is>
          <t>源为Google Drive 2026-10-12下载的原始PDF；哈希用于离线再核</t>
        </is>
      </c>
    </row>
    <row r="4" ht="45" customHeight="1">
      <c r="A4" s="5" t="inlineStr">
        <is>
          <t>Meng-SI</t>
        </is>
      </c>
      <c r="B4" s="5" t="inlineStr">
        <is>
          <t>补充材料</t>
        </is>
      </c>
      <c r="C4" s="5" t="inlineStr">
        <is>
          <t>10_1126_sciadv_abi6012__si1.pdf</t>
        </is>
      </c>
      <c r="D4" s="5" t="inlineStr">
        <is>
          <t>https://drive.google.com/file/d/1w4nbo1f-SQjZ1_mP63Uc7HuFbekYMUyA/view</t>
        </is>
      </c>
      <c r="E4" s="5" t="inlineStr">
        <is>
          <t>ebff6b65cec05a24ea067333c5cb805b9dcc83408f1205ac2781c578bde9b866</t>
        </is>
      </c>
      <c r="F4" s="5" t="n">
        <v>1971321</v>
      </c>
      <c r="G4" s="5" t="inlineStr">
        <is>
          <t>11, 12, 13, 14, 15, 16, 17, 18, 19, 20</t>
        </is>
      </c>
      <c r="H4" s="5" t="inlineStr">
        <is>
          <t>源为Google Drive 2026-10-12下载的原始PDF；哈希用于离线再核</t>
        </is>
      </c>
    </row>
    <row r="5" ht="45" customHeight="1">
      <c r="A5" s="5" t="inlineStr">
        <is>
          <t>Bansode-main</t>
        </is>
      </c>
      <c r="B5" s="5" t="inlineStr">
        <is>
          <t>论文正文</t>
        </is>
      </c>
      <c r="C5" s="5" t="inlineStr">
        <is>
          <t>Bansode_2013_Impact of K and Ba promoters on CO 2 hydrogenation over CuAl 2 O 3 catalysts at.pdf</t>
        </is>
      </c>
      <c r="D5" s="5" t="inlineStr">
        <is>
          <t>https://drive.google.com/file/d/1mHfxFIRroGBoD_rc-z2M0IDdER6fIXCu/view</t>
        </is>
      </c>
      <c r="E5" s="5" t="inlineStr">
        <is>
          <t>054321b0b5a4205745554b74263095b1d7e7da947bf51c24b395fc1c8b8e66f4</t>
        </is>
      </c>
      <c r="F5" s="5" t="n">
        <v>2623357</v>
      </c>
      <c r="G5" s="5" t="inlineStr"/>
      <c r="H5" s="5" t="inlineStr">
        <is>
          <t>源为Google Drive 2026-10-12下载的原始PDF；哈希用于离线再核</t>
        </is>
      </c>
    </row>
    <row r="6" ht="45" customHeight="1">
      <c r="A6" s="5" t="inlineStr">
        <is>
          <t>Bansode-SI</t>
        </is>
      </c>
      <c r="B6" s="5" t="inlineStr">
        <is>
          <t>补充材料</t>
        </is>
      </c>
      <c r="C6" s="5" t="inlineStr">
        <is>
          <t>10_1039_c2cy20604h__si1.pdf</t>
        </is>
      </c>
      <c r="D6" s="5" t="inlineStr">
        <is>
          <t>https://drive.google.com/file/d/1vAP6iNS7sXYNV2z9__QqhMEJt5o0Rllo/view</t>
        </is>
      </c>
      <c r="E6" s="5" t="inlineStr">
        <is>
          <t>9a45c3d5c0555001a60b3b6485b3a9799500a57079fc266f8cdf0562ad5ebcf0</t>
        </is>
      </c>
      <c r="F6" s="5" t="n">
        <v>482039</v>
      </c>
      <c r="G6" s="5" t="inlineStr">
        <is>
          <t>21, 22, 23, 24, 25, 26, 27, 28, 29, 30</t>
        </is>
      </c>
      <c r="H6" s="5" t="inlineStr">
        <is>
          <t>源为Google Drive 2026-10-12下载的原始PDF；哈希用于离线再核</t>
        </is>
      </c>
    </row>
    <row r="7" ht="45" customHeight="1">
      <c r="A7" s="5" t="inlineStr">
        <is>
          <t>Frei-main</t>
        </is>
      </c>
      <c r="B7" s="5" t="inlineStr">
        <is>
          <t>论文正文</t>
        </is>
      </c>
      <c r="C7" s="5" t="inlineStr">
        <is>
          <t>Frei_2019_Atomic-scale engineering of indium oxide promotion by palladium for methanol pro.pdf</t>
        </is>
      </c>
      <c r="D7" s="5" t="inlineStr">
        <is>
          <t>https://drive.google.com/file/d/1SpUJIHvYqa2nrDV6DeXCxRVpO02YyOJ1/view</t>
        </is>
      </c>
      <c r="E7" s="5" t="inlineStr">
        <is>
          <t>ee86dd4c833be2702f5e825c66a6dd3b1cc8c609bd9cc441ee955a26b3cd5330</t>
        </is>
      </c>
      <c r="F7" s="5" t="n">
        <v>1929397</v>
      </c>
      <c r="G7" s="5" t="inlineStr">
        <is>
          <t>31, 32, 33, 34, 35, 36, 37, 38, 39, 40</t>
        </is>
      </c>
      <c r="H7" s="5" t="inlineStr">
        <is>
          <t>源为Google Drive 2026-10-12下载的原始PDF；哈希用于离线再核</t>
        </is>
      </c>
    </row>
    <row r="8" ht="45" customHeight="1">
      <c r="A8" s="5" t="inlineStr">
        <is>
          <t>Dang-main</t>
        </is>
      </c>
      <c r="B8" s="5" t="inlineStr">
        <is>
          <t>论文正文</t>
        </is>
      </c>
      <c r="C8" s="5" t="inlineStr">
        <is>
          <t>Dang_2020_Rationally designed indium oxide catalysts for CO 2 hydrogenation to methanol wi.pdf</t>
        </is>
      </c>
      <c r="D8" s="5" t="inlineStr">
        <is>
          <t>https://drive.google.com/file/d/1JtMfT_rmaSxPBxw9ruJKSfhUJnyYMn_-/view</t>
        </is>
      </c>
      <c r="E8" s="5" t="inlineStr">
        <is>
          <t>3d5da02d49915def0108f56f6123b1ca1800e65b600dd725e62976e16d76c001</t>
        </is>
      </c>
      <c r="F8" s="5" t="n">
        <v>3328812</v>
      </c>
      <c r="G8" s="5" t="inlineStr">
        <is>
          <t>41, 42, 43, 44, 45, 46, 47, 48, 49, 50</t>
        </is>
      </c>
      <c r="H8" s="5" t="inlineStr">
        <is>
          <t>源为Google Drive 2026-10-12下载的原始PDF；哈希用于离线再核</t>
        </is>
      </c>
    </row>
    <row r="9" ht="45" customHeight="1">
      <c r="A9" s="5" t="inlineStr">
        <is>
          <t>Gao-main</t>
        </is>
      </c>
      <c r="B9" s="5" t="inlineStr">
        <is>
          <t>论文正文</t>
        </is>
      </c>
      <c r="C9" s="5" t="inlineStr">
        <is>
          <t>Gao_2015_Yttrium oxide modified CuZnOAl 2 O 3 catalysts via hydrotalcite-like precursors.pdf</t>
        </is>
      </c>
      <c r="D9" s="5" t="inlineStr">
        <is>
          <t>https://drive.google.com/file/d/1GvzHIPGbmfYxz-tsqbDLSeqcKO2SJdg_/view</t>
        </is>
      </c>
      <c r="E9" s="5" t="inlineStr">
        <is>
          <t>e614d670a66fff90bbd3335c090e5ea6684d3878219e2f4ef82fb3a6dbde0f17</t>
        </is>
      </c>
      <c r="F9" s="5" t="n">
        <v>2532875</v>
      </c>
      <c r="G9" s="5" t="inlineStr">
        <is>
          <t>51, 52, 53, 54, 55, 56, 57, 58, 59, 60</t>
        </is>
      </c>
      <c r="H9" s="5" t="inlineStr">
        <is>
          <t>源为Google Drive 2026-10-12下载的原始PDF；哈希用于离线再核</t>
        </is>
      </c>
    </row>
    <row r="10" ht="45" customHeight="1">
      <c r="A10" s="5" t="inlineStr">
        <is>
          <t>Rui-main</t>
        </is>
      </c>
      <c r="B10" s="5" t="inlineStr">
        <is>
          <t>论文正文</t>
        </is>
      </c>
      <c r="C10" s="5" t="inlineStr">
        <is>
          <t>Rui_2017_CO2 hydrogenation to methanol over PdIn2O3 effects of Pd and oxygen vacancy.pdf</t>
        </is>
      </c>
      <c r="D10" s="5" t="inlineStr">
        <is>
          <t>https://drive.google.com/file/d/1DEiVdM2jAEkQfVRPNXrNGIaDkYmHYJJI/view</t>
        </is>
      </c>
      <c r="E10" s="5" t="inlineStr">
        <is>
          <t>364513a2b867a26d104e502c3ae8503d3a7c38aef5a592fccffa29cc937baf43</t>
        </is>
      </c>
      <c r="F10" s="5" t="n">
        <v>2506110</v>
      </c>
      <c r="G10" s="5" t="inlineStr">
        <is>
          <t>68, 69</t>
        </is>
      </c>
      <c r="H10" s="5" t="inlineStr">
        <is>
          <t>源为Google Drive 2026-10-12下载的原始PDF；哈希用于离线再核</t>
        </is>
      </c>
    </row>
    <row r="11" ht="45" customHeight="1">
      <c r="A11" s="5" t="inlineStr">
        <is>
          <t>Rui-SI</t>
        </is>
      </c>
      <c r="B11" s="5" t="inlineStr">
        <is>
          <t>补充材料</t>
        </is>
      </c>
      <c r="C11" s="5" t="inlineStr">
        <is>
          <t>10_1016_j_apcatb_2017_06_069__mmc1.pdf</t>
        </is>
      </c>
      <c r="D11" s="5" t="inlineStr">
        <is>
          <t>https://drive.google.com/file/d/1AIgTxerbhuj424LzfNw0_t3wwBf0Iu3I/view</t>
        </is>
      </c>
      <c r="E11" s="5" t="inlineStr">
        <is>
          <t>11f8f70b20cde4f9240f45948ebd9defe54bc22db1b4f40da0efd9ac323c52dc</t>
        </is>
      </c>
      <c r="F11" s="5" t="n">
        <v>835712</v>
      </c>
      <c r="G11" s="5" t="inlineStr">
        <is>
          <t>61, 62, 63, 64, 65, 66, 67, 70</t>
        </is>
      </c>
      <c r="H11" s="5" t="inlineStr">
        <is>
          <t>源为Google Drive 2026-10-12下载的原始PDF；哈希用于离线再核</t>
        </is>
      </c>
    </row>
    <row r="12" ht="45" customHeight="1">
      <c r="A12" s="5" t="inlineStr">
        <is>
          <t>Chen-main</t>
        </is>
      </c>
      <c r="B12" s="5" t="inlineStr">
        <is>
          <t>论文正文</t>
        </is>
      </c>
      <c r="C12" s="5" t="inlineStr">
        <is>
          <t>Chen_2019_MorphologyControllable HexagonalPhase Indium Oxide In Situ Structured onto a Thi.pdf</t>
        </is>
      </c>
      <c r="D12" s="5" t="inlineStr">
        <is>
          <t>https://drive.google.com/file/d/1KWB194YdzohFxLovrjrNmdHyvch8n70q/view</t>
        </is>
      </c>
      <c r="E12" s="5" t="inlineStr">
        <is>
          <t>84885c9b5347bdf321cfb342c5d3b171245f051b72f0cdec173551fb81b08b41</t>
        </is>
      </c>
      <c r="F12" s="5" t="n">
        <v>2108746</v>
      </c>
      <c r="G12" s="5" t="inlineStr"/>
      <c r="H12" s="5" t="inlineStr">
        <is>
          <t>源为Google Drive 2026-10-12下载的原始PDF；哈希用于离线再核</t>
        </is>
      </c>
    </row>
    <row r="13" ht="45" customHeight="1">
      <c r="A13" s="5" t="inlineStr">
        <is>
          <t>Chen-SI</t>
        </is>
      </c>
      <c r="B13" s="5" t="inlineStr">
        <is>
          <t>补充材料</t>
        </is>
      </c>
      <c r="C13" s="5" t="inlineStr">
        <is>
          <t>10_1002_ente_201800747__si1.pdf</t>
        </is>
      </c>
      <c r="D13" s="5" t="inlineStr">
        <is>
          <t>https://drive.google.com/file/d/1BfPoG96bC3lh69paQTz4qlQDV83XHTdg/view</t>
        </is>
      </c>
      <c r="E13" s="5" t="inlineStr">
        <is>
          <t>28de9ff027971d177773816fc9cc1e8a9e15485eb853b79fddb0085b349fd148</t>
        </is>
      </c>
      <c r="F13" s="5" t="n">
        <v>638567</v>
      </c>
      <c r="G13" s="5" t="inlineStr">
        <is>
          <t>71, 72, 73, 74, 75, 76, 77, 78, 79, 80</t>
        </is>
      </c>
      <c r="H13" s="5" t="inlineStr">
        <is>
          <t>源为Google Drive 2026-10-12下载的原始PDF；哈希用于离线再核</t>
        </is>
      </c>
    </row>
    <row r="14" ht="45" customHeight="1">
      <c r="A14" s="5" t="inlineStr">
        <is>
          <t>Ruiz-main</t>
        </is>
      </c>
      <c r="B14" s="5" t="inlineStr">
        <is>
          <t>论文正文</t>
        </is>
      </c>
      <c r="C14" s="5" t="inlineStr">
        <is>
          <t>RuizEsquius_2020_CO 2 Hydrogenation to CH 3 OH over PdZn Catalysts with Reduced CH 4 Production.pdf</t>
        </is>
      </c>
      <c r="D14" s="5" t="inlineStr">
        <is>
          <t>https://drive.google.com/file/d/1KbcBNcn6Fu7BYiqMz1i33vxyVC5fyj1R/view</t>
        </is>
      </c>
      <c r="E14" s="5" t="inlineStr">
        <is>
          <t>940fa897226c94da235dcd577a399b06494f3c01b4aeaf87b2e2524c7c6c75d9</t>
        </is>
      </c>
      <c r="F14" s="5" t="n">
        <v>1045649</v>
      </c>
      <c r="G14" s="5" t="inlineStr">
        <is>
          <t>82, 90</t>
        </is>
      </c>
      <c r="H14" s="5" t="inlineStr">
        <is>
          <t>源为Google Drive 2026-10-12下载的原始PDF；哈希用于离线再核</t>
        </is>
      </c>
    </row>
    <row r="15" ht="45" customHeight="1">
      <c r="A15" s="5" t="inlineStr">
        <is>
          <t>Ruiz-SI</t>
        </is>
      </c>
      <c r="B15" s="5" t="inlineStr">
        <is>
          <t>补充材料</t>
        </is>
      </c>
      <c r="C15" s="5" t="inlineStr">
        <is>
          <t>10_1002_cctc_202000974__si1.pdf</t>
        </is>
      </c>
      <c r="D15" s="5" t="inlineStr">
        <is>
          <t>https://drive.google.com/file/d/1UGQFZ9fnewpti0zvdYyWSXMRrpTxP5qR/view</t>
        </is>
      </c>
      <c r="E15" s="5" t="inlineStr">
        <is>
          <t>4f24221d4806514e846c73139d2d2628e34fae727a401b9b85e1451ff27d812a</t>
        </is>
      </c>
      <c r="F15" s="5" t="n">
        <v>1233326</v>
      </c>
      <c r="G15" s="5" t="inlineStr">
        <is>
          <t>81, 83, 84, 85, 86, 87, 88, 89</t>
        </is>
      </c>
      <c r="H15" s="5" t="inlineStr">
        <is>
          <t>源为Google Drive 2026-10-12下载的原始PDF；哈希用于离线再核</t>
        </is>
      </c>
    </row>
    <row r="16" ht="45" customHeight="1">
      <c r="A16" s="5" t="inlineStr">
        <is>
          <t>Ota-main</t>
        </is>
      </c>
      <c r="B16" s="5" t="inlineStr">
        <is>
          <t>论文正文</t>
        </is>
      </c>
      <c r="C16" s="5" t="inlineStr">
        <is>
          <t>Ota_2012_Comparative study of hydrotalcite-derived supported Pd2Ga and PdZn intermetallic.pdf</t>
        </is>
      </c>
      <c r="D16" s="5" t="inlineStr">
        <is>
          <t>https://drive.google.com/file/d/1GyR6wSTnSFGhsz4xd2mT6pW_gvLdq-ZD/view</t>
        </is>
      </c>
      <c r="E16" s="5" t="inlineStr">
        <is>
          <t>f4e6a0fb755e2b61dc77aed734014bc754e90c277a5e47b9e1767a0aaeffc16b</t>
        </is>
      </c>
      <c r="F16" s="5" t="n">
        <v>2100512</v>
      </c>
      <c r="G16" s="5" t="inlineStr">
        <is>
          <t>91, 92, 93, 94, 95, 96, 97, 98, 99, 100</t>
        </is>
      </c>
      <c r="H16" s="5" t="inlineStr">
        <is>
          <t>源为Google Drive 2026-10-12下载的原始PDF；哈希用于离线再核</t>
        </is>
      </c>
    </row>
    <row r="17" ht="45" customHeight="1">
      <c r="A17" s="5" t="inlineStr">
        <is>
          <t>额外SI文件</t>
        </is>
      </c>
      <c r="B17" s="5" t="inlineStr">
        <is>
          <t>补充材料</t>
        </is>
      </c>
      <c r="C17" s="5" t="inlineStr">
        <is>
          <t>已另保存/检查 F re i / Dang / Gao / Ota / Malik 的额外SI 文件</t>
        </is>
      </c>
      <c r="D17" s="5" t="inlineStr"/>
      <c r="E17" s="5" t="inlineStr"/>
      <c r="G17" s="5" t="inlineStr"/>
      <c r="H17" s="5" t="inlineStr">
        <is>
          <t>本表列出与100值有直接证据依赖关系的15份PDF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2026-10-08T15:56:44Z</dcterms:created>
  <dcterms:modified xmlns:dcterms="http://purl.org/dc/terms/" xmlns:xsi="http://www.w3.org/2001/XMLSchema-instance" xsi:type="dcterms:W3CDTF">2026-10-12T06:24:23Z</dcterms:modified>
</cp:coreProperties>
</file>