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验概览" sheetId="1" state="visible" r:id="rId1"/>
    <sheet xmlns:r="http://schemas.openxmlformats.org/officeDocument/2006/relationships" name="独立证据核验" sheetId="2" state="visible" r:id="rId2"/>
    <sheet xmlns:r="http://schemas.openxmlformats.org/officeDocument/2006/relationships" name="文献证据清单" sheetId="3" state="visible" r:id="rId3"/>
    <sheet xmlns:r="http://schemas.openxmlformats.org/officeDocument/2006/relationships" name="核验操作说明" sheetId="4" state="visible" r:id="rId4"/>
    <sheet xmlns:r="http://schemas.openxmlformats.org/officeDocument/2006/relationships" name="说明" sheetId="5" state="visible" r:id="rId5"/>
    <sheet xmlns:r="http://schemas.openxmlformats.org/officeDocument/2006/relationships" name="核对表" sheetId="6" state="visible" r:id="rId6"/>
  </sheets>
  <definedNames>
    <definedName name="_xlnm._FilterDatabase" localSheetId="1" hidden="1">'独立证据核验'!$A$1:$R$1</definedName>
    <definedName name="_xlnm._FilterDatabase" localSheetId="2" hidden="1">'文献证据清单'!$A$1:$G$1</definedName>
    <definedName name="_xlnm._FilterDatabase" localSheetId="3" hidden="1">'核验操作说明'!$A$1:$B$1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b val="1"/>
      <sz val="12"/>
    </font>
    <font>
      <sz val="12"/>
    </font>
    <font>
      <b val="1"/>
    </font>
    <font>
      <name val="Aptos"/>
      <b val="1"/>
      <color rgb="00FFFFFF"/>
      <sz val="10"/>
    </font>
    <font>
      <name val="Aptos"/>
      <color rgb="00206B52"/>
      <sz val="10"/>
    </font>
    <font>
      <name val="Aptos"/>
      <color rgb="001B2937"/>
      <sz val="10"/>
    </font>
    <font>
      <name val="Aptos"/>
      <b val="1"/>
      <color rgb="0077828E"/>
    </font>
    <font>
      <name val="Aptos"/>
      <color rgb="002468A0"/>
      <sz val="10"/>
      <u val="single"/>
    </font>
    <font>
      <name val="Aptos"/>
      <b val="1"/>
      <color rgb="00206B52"/>
    </font>
    <font>
      <name val="Aptos"/>
      <b val="1"/>
      <color rgb="0099610C"/>
    </font>
    <font>
      <name val="Aptos"/>
      <b val="1"/>
      <color rgb="00A93636"/>
    </font>
    <font>
      <color rgb="002468A0"/>
      <u val="single"/>
    </font>
    <font>
      <name val="Aptos Display"/>
      <b val="1"/>
      <color rgb="00FFFFFF"/>
      <sz val="18"/>
    </font>
    <font>
      <name val="Aptos"/>
      <b val="1"/>
      <color rgb="00A93636"/>
      <sz val="11"/>
    </font>
    <font>
      <name val="Aptos"/>
      <b val="1"/>
      <color rgb="001B2937"/>
      <sz val="11"/>
    </font>
    <font>
      <name val="Aptos"/>
      <b val="1"/>
      <color rgb="001B2937"/>
      <sz val="13"/>
    </font>
    <font>
      <name val="Aptos"/>
      <b val="1"/>
      <color rgb="001B2937"/>
      <sz val="12"/>
    </font>
    <font>
      <name val="Aptos"/>
      <b val="1"/>
      <color rgb="00216E77"/>
      <sz val="12"/>
    </font>
    <font>
      <name val="Aptos"/>
      <color rgb="001B2937"/>
      <sz val="11"/>
    </font>
    <font>
      <color rgb="002468A0"/>
      <sz val="9"/>
      <u val="single"/>
    </font>
    <font>
      <b val="1"/>
      <color rgb="001B2937"/>
      <sz val="10"/>
    </font>
    <font>
      <color rgb="001B2937"/>
      <sz val="10"/>
    </font>
  </fonts>
  <fills count="1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2937"/>
      </patternFill>
    </fill>
    <fill>
      <patternFill patternType="solid">
        <fgColor rgb="00F9FBFC"/>
      </patternFill>
    </fill>
    <fill>
      <patternFill patternType="solid">
        <fgColor rgb="00F2F4F6"/>
      </patternFill>
    </fill>
    <fill>
      <patternFill patternType="solid">
        <fgColor rgb="00EDF7F2"/>
      </patternFill>
    </fill>
    <fill>
      <patternFill patternType="solid">
        <fgColor rgb="00FFF6E7"/>
      </patternFill>
    </fill>
    <fill>
      <patternFill patternType="solid">
        <fgColor rgb="00FCEDEC"/>
      </patternFill>
    </fill>
    <fill>
      <patternFill patternType="solid">
        <fgColor rgb="00FFF5E3"/>
      </patternFill>
    </fill>
    <fill>
      <patternFill patternType="solid">
        <fgColor rgb="00F6F9FA"/>
      </patternFill>
    </fill>
    <fill>
      <patternFill patternType="solid">
        <fgColor rgb="00FFFFFF"/>
      </patternFill>
    </fill>
    <fill>
      <patternFill patternType="solid">
        <fgColor rgb="00FDF1EF"/>
      </patternFill>
    </fill>
    <fill>
      <patternFill patternType="solid">
        <fgColor rgb="00F5F7FA"/>
      </patternFill>
    </fill>
    <fill>
      <patternFill patternType="solid">
        <fgColor rgb="00E9F3F1"/>
      </patternFill>
    </fill>
    <fill>
      <patternFill patternType="solid">
        <fgColor rgb="00F1F5F6"/>
      </patternFill>
    </fill>
    <fill>
      <patternFill patternType="solid">
        <fgColor rgb="00EAF3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3" fillId="3" borderId="0" applyAlignment="1" pivotButton="0" quotePrefix="0" xfId="0">
      <alignment vertical="center" indent="1"/>
    </xf>
    <xf numFmtId="0" fontId="14" fillId="12" borderId="0" applyAlignment="1" pivotButton="0" quotePrefix="0" xfId="0">
      <alignment vertical="center" wrapText="1" indent="1"/>
    </xf>
    <xf numFmtId="0" fontId="15" fillId="13" borderId="0" pivotButton="0" quotePrefix="0" xfId="0"/>
    <xf numFmtId="1" fontId="16" fillId="14" borderId="0" pivotButton="0" quotePrefix="0" xfId="0"/>
    <xf numFmtId="0" fontId="6" fillId="15" borderId="0" applyAlignment="1" pivotButton="0" quotePrefix="0" xfId="0">
      <alignment vertical="center" wrapText="1"/>
    </xf>
    <xf numFmtId="0" fontId="17" fillId="15" borderId="0" applyAlignment="1" pivotButton="0" quotePrefix="0" xfId="0">
      <alignment vertical="center" wrapText="1"/>
    </xf>
    <xf numFmtId="0" fontId="18" fillId="16" borderId="0" applyAlignment="1" pivotButton="0" quotePrefix="0" xfId="0">
      <alignment vertical="center" indent="1"/>
    </xf>
    <xf numFmtId="0" fontId="19" fillId="0" borderId="0" applyAlignment="1" pivotButton="0" quotePrefix="0" xfId="0">
      <alignment vertical="center" wrapText="1" indent="1"/>
    </xf>
    <xf numFmtId="0" fontId="20" fillId="0" borderId="0" pivotButton="0" quotePrefix="0" xfId="0"/>
    <xf numFmtId="0" fontId="4" fillId="3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7" fillId="5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9" fillId="6" borderId="0" applyAlignment="1" pivotButton="0" quotePrefix="0" xfId="0">
      <alignment vertical="center" wrapText="1"/>
    </xf>
    <xf numFmtId="0" fontId="10" fillId="7" borderId="0" applyAlignment="1" pivotButton="0" quotePrefix="0" xfId="0">
      <alignment vertical="center" wrapText="1"/>
    </xf>
    <xf numFmtId="0" fontId="11" fillId="8" borderId="0" applyAlignment="1" pivotButton="0" quotePrefix="0" xfId="0">
      <alignment vertical="center" wrapText="1"/>
    </xf>
    <xf numFmtId="0" fontId="6" fillId="9" borderId="0" applyAlignment="1" pivotButton="0" quotePrefix="0" xfId="0">
      <alignment vertical="center" wrapText="1"/>
    </xf>
    <xf numFmtId="0" fontId="6" fillId="10" borderId="0" applyAlignment="1" pivotButton="0" quotePrefix="0" xfId="0">
      <alignment vertical="center" wrapText="1"/>
    </xf>
    <xf numFmtId="0" fontId="12" fillId="10" borderId="0" applyAlignment="1" pivotButton="0" quotePrefix="0" xfId="0">
      <alignment vertical="center" wrapText="1"/>
    </xf>
    <xf numFmtId="0" fontId="6" fillId="11" borderId="0" applyAlignment="1" pivotButton="0" quotePrefix="0" xfId="0">
      <alignment vertical="center" wrapText="1"/>
    </xf>
    <xf numFmtId="0" fontId="12" fillId="11" borderId="0" applyAlignment="1" pivotButton="0" quotePrefix="0" xfId="0">
      <alignment vertical="center" wrapText="1"/>
    </xf>
    <xf numFmtId="0" fontId="21" fillId="13" borderId="0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stloendays/Catalyst-Essay/blob/freeze-s5-printed-2026-10-12/analysis/meoh_literature_inversion_2026_10_05/summary.json" TargetMode="External" Id="rId1"/><Relationship Type="http://schemas.openxmlformats.org/officeDocument/2006/relationships/hyperlink" Target="https://github.com/stloendays/Catalyst-Essay/blob/freeze-s5-printed-2026-10-12/analysis/verify_2026_10_08/gold_standard_sample.py" TargetMode="External" Id="rId2"/><Relationship Type="http://schemas.openxmlformats.org/officeDocument/2006/relationships/hyperlink" Target="https://github.com/stloendays/Catalyst-Essay/blob/freeze-s5-printed-2026-10-12/analysis/verify_2026_10_08/gold_standard_sample.csv" TargetMode="External" Id="rId3"/><Relationship Type="http://schemas.openxmlformats.org/officeDocument/2006/relationships/hyperlink" Target="https://github.com/stloendays/Catalyst-Essay/blob/freeze-s5-printed-2026-10-12/analysis/verify_2026_10_08/gold_standard_sample.csv" TargetMode="External" Id="rId4"/><Relationship Type="http://schemas.openxmlformats.org/officeDocument/2006/relationships/hyperlink" Target="https://iris.unito.it/retrieve/handle/2318/122839/18808/COST_OA.pdf" TargetMode="External" Id="rId5"/><Relationship Type="http://schemas.openxmlformats.org/officeDocument/2006/relationships/hyperlink" Target="https://github.com/stloendays/Catalyst-Essay/blob/freeze-s5-printed-2026-10-12/analysis/verify_2026_10_08/gold_standard_sample.py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#'&#26680;&#23545;&#34920;'!A2" TargetMode="External" Id="rId1"/><Relationship Type="http://schemas.openxmlformats.org/officeDocument/2006/relationships/hyperlink" Target="https://doi.org/10.1016/j.apcata.2018.04.036" TargetMode="External" Id="rId2"/><Relationship Type="http://schemas.openxmlformats.org/officeDocument/2006/relationships/hyperlink" Target="#'&#26680;&#23545;&#34920;'!A3" TargetMode="External" Id="rId3"/><Relationship Type="http://schemas.openxmlformats.org/officeDocument/2006/relationships/hyperlink" Target="https://doi.org/10.1016/j.apcata.2018.04.036" TargetMode="External" Id="rId4"/><Relationship Type="http://schemas.openxmlformats.org/officeDocument/2006/relationships/hyperlink" Target="#'&#26680;&#23545;&#34920;'!A4" TargetMode="External" Id="rId5"/><Relationship Type="http://schemas.openxmlformats.org/officeDocument/2006/relationships/hyperlink" Target="https://doi.org/10.1016/j.apcata.2018.04.036" TargetMode="External" Id="rId6"/><Relationship Type="http://schemas.openxmlformats.org/officeDocument/2006/relationships/hyperlink" Target="#'&#26680;&#23545;&#34920;'!A5" TargetMode="External" Id="rId7"/><Relationship Type="http://schemas.openxmlformats.org/officeDocument/2006/relationships/hyperlink" Target="https://doi.org/10.1016/j.apcata.2018.04.036" TargetMode="External" Id="rId8"/><Relationship Type="http://schemas.openxmlformats.org/officeDocument/2006/relationships/hyperlink" Target="#'&#26680;&#23545;&#34920;'!A6" TargetMode="External" Id="rId9"/><Relationship Type="http://schemas.openxmlformats.org/officeDocument/2006/relationships/hyperlink" Target="https://doi.org/10.1016/j.apcata.2018.04.036" TargetMode="External" Id="rId10"/><Relationship Type="http://schemas.openxmlformats.org/officeDocument/2006/relationships/hyperlink" Target="#'&#26680;&#23545;&#34920;'!A7" TargetMode="External" Id="rId11"/><Relationship Type="http://schemas.openxmlformats.org/officeDocument/2006/relationships/hyperlink" Target="https://doi.org/10.1016/j.apcata.2018.04.036" TargetMode="External" Id="rId12"/><Relationship Type="http://schemas.openxmlformats.org/officeDocument/2006/relationships/hyperlink" Target="#'&#26680;&#23545;&#34920;'!A8" TargetMode="External" Id="rId13"/><Relationship Type="http://schemas.openxmlformats.org/officeDocument/2006/relationships/hyperlink" Target="https://doi.org/10.1016/j.apcata.2018.04.036" TargetMode="External" Id="rId14"/><Relationship Type="http://schemas.openxmlformats.org/officeDocument/2006/relationships/hyperlink" Target="#'&#26680;&#23545;&#34920;'!A9" TargetMode="External" Id="rId15"/><Relationship Type="http://schemas.openxmlformats.org/officeDocument/2006/relationships/hyperlink" Target="https://doi.org/10.1016/j.apcata.2018.04.036" TargetMode="External" Id="rId16"/><Relationship Type="http://schemas.openxmlformats.org/officeDocument/2006/relationships/hyperlink" Target="#'&#26680;&#23545;&#34920;'!A10" TargetMode="External" Id="rId17"/><Relationship Type="http://schemas.openxmlformats.org/officeDocument/2006/relationships/hyperlink" Target="https://doi.org/10.1016/j.apcata.2018.04.036" TargetMode="External" Id="rId18"/><Relationship Type="http://schemas.openxmlformats.org/officeDocument/2006/relationships/hyperlink" Target="#'&#26680;&#23545;&#34920;'!A11" TargetMode="External" Id="rId19"/><Relationship Type="http://schemas.openxmlformats.org/officeDocument/2006/relationships/hyperlink" Target="https://doi.org/10.1016/j.apcata.2018.04.036" TargetMode="External" Id="rId20"/><Relationship Type="http://schemas.openxmlformats.org/officeDocument/2006/relationships/hyperlink" Target="#'&#26680;&#23545;&#34920;'!A12" TargetMode="External" Id="rId21"/><Relationship Type="http://schemas.openxmlformats.org/officeDocument/2006/relationships/hyperlink" Target="https://pmc.ncbi.nlm.nih.gov/articles/PMC8336954/" TargetMode="External" Id="rId22"/><Relationship Type="http://schemas.openxmlformats.org/officeDocument/2006/relationships/hyperlink" Target="#'&#26680;&#23545;&#34920;'!A13" TargetMode="External" Id="rId23"/><Relationship Type="http://schemas.openxmlformats.org/officeDocument/2006/relationships/hyperlink" Target="https://pmc.ncbi.nlm.nih.gov/articles/PMC8336954/" TargetMode="External" Id="rId24"/><Relationship Type="http://schemas.openxmlformats.org/officeDocument/2006/relationships/hyperlink" Target="#'&#26680;&#23545;&#34920;'!A14" TargetMode="External" Id="rId25"/><Relationship Type="http://schemas.openxmlformats.org/officeDocument/2006/relationships/hyperlink" Target="https://pmc.ncbi.nlm.nih.gov/articles/PMC8336954/" TargetMode="External" Id="rId26"/><Relationship Type="http://schemas.openxmlformats.org/officeDocument/2006/relationships/hyperlink" Target="#'&#26680;&#23545;&#34920;'!A15" TargetMode="External" Id="rId27"/><Relationship Type="http://schemas.openxmlformats.org/officeDocument/2006/relationships/hyperlink" Target="https://pmc.ncbi.nlm.nih.gov/articles/PMC8336954/" TargetMode="External" Id="rId28"/><Relationship Type="http://schemas.openxmlformats.org/officeDocument/2006/relationships/hyperlink" Target="#'&#26680;&#23545;&#34920;'!A16" TargetMode="External" Id="rId29"/><Relationship Type="http://schemas.openxmlformats.org/officeDocument/2006/relationships/hyperlink" Target="https://pmc.ncbi.nlm.nih.gov/articles/PMC8336954/" TargetMode="External" Id="rId30"/><Relationship Type="http://schemas.openxmlformats.org/officeDocument/2006/relationships/hyperlink" Target="#'&#26680;&#23545;&#34920;'!A17" TargetMode="External" Id="rId31"/><Relationship Type="http://schemas.openxmlformats.org/officeDocument/2006/relationships/hyperlink" Target="https://pmc.ncbi.nlm.nih.gov/articles/PMC8336954/" TargetMode="External" Id="rId32"/><Relationship Type="http://schemas.openxmlformats.org/officeDocument/2006/relationships/hyperlink" Target="#'&#26680;&#23545;&#34920;'!A18" TargetMode="External" Id="rId33"/><Relationship Type="http://schemas.openxmlformats.org/officeDocument/2006/relationships/hyperlink" Target="https://pmc.ncbi.nlm.nih.gov/articles/PMC8336954/" TargetMode="External" Id="rId34"/><Relationship Type="http://schemas.openxmlformats.org/officeDocument/2006/relationships/hyperlink" Target="#'&#26680;&#23545;&#34920;'!A19" TargetMode="External" Id="rId35"/><Relationship Type="http://schemas.openxmlformats.org/officeDocument/2006/relationships/hyperlink" Target="https://pmc.ncbi.nlm.nih.gov/articles/PMC8336954/" TargetMode="External" Id="rId36"/><Relationship Type="http://schemas.openxmlformats.org/officeDocument/2006/relationships/hyperlink" Target="#'&#26680;&#23545;&#34920;'!A20" TargetMode="External" Id="rId37"/><Relationship Type="http://schemas.openxmlformats.org/officeDocument/2006/relationships/hyperlink" Target="https://pmc.ncbi.nlm.nih.gov/articles/PMC8336954/" TargetMode="External" Id="rId38"/><Relationship Type="http://schemas.openxmlformats.org/officeDocument/2006/relationships/hyperlink" Target="#'&#26680;&#23545;&#34920;'!A21" TargetMode="External" Id="rId39"/><Relationship Type="http://schemas.openxmlformats.org/officeDocument/2006/relationships/hyperlink" Target="https://pmc.ncbi.nlm.nih.gov/articles/PMC8336954/" TargetMode="External" Id="rId40"/><Relationship Type="http://schemas.openxmlformats.org/officeDocument/2006/relationships/hyperlink" Target="#'&#26680;&#23545;&#34920;'!A22" TargetMode="External" Id="rId41"/><Relationship Type="http://schemas.openxmlformats.org/officeDocument/2006/relationships/hyperlink" Target="https://www.rsc.org/suppdata/cy/c2/c2cy20604h/c2cy20604h.pdf" TargetMode="External" Id="rId42"/><Relationship Type="http://schemas.openxmlformats.org/officeDocument/2006/relationships/hyperlink" Target="#'&#26680;&#23545;&#34920;'!A23" TargetMode="External" Id="rId43"/><Relationship Type="http://schemas.openxmlformats.org/officeDocument/2006/relationships/hyperlink" Target="https://www.rsc.org/suppdata/cy/c2/c2cy20604h/c2cy20604h.pdf" TargetMode="External" Id="rId44"/><Relationship Type="http://schemas.openxmlformats.org/officeDocument/2006/relationships/hyperlink" Target="#'&#26680;&#23545;&#34920;'!A24" TargetMode="External" Id="rId45"/><Relationship Type="http://schemas.openxmlformats.org/officeDocument/2006/relationships/hyperlink" Target="https://www.rsc.org/suppdata/cy/c2/c2cy20604h/c2cy20604h.pdf" TargetMode="External" Id="rId46"/><Relationship Type="http://schemas.openxmlformats.org/officeDocument/2006/relationships/hyperlink" Target="#'&#26680;&#23545;&#34920;'!A25" TargetMode="External" Id="rId47"/><Relationship Type="http://schemas.openxmlformats.org/officeDocument/2006/relationships/hyperlink" Target="https://www.rsc.org/suppdata/cy/c2/c2cy20604h/c2cy20604h.pdf" TargetMode="External" Id="rId48"/><Relationship Type="http://schemas.openxmlformats.org/officeDocument/2006/relationships/hyperlink" Target="#'&#26680;&#23545;&#34920;'!A26" TargetMode="External" Id="rId49"/><Relationship Type="http://schemas.openxmlformats.org/officeDocument/2006/relationships/hyperlink" Target="https://www.rsc.org/suppdata/cy/c2/c2cy20604h/c2cy20604h.pdf" TargetMode="External" Id="rId50"/><Relationship Type="http://schemas.openxmlformats.org/officeDocument/2006/relationships/hyperlink" Target="#'&#26680;&#23545;&#34920;'!A27" TargetMode="External" Id="rId51"/><Relationship Type="http://schemas.openxmlformats.org/officeDocument/2006/relationships/hyperlink" Target="https://www.rsc.org/suppdata/cy/c2/c2cy20604h/c2cy20604h.pdf" TargetMode="External" Id="rId52"/><Relationship Type="http://schemas.openxmlformats.org/officeDocument/2006/relationships/hyperlink" Target="#'&#26680;&#23545;&#34920;'!A28" TargetMode="External" Id="rId53"/><Relationship Type="http://schemas.openxmlformats.org/officeDocument/2006/relationships/hyperlink" Target="https://www.rsc.org/suppdata/cy/c2/c2cy20604h/c2cy20604h.pdf" TargetMode="External" Id="rId54"/><Relationship Type="http://schemas.openxmlformats.org/officeDocument/2006/relationships/hyperlink" Target="#'&#26680;&#23545;&#34920;'!A29" TargetMode="External" Id="rId55"/><Relationship Type="http://schemas.openxmlformats.org/officeDocument/2006/relationships/hyperlink" Target="https://www.rsc.org/suppdata/cy/c2/c2cy20604h/c2cy20604h.pdf" TargetMode="External" Id="rId56"/><Relationship Type="http://schemas.openxmlformats.org/officeDocument/2006/relationships/hyperlink" Target="#'&#26680;&#23545;&#34920;'!A30" TargetMode="External" Id="rId57"/><Relationship Type="http://schemas.openxmlformats.org/officeDocument/2006/relationships/hyperlink" Target="https://www.rsc.org/suppdata/cy/c2/c2cy20604h/c2cy20604h.pdf" TargetMode="External" Id="rId58"/><Relationship Type="http://schemas.openxmlformats.org/officeDocument/2006/relationships/hyperlink" Target="#'&#26680;&#23545;&#34920;'!A31" TargetMode="External" Id="rId59"/><Relationship Type="http://schemas.openxmlformats.org/officeDocument/2006/relationships/hyperlink" Target="https://www.rsc.org/suppdata/cy/c2/c2cy20604h/c2cy20604h.pdf" TargetMode="External" Id="rId60"/><Relationship Type="http://schemas.openxmlformats.org/officeDocument/2006/relationships/hyperlink" Target="#'&#26680;&#23545;&#34920;'!A32" TargetMode="External" Id="rId61"/><Relationship Type="http://schemas.openxmlformats.org/officeDocument/2006/relationships/hyperlink" Target="https://www.nature.com/articles/s41467-019-11349-9" TargetMode="External" Id="rId62"/><Relationship Type="http://schemas.openxmlformats.org/officeDocument/2006/relationships/hyperlink" Target="#'&#26680;&#23545;&#34920;'!A33" TargetMode="External" Id="rId63"/><Relationship Type="http://schemas.openxmlformats.org/officeDocument/2006/relationships/hyperlink" Target="https://www.nature.com/articles/s41467-019-11349-9" TargetMode="External" Id="rId64"/><Relationship Type="http://schemas.openxmlformats.org/officeDocument/2006/relationships/hyperlink" Target="#'&#26680;&#23545;&#34920;'!A34" TargetMode="External" Id="rId65"/><Relationship Type="http://schemas.openxmlformats.org/officeDocument/2006/relationships/hyperlink" Target="https://www.nature.com/articles/s41467-019-11349-9" TargetMode="External" Id="rId66"/><Relationship Type="http://schemas.openxmlformats.org/officeDocument/2006/relationships/hyperlink" Target="#'&#26680;&#23545;&#34920;'!A35" TargetMode="External" Id="rId67"/><Relationship Type="http://schemas.openxmlformats.org/officeDocument/2006/relationships/hyperlink" Target="https://www.nature.com/articles/s41467-019-11349-9" TargetMode="External" Id="rId68"/><Relationship Type="http://schemas.openxmlformats.org/officeDocument/2006/relationships/hyperlink" Target="#'&#26680;&#23545;&#34920;'!A36" TargetMode="External" Id="rId69"/><Relationship Type="http://schemas.openxmlformats.org/officeDocument/2006/relationships/hyperlink" Target="https://www.nature.com/articles/s41467-019-11349-9" TargetMode="External" Id="rId70"/><Relationship Type="http://schemas.openxmlformats.org/officeDocument/2006/relationships/hyperlink" Target="#'&#26680;&#23545;&#34920;'!A37" TargetMode="External" Id="rId71"/><Relationship Type="http://schemas.openxmlformats.org/officeDocument/2006/relationships/hyperlink" Target="https://www.nature.com/articles/s41467-019-11349-9" TargetMode="External" Id="rId72"/><Relationship Type="http://schemas.openxmlformats.org/officeDocument/2006/relationships/hyperlink" Target="#'&#26680;&#23545;&#34920;'!A38" TargetMode="External" Id="rId73"/><Relationship Type="http://schemas.openxmlformats.org/officeDocument/2006/relationships/hyperlink" Target="https://www.nature.com/articles/s41467-019-11349-9" TargetMode="External" Id="rId74"/><Relationship Type="http://schemas.openxmlformats.org/officeDocument/2006/relationships/hyperlink" Target="#'&#26680;&#23545;&#34920;'!A39" TargetMode="External" Id="rId75"/><Relationship Type="http://schemas.openxmlformats.org/officeDocument/2006/relationships/hyperlink" Target="https://www.nature.com/articles/s41467-019-11349-9" TargetMode="External" Id="rId76"/><Relationship Type="http://schemas.openxmlformats.org/officeDocument/2006/relationships/hyperlink" Target="#'&#26680;&#23545;&#34920;'!A40" TargetMode="External" Id="rId77"/><Relationship Type="http://schemas.openxmlformats.org/officeDocument/2006/relationships/hyperlink" Target="https://www.nature.com/articles/s41467-019-11349-9" TargetMode="External" Id="rId78"/><Relationship Type="http://schemas.openxmlformats.org/officeDocument/2006/relationships/hyperlink" Target="#'&#26680;&#23545;&#34920;'!A41" TargetMode="External" Id="rId79"/><Relationship Type="http://schemas.openxmlformats.org/officeDocument/2006/relationships/hyperlink" Target="https://www.nature.com/articles/s41467-019-11349-9" TargetMode="External" Id="rId80"/><Relationship Type="http://schemas.openxmlformats.org/officeDocument/2006/relationships/hyperlink" Target="#'&#26680;&#23545;&#34920;'!A42" TargetMode="External" Id="rId81"/><Relationship Type="http://schemas.openxmlformats.org/officeDocument/2006/relationships/hyperlink" Target="https://pmc.ncbi.nlm.nih.gov/articles/PMC7299618/" TargetMode="External" Id="rId82"/><Relationship Type="http://schemas.openxmlformats.org/officeDocument/2006/relationships/hyperlink" Target="#'&#26680;&#23545;&#34920;'!A43" TargetMode="External" Id="rId83"/><Relationship Type="http://schemas.openxmlformats.org/officeDocument/2006/relationships/hyperlink" Target="https://pmc.ncbi.nlm.nih.gov/articles/PMC7299618/" TargetMode="External" Id="rId84"/><Relationship Type="http://schemas.openxmlformats.org/officeDocument/2006/relationships/hyperlink" Target="#'&#26680;&#23545;&#34920;'!A44" TargetMode="External" Id="rId85"/><Relationship Type="http://schemas.openxmlformats.org/officeDocument/2006/relationships/hyperlink" Target="https://pmc.ncbi.nlm.nih.gov/articles/PMC7299618/" TargetMode="External" Id="rId86"/><Relationship Type="http://schemas.openxmlformats.org/officeDocument/2006/relationships/hyperlink" Target="#'&#26680;&#23545;&#34920;'!A45" TargetMode="External" Id="rId87"/><Relationship Type="http://schemas.openxmlformats.org/officeDocument/2006/relationships/hyperlink" Target="https://pmc.ncbi.nlm.nih.gov/articles/PMC7299618/" TargetMode="External" Id="rId88"/><Relationship Type="http://schemas.openxmlformats.org/officeDocument/2006/relationships/hyperlink" Target="#'&#26680;&#23545;&#34920;'!A46" TargetMode="External" Id="rId89"/><Relationship Type="http://schemas.openxmlformats.org/officeDocument/2006/relationships/hyperlink" Target="https://pmc.ncbi.nlm.nih.gov/articles/PMC7299618/" TargetMode="External" Id="rId90"/><Relationship Type="http://schemas.openxmlformats.org/officeDocument/2006/relationships/hyperlink" Target="#'&#26680;&#23545;&#34920;'!A47" TargetMode="External" Id="rId91"/><Relationship Type="http://schemas.openxmlformats.org/officeDocument/2006/relationships/hyperlink" Target="https://pmc.ncbi.nlm.nih.gov/articles/PMC7299618/" TargetMode="External" Id="rId92"/><Relationship Type="http://schemas.openxmlformats.org/officeDocument/2006/relationships/hyperlink" Target="#'&#26680;&#23545;&#34920;'!A48" TargetMode="External" Id="rId93"/><Relationship Type="http://schemas.openxmlformats.org/officeDocument/2006/relationships/hyperlink" Target="https://pmc.ncbi.nlm.nih.gov/articles/PMC7299618/" TargetMode="External" Id="rId94"/><Relationship Type="http://schemas.openxmlformats.org/officeDocument/2006/relationships/hyperlink" Target="#'&#26680;&#23545;&#34920;'!A49" TargetMode="External" Id="rId95"/><Relationship Type="http://schemas.openxmlformats.org/officeDocument/2006/relationships/hyperlink" Target="https://pmc.ncbi.nlm.nih.gov/articles/PMC7299618/" TargetMode="External" Id="rId96"/><Relationship Type="http://schemas.openxmlformats.org/officeDocument/2006/relationships/hyperlink" Target="#'&#26680;&#23545;&#34920;'!A50" TargetMode="External" Id="rId97"/><Relationship Type="http://schemas.openxmlformats.org/officeDocument/2006/relationships/hyperlink" Target="https://pmc.ncbi.nlm.nih.gov/articles/PMC7299618/" TargetMode="External" Id="rId98"/><Relationship Type="http://schemas.openxmlformats.org/officeDocument/2006/relationships/hyperlink" Target="#'&#26680;&#23545;&#34920;'!A51" TargetMode="External" Id="rId99"/><Relationship Type="http://schemas.openxmlformats.org/officeDocument/2006/relationships/hyperlink" Target="https://pmc.ncbi.nlm.nih.gov/articles/PMC7299618/" TargetMode="External" Id="rId100"/><Relationship Type="http://schemas.openxmlformats.org/officeDocument/2006/relationships/hyperlink" Target="#'&#26680;&#23545;&#34920;'!A52" TargetMode="External" Id="rId101"/><Relationship Type="http://schemas.openxmlformats.org/officeDocument/2006/relationships/hyperlink" Target="https://doi.org/10.1039/c5cy00372e" TargetMode="External" Id="rId102"/><Relationship Type="http://schemas.openxmlformats.org/officeDocument/2006/relationships/hyperlink" Target="#'&#26680;&#23545;&#34920;'!A53" TargetMode="External" Id="rId103"/><Relationship Type="http://schemas.openxmlformats.org/officeDocument/2006/relationships/hyperlink" Target="https://doi.org/10.1039/c5cy00372e" TargetMode="External" Id="rId104"/><Relationship Type="http://schemas.openxmlformats.org/officeDocument/2006/relationships/hyperlink" Target="#'&#26680;&#23545;&#34920;'!A54" TargetMode="External" Id="rId105"/><Relationship Type="http://schemas.openxmlformats.org/officeDocument/2006/relationships/hyperlink" Target="https://doi.org/10.1039/c5cy00372e" TargetMode="External" Id="rId106"/><Relationship Type="http://schemas.openxmlformats.org/officeDocument/2006/relationships/hyperlink" Target="#'&#26680;&#23545;&#34920;'!A55" TargetMode="External" Id="rId107"/><Relationship Type="http://schemas.openxmlformats.org/officeDocument/2006/relationships/hyperlink" Target="https://doi.org/10.1039/c5cy00372e" TargetMode="External" Id="rId108"/><Relationship Type="http://schemas.openxmlformats.org/officeDocument/2006/relationships/hyperlink" Target="#'&#26680;&#23545;&#34920;'!A56" TargetMode="External" Id="rId109"/><Relationship Type="http://schemas.openxmlformats.org/officeDocument/2006/relationships/hyperlink" Target="https://doi.org/10.1039/c5cy00372e" TargetMode="External" Id="rId110"/><Relationship Type="http://schemas.openxmlformats.org/officeDocument/2006/relationships/hyperlink" Target="#'&#26680;&#23545;&#34920;'!A57" TargetMode="External" Id="rId111"/><Relationship Type="http://schemas.openxmlformats.org/officeDocument/2006/relationships/hyperlink" Target="https://doi.org/10.1039/c5cy00372e" TargetMode="External" Id="rId112"/><Relationship Type="http://schemas.openxmlformats.org/officeDocument/2006/relationships/hyperlink" Target="#'&#26680;&#23545;&#34920;'!A58" TargetMode="External" Id="rId113"/><Relationship Type="http://schemas.openxmlformats.org/officeDocument/2006/relationships/hyperlink" Target="https://doi.org/10.1039/c5cy00372e" TargetMode="External" Id="rId114"/><Relationship Type="http://schemas.openxmlformats.org/officeDocument/2006/relationships/hyperlink" Target="#'&#26680;&#23545;&#34920;'!A59" TargetMode="External" Id="rId115"/><Relationship Type="http://schemas.openxmlformats.org/officeDocument/2006/relationships/hyperlink" Target="https://doi.org/10.1039/c5cy00372e" TargetMode="External" Id="rId116"/><Relationship Type="http://schemas.openxmlformats.org/officeDocument/2006/relationships/hyperlink" Target="#'&#26680;&#23545;&#34920;'!A60" TargetMode="External" Id="rId117"/><Relationship Type="http://schemas.openxmlformats.org/officeDocument/2006/relationships/hyperlink" Target="https://doi.org/10.1039/c5cy00372e" TargetMode="External" Id="rId118"/><Relationship Type="http://schemas.openxmlformats.org/officeDocument/2006/relationships/hyperlink" Target="#'&#26680;&#23545;&#34920;'!A61" TargetMode="External" Id="rId119"/><Relationship Type="http://schemas.openxmlformats.org/officeDocument/2006/relationships/hyperlink" Target="https://doi.org/10.1039/c5cy00372e" TargetMode="External" Id="rId120"/><Relationship Type="http://schemas.openxmlformats.org/officeDocument/2006/relationships/hyperlink" Target="#'&#26680;&#23545;&#34920;'!A62" TargetMode="External" Id="rId121"/><Relationship Type="http://schemas.openxmlformats.org/officeDocument/2006/relationships/hyperlink" Target="https://doi.org/10.1016/j.apcatb.2017.06.069" TargetMode="External" Id="rId122"/><Relationship Type="http://schemas.openxmlformats.org/officeDocument/2006/relationships/hyperlink" Target="#'&#26680;&#23545;&#34920;'!A63" TargetMode="External" Id="rId123"/><Relationship Type="http://schemas.openxmlformats.org/officeDocument/2006/relationships/hyperlink" Target="https://doi.org/10.1016/j.apcatb.2017.06.069" TargetMode="External" Id="rId124"/><Relationship Type="http://schemas.openxmlformats.org/officeDocument/2006/relationships/hyperlink" Target="#'&#26680;&#23545;&#34920;'!A64" TargetMode="External" Id="rId125"/><Relationship Type="http://schemas.openxmlformats.org/officeDocument/2006/relationships/hyperlink" Target="https://doi.org/10.1016/j.apcatb.2017.06.069" TargetMode="External" Id="rId126"/><Relationship Type="http://schemas.openxmlformats.org/officeDocument/2006/relationships/hyperlink" Target="#'&#26680;&#23545;&#34920;'!A65" TargetMode="External" Id="rId127"/><Relationship Type="http://schemas.openxmlformats.org/officeDocument/2006/relationships/hyperlink" Target="https://doi.org/10.1016/j.apcatb.2017.06.069" TargetMode="External" Id="rId128"/><Relationship Type="http://schemas.openxmlformats.org/officeDocument/2006/relationships/hyperlink" Target="#'&#26680;&#23545;&#34920;'!A66" TargetMode="External" Id="rId129"/><Relationship Type="http://schemas.openxmlformats.org/officeDocument/2006/relationships/hyperlink" Target="https://doi.org/10.1016/j.apcatb.2017.06.069" TargetMode="External" Id="rId130"/><Relationship Type="http://schemas.openxmlformats.org/officeDocument/2006/relationships/hyperlink" Target="#'&#26680;&#23545;&#34920;'!A67" TargetMode="External" Id="rId131"/><Relationship Type="http://schemas.openxmlformats.org/officeDocument/2006/relationships/hyperlink" Target="https://doi.org/10.1016/j.apcatb.2017.06.069" TargetMode="External" Id="rId132"/><Relationship Type="http://schemas.openxmlformats.org/officeDocument/2006/relationships/hyperlink" Target="#'&#26680;&#23545;&#34920;'!A68" TargetMode="External" Id="rId133"/><Relationship Type="http://schemas.openxmlformats.org/officeDocument/2006/relationships/hyperlink" Target="https://doi.org/10.1016/j.apcatb.2017.06.069" TargetMode="External" Id="rId134"/><Relationship Type="http://schemas.openxmlformats.org/officeDocument/2006/relationships/hyperlink" Target="#'&#26680;&#23545;&#34920;'!A69" TargetMode="External" Id="rId135"/><Relationship Type="http://schemas.openxmlformats.org/officeDocument/2006/relationships/hyperlink" Target="https://doi.org/10.1016/j.apcatb.2017.06.069" TargetMode="External" Id="rId136"/><Relationship Type="http://schemas.openxmlformats.org/officeDocument/2006/relationships/hyperlink" Target="#'&#26680;&#23545;&#34920;'!A70" TargetMode="External" Id="rId137"/><Relationship Type="http://schemas.openxmlformats.org/officeDocument/2006/relationships/hyperlink" Target="https://doi.org/10.1016/j.apcatb.2017.06.069" TargetMode="External" Id="rId138"/><Relationship Type="http://schemas.openxmlformats.org/officeDocument/2006/relationships/hyperlink" Target="#'&#26680;&#23545;&#34920;'!A71" TargetMode="External" Id="rId139"/><Relationship Type="http://schemas.openxmlformats.org/officeDocument/2006/relationships/hyperlink" Target="https://doi.org/10.1016/j.apcatb.2017.06.069" TargetMode="External" Id="rId140"/><Relationship Type="http://schemas.openxmlformats.org/officeDocument/2006/relationships/hyperlink" Target="#'&#26680;&#23545;&#34920;'!A72" TargetMode="External" Id="rId141"/><Relationship Type="http://schemas.openxmlformats.org/officeDocument/2006/relationships/hyperlink" Target="https://doi.org/10.1002/ente.201800747" TargetMode="External" Id="rId142"/><Relationship Type="http://schemas.openxmlformats.org/officeDocument/2006/relationships/hyperlink" Target="#'&#26680;&#23545;&#34920;'!A73" TargetMode="External" Id="rId143"/><Relationship Type="http://schemas.openxmlformats.org/officeDocument/2006/relationships/hyperlink" Target="https://doi.org/10.1002/ente.201800747" TargetMode="External" Id="rId144"/><Relationship Type="http://schemas.openxmlformats.org/officeDocument/2006/relationships/hyperlink" Target="#'&#26680;&#23545;&#34920;'!A74" TargetMode="External" Id="rId145"/><Relationship Type="http://schemas.openxmlformats.org/officeDocument/2006/relationships/hyperlink" Target="https://doi.org/10.1002/ente.201800747" TargetMode="External" Id="rId146"/><Relationship Type="http://schemas.openxmlformats.org/officeDocument/2006/relationships/hyperlink" Target="#'&#26680;&#23545;&#34920;'!A75" TargetMode="External" Id="rId147"/><Relationship Type="http://schemas.openxmlformats.org/officeDocument/2006/relationships/hyperlink" Target="https://doi.org/10.1002/ente.201800747" TargetMode="External" Id="rId148"/><Relationship Type="http://schemas.openxmlformats.org/officeDocument/2006/relationships/hyperlink" Target="#'&#26680;&#23545;&#34920;'!A76" TargetMode="External" Id="rId149"/><Relationship Type="http://schemas.openxmlformats.org/officeDocument/2006/relationships/hyperlink" Target="https://doi.org/10.1002/ente.201800747" TargetMode="External" Id="rId150"/><Relationship Type="http://schemas.openxmlformats.org/officeDocument/2006/relationships/hyperlink" Target="#'&#26680;&#23545;&#34920;'!A77" TargetMode="External" Id="rId151"/><Relationship Type="http://schemas.openxmlformats.org/officeDocument/2006/relationships/hyperlink" Target="https://doi.org/10.1002/ente.201800747" TargetMode="External" Id="rId152"/><Relationship Type="http://schemas.openxmlformats.org/officeDocument/2006/relationships/hyperlink" Target="#'&#26680;&#23545;&#34920;'!A78" TargetMode="External" Id="rId153"/><Relationship Type="http://schemas.openxmlformats.org/officeDocument/2006/relationships/hyperlink" Target="https://doi.org/10.1002/ente.201800747" TargetMode="External" Id="rId154"/><Relationship Type="http://schemas.openxmlformats.org/officeDocument/2006/relationships/hyperlink" Target="#'&#26680;&#23545;&#34920;'!A79" TargetMode="External" Id="rId155"/><Relationship Type="http://schemas.openxmlformats.org/officeDocument/2006/relationships/hyperlink" Target="https://doi.org/10.1002/ente.201800747" TargetMode="External" Id="rId156"/><Relationship Type="http://schemas.openxmlformats.org/officeDocument/2006/relationships/hyperlink" Target="#'&#26680;&#23545;&#34920;'!A80" TargetMode="External" Id="rId157"/><Relationship Type="http://schemas.openxmlformats.org/officeDocument/2006/relationships/hyperlink" Target="https://doi.org/10.1002/ente.201800747" TargetMode="External" Id="rId158"/><Relationship Type="http://schemas.openxmlformats.org/officeDocument/2006/relationships/hyperlink" Target="#'&#26680;&#23545;&#34920;'!A81" TargetMode="External" Id="rId159"/><Relationship Type="http://schemas.openxmlformats.org/officeDocument/2006/relationships/hyperlink" Target="https://doi.org/10.1002/ente.201800747" TargetMode="External" Id="rId160"/><Relationship Type="http://schemas.openxmlformats.org/officeDocument/2006/relationships/hyperlink" Target="#'&#26680;&#23545;&#34920;'!A82" TargetMode="External" Id="rId161"/><Relationship Type="http://schemas.openxmlformats.org/officeDocument/2006/relationships/hyperlink" Target="https://orca.cardiff.ac.uk/id/eprint/135088/" TargetMode="External" Id="rId162"/><Relationship Type="http://schemas.openxmlformats.org/officeDocument/2006/relationships/hyperlink" Target="#'&#26680;&#23545;&#34920;'!A83" TargetMode="External" Id="rId163"/><Relationship Type="http://schemas.openxmlformats.org/officeDocument/2006/relationships/hyperlink" Target="https://orca.cardiff.ac.uk/id/eprint/135088/" TargetMode="External" Id="rId164"/><Relationship Type="http://schemas.openxmlformats.org/officeDocument/2006/relationships/hyperlink" Target="#'&#26680;&#23545;&#34920;'!A84" TargetMode="External" Id="rId165"/><Relationship Type="http://schemas.openxmlformats.org/officeDocument/2006/relationships/hyperlink" Target="https://orca.cardiff.ac.uk/id/eprint/135088/" TargetMode="External" Id="rId166"/><Relationship Type="http://schemas.openxmlformats.org/officeDocument/2006/relationships/hyperlink" Target="#'&#26680;&#23545;&#34920;'!A85" TargetMode="External" Id="rId167"/><Relationship Type="http://schemas.openxmlformats.org/officeDocument/2006/relationships/hyperlink" Target="https://orca.cardiff.ac.uk/id/eprint/135088/" TargetMode="External" Id="rId168"/><Relationship Type="http://schemas.openxmlformats.org/officeDocument/2006/relationships/hyperlink" Target="#'&#26680;&#23545;&#34920;'!A86" TargetMode="External" Id="rId169"/><Relationship Type="http://schemas.openxmlformats.org/officeDocument/2006/relationships/hyperlink" Target="https://orca.cardiff.ac.uk/id/eprint/135088/" TargetMode="External" Id="rId170"/><Relationship Type="http://schemas.openxmlformats.org/officeDocument/2006/relationships/hyperlink" Target="#'&#26680;&#23545;&#34920;'!A87" TargetMode="External" Id="rId171"/><Relationship Type="http://schemas.openxmlformats.org/officeDocument/2006/relationships/hyperlink" Target="https://orca.cardiff.ac.uk/id/eprint/135088/" TargetMode="External" Id="rId172"/><Relationship Type="http://schemas.openxmlformats.org/officeDocument/2006/relationships/hyperlink" Target="#'&#26680;&#23545;&#34920;'!A88" TargetMode="External" Id="rId173"/><Relationship Type="http://schemas.openxmlformats.org/officeDocument/2006/relationships/hyperlink" Target="https://orca.cardiff.ac.uk/id/eprint/135088/" TargetMode="External" Id="rId174"/><Relationship Type="http://schemas.openxmlformats.org/officeDocument/2006/relationships/hyperlink" Target="#'&#26680;&#23545;&#34920;'!A89" TargetMode="External" Id="rId175"/><Relationship Type="http://schemas.openxmlformats.org/officeDocument/2006/relationships/hyperlink" Target="https://orca.cardiff.ac.uk/id/eprint/135088/" TargetMode="External" Id="rId176"/><Relationship Type="http://schemas.openxmlformats.org/officeDocument/2006/relationships/hyperlink" Target="#'&#26680;&#23545;&#34920;'!A90" TargetMode="External" Id="rId177"/><Relationship Type="http://schemas.openxmlformats.org/officeDocument/2006/relationships/hyperlink" Target="https://orca.cardiff.ac.uk/id/eprint/135088/" TargetMode="External" Id="rId178"/><Relationship Type="http://schemas.openxmlformats.org/officeDocument/2006/relationships/hyperlink" Target="#'&#26680;&#23545;&#34920;'!A91" TargetMode="External" Id="rId179"/><Relationship Type="http://schemas.openxmlformats.org/officeDocument/2006/relationships/hyperlink" Target="https://orca.cardiff.ac.uk/id/eprint/135088/" TargetMode="External" Id="rId180"/><Relationship Type="http://schemas.openxmlformats.org/officeDocument/2006/relationships/hyperlink" Target="#'&#26680;&#23545;&#34920;'!A92" TargetMode="External" Id="rId181"/><Relationship Type="http://schemas.openxmlformats.org/officeDocument/2006/relationships/hyperlink" Target="https://iris.unito.it/retrieve/handle/2318/122839/18808/COST_OA.pdf" TargetMode="External" Id="rId182"/><Relationship Type="http://schemas.openxmlformats.org/officeDocument/2006/relationships/hyperlink" Target="#'&#26680;&#23545;&#34920;'!A93" TargetMode="External" Id="rId183"/><Relationship Type="http://schemas.openxmlformats.org/officeDocument/2006/relationships/hyperlink" Target="https://iris.unito.it/retrieve/handle/2318/122839/18808/COST_OA.pdf" TargetMode="External" Id="rId184"/><Relationship Type="http://schemas.openxmlformats.org/officeDocument/2006/relationships/hyperlink" Target="#'&#26680;&#23545;&#34920;'!A94" TargetMode="External" Id="rId185"/><Relationship Type="http://schemas.openxmlformats.org/officeDocument/2006/relationships/hyperlink" Target="https://iris.unito.it/retrieve/handle/2318/122839/18808/COST_OA.pdf" TargetMode="External" Id="rId186"/><Relationship Type="http://schemas.openxmlformats.org/officeDocument/2006/relationships/hyperlink" Target="#'&#26680;&#23545;&#34920;'!A95" TargetMode="External" Id="rId187"/><Relationship Type="http://schemas.openxmlformats.org/officeDocument/2006/relationships/hyperlink" Target="https://iris.unito.it/retrieve/handle/2318/122839/18808/COST_OA.pdf" TargetMode="External" Id="rId188"/><Relationship Type="http://schemas.openxmlformats.org/officeDocument/2006/relationships/hyperlink" Target="#'&#26680;&#23545;&#34920;'!A96" TargetMode="External" Id="rId189"/><Relationship Type="http://schemas.openxmlformats.org/officeDocument/2006/relationships/hyperlink" Target="https://iris.unito.it/retrieve/handle/2318/122839/18808/COST_OA.pdf" TargetMode="External" Id="rId190"/><Relationship Type="http://schemas.openxmlformats.org/officeDocument/2006/relationships/hyperlink" Target="#'&#26680;&#23545;&#34920;'!A97" TargetMode="External" Id="rId191"/><Relationship Type="http://schemas.openxmlformats.org/officeDocument/2006/relationships/hyperlink" Target="https://iris.unito.it/retrieve/handle/2318/122839/18808/COST_OA.pdf" TargetMode="External" Id="rId192"/><Relationship Type="http://schemas.openxmlformats.org/officeDocument/2006/relationships/hyperlink" Target="#'&#26680;&#23545;&#34920;'!A98" TargetMode="External" Id="rId193"/><Relationship Type="http://schemas.openxmlformats.org/officeDocument/2006/relationships/hyperlink" Target="https://iris.unito.it/retrieve/handle/2318/122839/18808/COST_OA.pdf" TargetMode="External" Id="rId194"/><Relationship Type="http://schemas.openxmlformats.org/officeDocument/2006/relationships/hyperlink" Target="#'&#26680;&#23545;&#34920;'!A99" TargetMode="External" Id="rId195"/><Relationship Type="http://schemas.openxmlformats.org/officeDocument/2006/relationships/hyperlink" Target="https://iris.unito.it/retrieve/handle/2318/122839/18808/COST_OA.pdf" TargetMode="External" Id="rId196"/><Relationship Type="http://schemas.openxmlformats.org/officeDocument/2006/relationships/hyperlink" Target="#'&#26680;&#23545;&#34920;'!A100" TargetMode="External" Id="rId197"/><Relationship Type="http://schemas.openxmlformats.org/officeDocument/2006/relationships/hyperlink" Target="https://iris.unito.it/retrieve/handle/2318/122839/18808/COST_OA.pdf" TargetMode="External" Id="rId198"/><Relationship Type="http://schemas.openxmlformats.org/officeDocument/2006/relationships/hyperlink" Target="#'&#26680;&#23545;&#34920;'!A101" TargetMode="External" Id="rId199"/><Relationship Type="http://schemas.openxmlformats.org/officeDocument/2006/relationships/hyperlink" Target="https://iris.unito.it/retrieve/handle/2318/122839/18808/COST_OA.pdf" TargetMode="External" Id="rId200"/></Relationships>
</file>

<file path=xl/worksheets/_rels/sheet3.xml.rels><Relationships xmlns="http://schemas.openxmlformats.org/package/2006/relationships"><Relationship Type="http://schemas.openxmlformats.org/officeDocument/2006/relationships/hyperlink" Target="https://doi.org/10.1016/j.apcata.2018.04.036" TargetMode="External" Id="rId1"/><Relationship Type="http://schemas.openxmlformats.org/officeDocument/2006/relationships/hyperlink" Target="https://pmc.ncbi.nlm.nih.gov/articles/PMC8336954/" TargetMode="External" Id="rId2"/><Relationship Type="http://schemas.openxmlformats.org/officeDocument/2006/relationships/hyperlink" Target="https://www.rsc.org/suppdata/cy/c2/c2cy20604h/c2cy20604h.pdf" TargetMode="External" Id="rId3"/><Relationship Type="http://schemas.openxmlformats.org/officeDocument/2006/relationships/hyperlink" Target="https://www.nature.com/articles/s41467-019-11349-9" TargetMode="External" Id="rId4"/><Relationship Type="http://schemas.openxmlformats.org/officeDocument/2006/relationships/hyperlink" Target="https://pmc.ncbi.nlm.nih.gov/articles/PMC7299618/" TargetMode="External" Id="rId5"/><Relationship Type="http://schemas.openxmlformats.org/officeDocument/2006/relationships/hyperlink" Target="https://doi.org/10.1039/c5cy00372e" TargetMode="External" Id="rId6"/><Relationship Type="http://schemas.openxmlformats.org/officeDocument/2006/relationships/hyperlink" Target="https://doi.org/10.1016/j.apcatb.2017.06.069" TargetMode="External" Id="rId7"/><Relationship Type="http://schemas.openxmlformats.org/officeDocument/2006/relationships/hyperlink" Target="https://doi.org/10.1002/ente.201800747" TargetMode="External" Id="rId8"/><Relationship Type="http://schemas.openxmlformats.org/officeDocument/2006/relationships/hyperlink" Target="https://orca.cardiff.ac.uk/id/eprint/135088/" TargetMode="External" Id="rId9"/><Relationship Type="http://schemas.openxmlformats.org/officeDocument/2006/relationships/hyperlink" Target="https://iris.unito.it/retrieve/handle/2318/122839/18808/COST_OA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23" customWidth="1" min="2" max="2"/>
    <col width="27" customWidth="1" min="3" max="3"/>
    <col width="24" customWidth="1" min="4" max="4"/>
    <col width="23" customWidth="1" min="5" max="5"/>
    <col width="27" customWidth="1" min="6" max="6"/>
    <col width="20" customWidth="1" min="7" max="7"/>
    <col width="24" customWidth="1" min="8" max="8"/>
  </cols>
  <sheetData>
    <row r="1" ht="25" customHeight="1">
      <c r="A1" s="7" t="inlineStr">
        <is>
          <t>甲醇文献抽取｜人工金标准独立核验（2026-10-12）</t>
        </is>
      </c>
    </row>
    <row r="2" ht="20" customHeight="1"/>
    <row r="4" ht="39" customHeight="1">
      <c r="A4" s="8" t="inlineStr">
        <is>
          <t>本文件仅提供独立原文证据初核，不替代要求人工逐值核验的100个金标准判定。原始「核对表」的黄色人工列保持空白。</t>
        </is>
      </c>
    </row>
    <row r="6" ht="26" customHeight="1">
      <c r="A6" s="9" t="inlineStr">
        <is>
          <t>抽样数</t>
        </is>
      </c>
      <c r="B6" s="10">
        <f>COUNTA('核对表'!A2:A101)</f>
        <v>100</v>
      </c>
      <c r="D6" s="11" t="inlineStr">
        <is>
          <t>抽样论文数</t>
        </is>
      </c>
      <c r="E6" s="12">
        <f>COUNTA('文献证据清单'!A2:A11)</f>
        <v>10</v>
      </c>
    </row>
    <row r="7" ht="26" customHeight="1">
      <c r="A7" s="9" t="inlineStr">
        <is>
          <t>原表人工判定已填写</t>
        </is>
      </c>
      <c r="B7" s="10">
        <f>COUNTIF('核对表'!Q2:Q101,"correct")+COUNTIF('核对表'!Q2:Q101,"rounding")+COUNTIF('核对表'!Q2:Q101,"wrong")</f>
        <v>0</v>
      </c>
      <c r="D7" s="11" t="inlineStr">
        <is>
          <t>工况类样本（条件字段）</t>
        </is>
      </c>
      <c r="E7" s="12">
        <f>COUNTIF('核对表'!E2:E101,"temperature")+COUNTIF('核对表'!E2:E101,"pressure")+COUNTIF('核对表'!E2:E101,"H2/CO2")+COUNTIF('核对表'!E2:E101,"space velocity")</f>
        <v>45</v>
      </c>
    </row>
    <row r="8" ht="26" customHeight="1">
      <c r="A8" s="9" t="inlineStr">
        <is>
          <t>A｜逐项可核</t>
        </is>
      </c>
      <c r="B8" s="10">
        <f>COUNTIF('独立证据核验'!I2:I101,"A｜逐项可核")</f>
        <v>30</v>
      </c>
      <c r="D8" s="11" t="inlineStr">
        <is>
          <t>性能类样本</t>
        </is>
      </c>
      <c r="E8" s="12">
        <f>B6-E7</f>
        <v>55</v>
      </c>
    </row>
    <row r="9" ht="26" customHeight="1">
      <c r="A9" s="9" t="inlineStr">
        <is>
          <t>B｜背景工况佐证</t>
        </is>
      </c>
      <c r="B9" s="10">
        <f>COUNTIF('独立证据核验'!I2:I101,"B｜背景工况佐证")</f>
        <v>12</v>
      </c>
      <c r="D9" s="11" t="inlineStr">
        <is>
          <t>原CSV上界字段数</t>
        </is>
      </c>
      <c r="E9" s="12">
        <f>COUNTIF('独立证据核验'!O2:O101,"&lt;")</f>
        <v>1</v>
      </c>
    </row>
    <row r="10" ht="26" customHeight="1">
      <c r="A10" s="9" t="inlineStr">
        <is>
          <t>C｜需修正规则/引文</t>
        </is>
      </c>
      <c r="B10" s="10">
        <f>COUNTIF('独立证据核验'!I2:I101,"C｜需修正规则/引文")</f>
        <v>5</v>
      </c>
      <c r="D10" s="11" t="inlineStr">
        <is>
          <t>取样类别：每篇固定10值</t>
        </is>
      </c>
      <c r="E10" s="12" t="inlineStr">
        <is>
          <t>是（非总体随机均匀）</t>
        </is>
      </c>
    </row>
    <row r="11" ht="26" customHeight="1">
      <c r="A11" s="9" t="inlineStr">
        <is>
          <t>D｜待原文或SI</t>
        </is>
      </c>
      <c r="B11" s="10">
        <f>COUNTIF('独立证据核验'!I2:I101,"D｜待原文或SI")</f>
        <v>53</v>
      </c>
    </row>
    <row r="14" ht="29" customHeight="1">
      <c r="A14" s="13" t="inlineStr">
        <is>
          <t>抽样总体与冻结S5存在差异（优先修复）</t>
        </is>
      </c>
    </row>
    <row r="15" ht="28" customHeight="1">
      <c r="A15" s="14" t="inlineStr">
        <is>
          <t>现有金标准采样脚本（2026-10-08）的旧口径：307条、2222个字段数值；冻结S5统计为310个进入40组的候选。应按冻结版本重建候选总体，并验证原100样本是否全部仍属当前总体。差3条不等于只影响3个字段值；原因须由去重比较脚本确认。</t>
        </is>
      </c>
    </row>
    <row r="16" ht="28" customHeight="1"/>
    <row r="17">
      <c r="A17" s="15" t="inlineStr">
        <is>
          <t>证据：https://github.com/stloendays/Catalyst-Essay/blob/freeze-s5-printed-2026-10-12/analysis/meoh_literature_inversion_2026_10_05/summary.json</t>
        </is>
      </c>
    </row>
    <row r="18" ht="29" customHeight="1">
      <c r="A18" s="13" t="inlineStr">
        <is>
          <t>统计目标与独立性</t>
        </is>
      </c>
    </row>
    <row r="19" ht="28" customHeight="1">
      <c r="A19" s="14" t="inlineStr">
        <is>
          <t>抽样方法先按论文等概率抽10篇，再在每篇抽10个值。100个值中包含45个T/P/配比/空速工况，以及55个性能字段；同一论文同一条件会在不同催化剂行多次出现。简单 correct/100 的Wilson区间不能不加限定地外推为2222值的总体准确率。</t>
        </is>
      </c>
    </row>
    <row r="20" ht="28" customHeight="1"/>
    <row r="21">
      <c r="A21" s="15" t="inlineStr">
        <is>
          <t>证据：https://github.com/stloendays/Catalyst-Essay/blob/freeze-s5-printed-2026-10-12/analysis/verify_2026_10_08/gold_standard_sample.py</t>
        </is>
      </c>
    </row>
    <row r="22" ht="29" customHeight="1">
      <c r="A22" s="13" t="inlineStr">
        <is>
          <t>上界限定符 #93</t>
        </is>
      </c>
    </row>
    <row r="23" ht="28" customHeight="1">
      <c r="A23" s="14" t="inlineStr">
        <is>
          <t>输入Excel只显示 CH4 selectivity = 0.1%，但仓库 gold_standard_sample.csv 中该数的 qualifier = “&lt;”。这表示上界&lt;0.1%，不是精确实测值。模型 pct(..., "&lt;") 按0代入，须在表中展示限定符并披露处理。</t>
        </is>
      </c>
    </row>
    <row r="24" ht="28" customHeight="1"/>
    <row r="25">
      <c r="A25" s="15" t="inlineStr">
        <is>
          <t>证据：https://github.com/stloendays/Catalyst-Essay/blob/freeze-s5-printed-2026-10-12/analysis/verify_2026_10_08/gold_standard_sample.csv</t>
        </is>
      </c>
    </row>
    <row r="26" ht="29" customHeight="1">
      <c r="A26" s="13" t="inlineStr">
        <is>
          <t>工况推导 ≠ 原文直印</t>
        </is>
      </c>
    </row>
    <row r="27" ht="28" customHeight="1">
      <c r="A27" s="14" t="inlineStr">
        <is>
          <t>例如 #45 的 H2/CO2=73/24=3.041666... 由气氛73:24:3推算；#85/#90的H2/CO2=60/20=3由60/20/20的含N2进料推算。可以说数值可溯源，但不能称“该精确数字是文献直接印刷”。</t>
        </is>
      </c>
    </row>
    <row r="28" ht="28" customHeight="1"/>
    <row r="29">
      <c r="A29" s="15" t="inlineStr">
        <is>
          <t>证据：https://github.com/stloendays/Catalyst-Essay/blob/freeze-s5-printed-2026-10-12/analysis/verify_2026_10_08/gold_standard_sample.csv</t>
        </is>
      </c>
    </row>
    <row r="30" ht="29" customHeight="1">
      <c r="A30" s="13" t="inlineStr">
        <is>
          <t>证据定位错位与单位口径</t>
        </is>
      </c>
    </row>
    <row r="31" ht="28" customHeight="1">
      <c r="A31" s="14" t="inlineStr">
        <is>
          <t>#40 9.7%可由 Frei Fig.6附近正文追溯，但原表写Table2，定位应修正；Bansode高压采用MPa，Ota原文250°C与523K换算相差0.15°C不应被误判；#99为摩尔产率，不等于g基准STY。</t>
        </is>
      </c>
    </row>
    <row r="32" ht="28" customHeight="1"/>
    <row r="33">
      <c r="A33" s="15" t="inlineStr">
        <is>
          <t>证据：https://iris.unito.it/retrieve/handle/2318/122839/18808/COST_OA.pdf</t>
        </is>
      </c>
    </row>
    <row r="34" ht="29" customHeight="1">
      <c r="A34" s="13" t="inlineStr">
        <is>
          <t>勘误与金标准不可互相替代</t>
        </is>
      </c>
    </row>
    <row r="35" ht="28" customHeight="1">
      <c r="A35" s="14" t="inlineStr">
        <is>
          <t>勘误表由自动规则生成；金标准应基于预先冻结的随机抽样、原始PDF/SI逐值独立检查。两者可以交叉核证，但自动标为正确的行不能充当人工标注。</t>
        </is>
      </c>
    </row>
    <row r="36" ht="28" customHeight="1"/>
    <row r="37">
      <c r="A37" s="15" t="inlineStr">
        <is>
          <t>证据：https://github.com/stloendays/Catalyst-Essay/blob/freeze-s5-printed-2026-10-12/analysis/verify_2026_10_08/gold_standard_sample.py</t>
        </is>
      </c>
    </row>
  </sheetData>
  <mergeCells count="14">
    <mergeCell ref="A18:H18"/>
    <mergeCell ref="A4:H4"/>
    <mergeCell ref="A26:H26"/>
    <mergeCell ref="A30:H30"/>
    <mergeCell ref="A15:H16"/>
    <mergeCell ref="A23:H24"/>
    <mergeCell ref="A31:H32"/>
    <mergeCell ref="A14:H14"/>
    <mergeCell ref="A19:H20"/>
    <mergeCell ref="A1:H2"/>
    <mergeCell ref="A35:H36"/>
    <mergeCell ref="A27:H28"/>
    <mergeCell ref="A22:H22"/>
    <mergeCell ref="A34:H34"/>
  </mergeCells>
  <hyperlinks>
    <hyperlink xmlns:r="http://schemas.openxmlformats.org/officeDocument/2006/relationships" ref="A17" r:id="rId1"/>
    <hyperlink xmlns:r="http://schemas.openxmlformats.org/officeDocument/2006/relationships" ref="A21" r:id="rId2"/>
    <hyperlink xmlns:r="http://schemas.openxmlformats.org/officeDocument/2006/relationships" ref="A25" r:id="rId3"/>
    <hyperlink xmlns:r="http://schemas.openxmlformats.org/officeDocument/2006/relationships" ref="A29" r:id="rId4"/>
    <hyperlink xmlns:r="http://schemas.openxmlformats.org/officeDocument/2006/relationships" ref="A33" r:id="rId5"/>
    <hyperlink xmlns:r="http://schemas.openxmlformats.org/officeDocument/2006/relationships" ref="A37" r:id="rId6"/>
  </hyperlinks>
  <printOptions horizontalCentered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10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3" customWidth="1" min="2" max="2"/>
    <col width="26" customWidth="1" min="3" max="3"/>
    <col width="30" customWidth="1" min="4" max="4"/>
    <col width="19" customWidth="1" min="5" max="5"/>
    <col width="19" customWidth="1" min="6" max="6"/>
    <col width="13" customWidth="1" min="7" max="7"/>
    <col width="37" customWidth="1" min="8" max="8"/>
    <col width="18" customWidth="1" min="9" max="9"/>
    <col width="37" customWidth="1" min="10" max="10"/>
    <col width="47" customWidth="1" min="11" max="11"/>
    <col width="38" customWidth="1" min="12" max="12"/>
    <col width="65" customWidth="1" min="13" max="13"/>
    <col width="19" customWidth="1" min="14" max="14"/>
    <col width="16" customWidth="1" min="15" max="15"/>
    <col width="16" customWidth="1" min="16" max="16"/>
    <col width="19" customWidth="1" min="17" max="17"/>
    <col width="23" customWidth="1" min="18" max="18"/>
  </cols>
  <sheetData>
    <row r="1" ht="38" customHeight="1">
      <c r="A1" s="16" t="inlineStr">
        <is>
          <t>编号</t>
        </is>
      </c>
      <c r="B1" s="16" t="inlineStr">
        <is>
          <t>文献</t>
        </is>
      </c>
      <c r="C1" s="16" t="inlineStr">
        <is>
          <t>DOI</t>
        </is>
      </c>
      <c r="D1" s="16" t="inlineStr">
        <is>
          <t>催化剂</t>
        </is>
      </c>
      <c r="E1" s="16" t="inlineStr">
        <is>
          <t>字段</t>
        </is>
      </c>
      <c r="F1" s="16" t="inlineStr">
        <is>
          <t>原表抽取值</t>
        </is>
      </c>
      <c r="G1" s="16" t="inlineStr">
        <is>
          <t>原表单位</t>
        </is>
      </c>
      <c r="H1" s="16" t="inlineStr">
        <is>
          <t>原始定位</t>
        </is>
      </c>
      <c r="I1" s="16" t="inlineStr">
        <is>
          <t>初核等级</t>
        </is>
      </c>
      <c r="J1" s="16" t="inlineStr">
        <is>
          <t>独立检索到的值/原始表达</t>
        </is>
      </c>
      <c r="K1" s="16" t="inlineStr">
        <is>
          <t>独立证据位置</t>
        </is>
      </c>
      <c r="L1" s="16" t="inlineStr">
        <is>
          <t>证据URL</t>
        </is>
      </c>
      <c r="M1" s="16" t="inlineStr">
        <is>
          <t>二审意见</t>
        </is>
      </c>
      <c r="N1" s="16" t="inlineStr">
        <is>
          <t>打印属性判断</t>
        </is>
      </c>
      <c r="O1" s="16" t="inlineStr">
        <is>
          <t>抽样CSV限定符</t>
        </is>
      </c>
      <c r="P1" s="16" t="inlineStr">
        <is>
          <t>优先级</t>
        </is>
      </c>
      <c r="Q1" s="16" t="inlineStr">
        <is>
          <t>原表人工判定</t>
        </is>
      </c>
      <c r="R1" s="16" t="inlineStr">
        <is>
          <t>注意：非人工金标准</t>
        </is>
      </c>
    </row>
    <row r="2" ht="38" customHeight="1">
      <c r="A2" s="17" t="n">
        <v>1</v>
      </c>
      <c r="B2" s="18" t="inlineStr">
        <is>
          <t>Malik 2018</t>
        </is>
      </c>
      <c r="C2" s="18" t="inlineStr">
        <is>
          <t>10.1016/j.apcata.2018.04.036</t>
        </is>
      </c>
      <c r="D2" s="18" t="inlineStr">
        <is>
          <t>0.5Ca5P5ZC</t>
        </is>
      </c>
      <c r="E2" s="18" t="inlineStr">
        <is>
          <t>H2/CO2</t>
        </is>
      </c>
      <c r="F2" s="18" t="inlineStr">
        <is>
          <t>3</t>
        </is>
      </c>
      <c r="G2" s="18" t="inlineStr">
        <is>
          <t>mol/mol</t>
        </is>
      </c>
      <c r="H2" s="18" t="inlineStr">
        <is>
          <t>Text Section 4 and Figure 10a,b</t>
        </is>
      </c>
      <c r="I2" s="19" t="inlineStr">
        <is>
          <t>D｜待原文或SI</t>
        </is>
      </c>
      <c r="J2" s="20" t="inlineStr">
        <is>
          <t>未取得可独立核对的原始行</t>
        </is>
      </c>
      <c r="K2" s="20" t="inlineStr">
        <is>
          <t>需打开对应 PDF/SI Table/Fig 并按催化剂+实验条件逐行确认</t>
        </is>
      </c>
      <c r="L2" s="17" t="inlineStr">
        <is>
          <t>https://doi.org/10.1016/j.apcata.2018.04.036</t>
        </is>
      </c>
      <c r="M2" s="20" t="inlineStr">
        <is>
          <t>当前不能判 correct/rounding/wrong；不能用原抽取文本为自身背书</t>
        </is>
      </c>
      <c r="N2" s="20" t="inlineStr">
        <is>
          <t>未判定</t>
        </is>
      </c>
      <c r="O2" s="20" t="inlineStr">
        <is>
          <t>（工况字段无）</t>
        </is>
      </c>
      <c r="P2" s="20" t="inlineStr">
        <is>
          <t>中（需原文）</t>
        </is>
      </c>
      <c r="Q2" s="20" t="inlineStr">
        <is>
          <t>（未人工核对）</t>
        </is>
      </c>
      <c r="R2" s="20" t="inlineStr">
        <is>
          <t>独立检索证据；未填写人工核验栏</t>
        </is>
      </c>
    </row>
    <row r="3" ht="38" customHeight="1">
      <c r="A3" s="21" t="n">
        <v>2</v>
      </c>
      <c r="B3" s="22" t="inlineStr">
        <is>
          <t>Malik 2018</t>
        </is>
      </c>
      <c r="C3" s="22" t="inlineStr">
        <is>
          <t>10.1016/j.apcata.2018.04.036</t>
        </is>
      </c>
      <c r="D3" s="22" t="inlineStr">
        <is>
          <t>5P5ZC</t>
        </is>
      </c>
      <c r="E3" s="22" t="inlineStr">
        <is>
          <t>CO selectivity</t>
        </is>
      </c>
      <c r="F3" s="22" t="inlineStr">
        <is>
          <t>0</t>
        </is>
      </c>
      <c r="G3" s="22" t="inlineStr">
        <is>
          <t>%</t>
        </is>
      </c>
      <c r="H3" s="22" t="inlineStr">
        <is>
          <t>Table 6</t>
        </is>
      </c>
      <c r="I3" s="19" t="inlineStr">
        <is>
          <t>D｜待原文或SI</t>
        </is>
      </c>
      <c r="J3" s="23" t="inlineStr">
        <is>
          <t>未取得可独立核对的原始行</t>
        </is>
      </c>
      <c r="K3" s="23" t="inlineStr">
        <is>
          <t>需打开对应 PDF/SI Table/Fig 并按催化剂+实验条件逐行确认</t>
        </is>
      </c>
      <c r="L3" s="21" t="inlineStr">
        <is>
          <t>https://doi.org/10.1016/j.apcata.2018.04.036</t>
        </is>
      </c>
      <c r="M3" s="23" t="inlineStr">
        <is>
          <t>当前不能判 correct/rounding/wrong；不能用原抽取文本为自身背书</t>
        </is>
      </c>
      <c r="N3" s="23" t="inlineStr">
        <is>
          <t>未判定</t>
        </is>
      </c>
      <c r="O3" s="23" t="inlineStr">
        <is>
          <t>=</t>
        </is>
      </c>
      <c r="P3" s="23" t="inlineStr">
        <is>
          <t>高（需原文）</t>
        </is>
      </c>
      <c r="Q3" s="23" t="inlineStr">
        <is>
          <t>（未人工核对）</t>
        </is>
      </c>
      <c r="R3" s="23" t="inlineStr">
        <is>
          <t>独立检索证据；未填写人工核验栏</t>
        </is>
      </c>
    </row>
    <row r="4" ht="38" customHeight="1">
      <c r="A4" s="17" t="n">
        <v>3</v>
      </c>
      <c r="B4" s="18" t="inlineStr">
        <is>
          <t>Malik 2018</t>
        </is>
      </c>
      <c r="C4" s="18" t="inlineStr">
        <is>
          <t>10.1016/j.apcata.2018.04.036</t>
        </is>
      </c>
      <c r="D4" s="18" t="inlineStr">
        <is>
          <t>5P5ZC</t>
        </is>
      </c>
      <c r="E4" s="18" t="inlineStr">
        <is>
          <t>pressure</t>
        </is>
      </c>
      <c r="F4" s="18" t="inlineStr">
        <is>
          <t>30</t>
        </is>
      </c>
      <c r="G4" s="18" t="inlineStr">
        <is>
          <t>bar</t>
        </is>
      </c>
      <c r="H4" s="18" t="inlineStr">
        <is>
          <t>Table 6</t>
        </is>
      </c>
      <c r="I4" s="19" t="inlineStr">
        <is>
          <t>D｜待原文或SI</t>
        </is>
      </c>
      <c r="J4" s="20" t="inlineStr">
        <is>
          <t>未取得可独立核对的原始行</t>
        </is>
      </c>
      <c r="K4" s="20" t="inlineStr">
        <is>
          <t>需打开对应 PDF/SI Table/Fig 并按催化剂+实验条件逐行确认</t>
        </is>
      </c>
      <c r="L4" s="17" t="inlineStr">
        <is>
          <t>https://doi.org/10.1016/j.apcata.2018.04.036</t>
        </is>
      </c>
      <c r="M4" s="20" t="inlineStr">
        <is>
          <t>当前不能判 correct/rounding/wrong；不能用原抽取文本为自身背书</t>
        </is>
      </c>
      <c r="N4" s="20" t="inlineStr">
        <is>
          <t>未判定</t>
        </is>
      </c>
      <c r="O4" s="20" t="inlineStr">
        <is>
          <t>（工况字段无）</t>
        </is>
      </c>
      <c r="P4" s="20" t="inlineStr">
        <is>
          <t>中（需原文）</t>
        </is>
      </c>
      <c r="Q4" s="20" t="inlineStr">
        <is>
          <t>（未人工核对）</t>
        </is>
      </c>
      <c r="R4" s="20" t="inlineStr">
        <is>
          <t>独立检索证据；未填写人工核验栏</t>
        </is>
      </c>
    </row>
    <row r="5" ht="38" customHeight="1">
      <c r="A5" s="21" t="n">
        <v>4</v>
      </c>
      <c r="B5" s="22" t="inlineStr">
        <is>
          <t>Malik 2018</t>
        </is>
      </c>
      <c r="C5" s="22" t="inlineStr">
        <is>
          <t>10.1016/j.apcata.2018.04.036</t>
        </is>
      </c>
      <c r="D5" s="22" t="inlineStr">
        <is>
          <t>5PC</t>
        </is>
      </c>
      <c r="E5" s="22" t="inlineStr">
        <is>
          <t>CH3OH selectivity</t>
        </is>
      </c>
      <c r="F5" s="22" t="inlineStr">
        <is>
          <t>70.1</t>
        </is>
      </c>
      <c r="G5" s="22" t="inlineStr">
        <is>
          <t>%</t>
        </is>
      </c>
      <c r="H5" s="22" t="inlineStr">
        <is>
          <t>Table 6</t>
        </is>
      </c>
      <c r="I5" s="19" t="inlineStr">
        <is>
          <t>D｜待原文或SI</t>
        </is>
      </c>
      <c r="J5" s="23" t="inlineStr">
        <is>
          <t>未取得可独立核对的原始行</t>
        </is>
      </c>
      <c r="K5" s="23" t="inlineStr">
        <is>
          <t>需打开对应 PDF/SI Table/Fig 并按催化剂+实验条件逐行确认</t>
        </is>
      </c>
      <c r="L5" s="21" t="inlineStr">
        <is>
          <t>https://doi.org/10.1016/j.apcata.2018.04.036</t>
        </is>
      </c>
      <c r="M5" s="23" t="inlineStr">
        <is>
          <t>当前不能判 correct/rounding/wrong；不能用原抽取文本为自身背书</t>
        </is>
      </c>
      <c r="N5" s="23" t="inlineStr">
        <is>
          <t>未判定</t>
        </is>
      </c>
      <c r="O5" s="23" t="inlineStr">
        <is>
          <t>=</t>
        </is>
      </c>
      <c r="P5" s="23" t="inlineStr">
        <is>
          <t>高（需原文）</t>
        </is>
      </c>
      <c r="Q5" s="23" t="inlineStr">
        <is>
          <t>（未人工核对）</t>
        </is>
      </c>
      <c r="R5" s="23" t="inlineStr">
        <is>
          <t>独立检索证据；未填写人工核验栏</t>
        </is>
      </c>
    </row>
    <row r="6" ht="38" customHeight="1">
      <c r="A6" s="17" t="n">
        <v>5</v>
      </c>
      <c r="B6" s="18" t="inlineStr">
        <is>
          <t>Malik 2018</t>
        </is>
      </c>
      <c r="C6" s="18" t="inlineStr">
        <is>
          <t>10.1016/j.apcata.2018.04.036</t>
        </is>
      </c>
      <c r="D6" s="18" t="inlineStr">
        <is>
          <t>0.5Ca5P5ZC</t>
        </is>
      </c>
      <c r="E6" s="18" t="inlineStr">
        <is>
          <t>CH4 selectivity</t>
        </is>
      </c>
      <c r="F6" s="18" t="inlineStr">
        <is>
          <t>0</t>
        </is>
      </c>
      <c r="G6" s="18" t="inlineStr">
        <is>
          <t>%</t>
        </is>
      </c>
      <c r="H6" s="18" t="inlineStr">
        <is>
          <t>Table 6</t>
        </is>
      </c>
      <c r="I6" s="19" t="inlineStr">
        <is>
          <t>D｜待原文或SI</t>
        </is>
      </c>
      <c r="J6" s="20" t="inlineStr">
        <is>
          <t>未取得可独立核对的原始行</t>
        </is>
      </c>
      <c r="K6" s="20" t="inlineStr">
        <is>
          <t>需打开对应 PDF/SI Table/Fig 并按催化剂+实验条件逐行确认</t>
        </is>
      </c>
      <c r="L6" s="17" t="inlineStr">
        <is>
          <t>https://doi.org/10.1016/j.apcata.2018.04.036</t>
        </is>
      </c>
      <c r="M6" s="20" t="inlineStr">
        <is>
          <t>当前不能判 correct/rounding/wrong；不能用原抽取文本为自身背书</t>
        </is>
      </c>
      <c r="N6" s="20" t="inlineStr">
        <is>
          <t>未判定</t>
        </is>
      </c>
      <c r="O6" s="20" t="inlineStr">
        <is>
          <t>=</t>
        </is>
      </c>
      <c r="P6" s="20" t="inlineStr">
        <is>
          <t>高（需原文）</t>
        </is>
      </c>
      <c r="Q6" s="20" t="inlineStr">
        <is>
          <t>（未人工核对）</t>
        </is>
      </c>
      <c r="R6" s="20" t="inlineStr">
        <is>
          <t>独立检索证据；未填写人工核验栏</t>
        </is>
      </c>
    </row>
    <row r="7" ht="38" customHeight="1">
      <c r="A7" s="21" t="n">
        <v>6</v>
      </c>
      <c r="B7" s="22" t="inlineStr">
        <is>
          <t>Malik 2018</t>
        </is>
      </c>
      <c r="C7" s="22" t="inlineStr">
        <is>
          <t>10.1016/j.apcata.2018.04.036</t>
        </is>
      </c>
      <c r="D7" s="22" t="inlineStr">
        <is>
          <t>5PC</t>
        </is>
      </c>
      <c r="E7" s="22" t="inlineStr">
        <is>
          <t>H2/CO2</t>
        </is>
      </c>
      <c r="F7" s="22" t="inlineStr">
        <is>
          <t>3</t>
        </is>
      </c>
      <c r="G7" s="22" t="inlineStr">
        <is>
          <t>mol/mol</t>
        </is>
      </c>
      <c r="H7" s="22" t="inlineStr">
        <is>
          <t>Table 6</t>
        </is>
      </c>
      <c r="I7" s="19" t="inlineStr">
        <is>
          <t>D｜待原文或SI</t>
        </is>
      </c>
      <c r="J7" s="23" t="inlineStr">
        <is>
          <t>未取得可独立核对的原始行</t>
        </is>
      </c>
      <c r="K7" s="23" t="inlineStr">
        <is>
          <t>需打开对应 PDF/SI Table/Fig 并按催化剂+实验条件逐行确认</t>
        </is>
      </c>
      <c r="L7" s="21" t="inlineStr">
        <is>
          <t>https://doi.org/10.1016/j.apcata.2018.04.036</t>
        </is>
      </c>
      <c r="M7" s="23" t="inlineStr">
        <is>
          <t>当前不能判 correct/rounding/wrong；不能用原抽取文本为自身背书</t>
        </is>
      </c>
      <c r="N7" s="23" t="inlineStr">
        <is>
          <t>未判定</t>
        </is>
      </c>
      <c r="O7" s="23" t="inlineStr">
        <is>
          <t>（工况字段无）</t>
        </is>
      </c>
      <c r="P7" s="23" t="inlineStr">
        <is>
          <t>中（需原文）</t>
        </is>
      </c>
      <c r="Q7" s="23" t="inlineStr">
        <is>
          <t>（未人工核对）</t>
        </is>
      </c>
      <c r="R7" s="23" t="inlineStr">
        <is>
          <t>独立检索证据；未填写人工核验栏</t>
        </is>
      </c>
    </row>
    <row r="8" ht="38" customHeight="1">
      <c r="A8" s="17" t="n">
        <v>7</v>
      </c>
      <c r="B8" s="18" t="inlineStr">
        <is>
          <t>Malik 2018</t>
        </is>
      </c>
      <c r="C8" s="18" t="inlineStr">
        <is>
          <t>10.1016/j.apcata.2018.04.036</t>
        </is>
      </c>
      <c r="D8" s="18" t="inlineStr">
        <is>
          <t>5PC</t>
        </is>
      </c>
      <c r="E8" s="18" t="inlineStr">
        <is>
          <t>CH4 selectivity</t>
        </is>
      </c>
      <c r="F8" s="18" t="inlineStr">
        <is>
          <t>2.3</t>
        </is>
      </c>
      <c r="G8" s="18" t="inlineStr">
        <is>
          <t>%</t>
        </is>
      </c>
      <c r="H8" s="18" t="inlineStr">
        <is>
          <t>Table 6</t>
        </is>
      </c>
      <c r="I8" s="19" t="inlineStr">
        <is>
          <t>D｜待原文或SI</t>
        </is>
      </c>
      <c r="J8" s="20" t="inlineStr">
        <is>
          <t>未取得可独立核对的原始行</t>
        </is>
      </c>
      <c r="K8" s="20" t="inlineStr">
        <is>
          <t>需打开对应 PDF/SI Table/Fig 并按催化剂+实验条件逐行确认</t>
        </is>
      </c>
      <c r="L8" s="17" t="inlineStr">
        <is>
          <t>https://doi.org/10.1016/j.apcata.2018.04.036</t>
        </is>
      </c>
      <c r="M8" s="20" t="inlineStr">
        <is>
          <t>当前不能判 correct/rounding/wrong；不能用原抽取文本为自身背书</t>
        </is>
      </c>
      <c r="N8" s="20" t="inlineStr">
        <is>
          <t>未判定</t>
        </is>
      </c>
      <c r="O8" s="20" t="inlineStr">
        <is>
          <t>=</t>
        </is>
      </c>
      <c r="P8" s="20" t="inlineStr">
        <is>
          <t>高（需原文）</t>
        </is>
      </c>
      <c r="Q8" s="20" t="inlineStr">
        <is>
          <t>（未人工核对）</t>
        </is>
      </c>
      <c r="R8" s="20" t="inlineStr">
        <is>
          <t>独立检索证据；未填写人工核验栏</t>
        </is>
      </c>
    </row>
    <row r="9" ht="38" customHeight="1">
      <c r="A9" s="21" t="n">
        <v>8</v>
      </c>
      <c r="B9" s="22" t="inlineStr">
        <is>
          <t>Malik 2018</t>
        </is>
      </c>
      <c r="C9" s="22" t="inlineStr">
        <is>
          <t>10.1016/j.apcata.2018.04.036</t>
        </is>
      </c>
      <c r="D9" s="22" t="inlineStr">
        <is>
          <t>5PC</t>
        </is>
      </c>
      <c r="E9" s="22" t="inlineStr">
        <is>
          <t>CO2 conversion</t>
        </is>
      </c>
      <c r="F9" s="22" t="inlineStr">
        <is>
          <t>1.7</t>
        </is>
      </c>
      <c r="G9" s="22" t="inlineStr">
        <is>
          <t>%</t>
        </is>
      </c>
      <c r="H9" s="22" t="inlineStr">
        <is>
          <t>Table 6</t>
        </is>
      </c>
      <c r="I9" s="19" t="inlineStr">
        <is>
          <t>D｜待原文或SI</t>
        </is>
      </c>
      <c r="J9" s="23" t="inlineStr">
        <is>
          <t>未取得可独立核对的原始行</t>
        </is>
      </c>
      <c r="K9" s="23" t="inlineStr">
        <is>
          <t>需打开对应 PDF/SI Table/Fig 并按催化剂+实验条件逐行确认</t>
        </is>
      </c>
      <c r="L9" s="21" t="inlineStr">
        <is>
          <t>https://doi.org/10.1016/j.apcata.2018.04.036</t>
        </is>
      </c>
      <c r="M9" s="23" t="inlineStr">
        <is>
          <t>当前不能判 correct/rounding/wrong；不能用原抽取文本为自身背书</t>
        </is>
      </c>
      <c r="N9" s="23" t="inlineStr">
        <is>
          <t>未判定</t>
        </is>
      </c>
      <c r="O9" s="23" t="inlineStr">
        <is>
          <t>=</t>
        </is>
      </c>
      <c r="P9" s="23" t="inlineStr">
        <is>
          <t>高（需原文）</t>
        </is>
      </c>
      <c r="Q9" s="23" t="inlineStr">
        <is>
          <t>（未人工核对）</t>
        </is>
      </c>
      <c r="R9" s="23" t="inlineStr">
        <is>
          <t>独立检索证据；未填写人工核验栏</t>
        </is>
      </c>
    </row>
    <row r="10" ht="38" customHeight="1">
      <c r="A10" s="17" t="n">
        <v>9</v>
      </c>
      <c r="B10" s="18" t="inlineStr">
        <is>
          <t>Malik 2018</t>
        </is>
      </c>
      <c r="C10" s="18" t="inlineStr">
        <is>
          <t>10.1016/j.apcata.2018.04.036</t>
        </is>
      </c>
      <c r="D10" s="18" t="inlineStr">
        <is>
          <t>5P5ZC</t>
        </is>
      </c>
      <c r="E10" s="18" t="inlineStr">
        <is>
          <t>H2/CO2</t>
        </is>
      </c>
      <c r="F10" s="18" t="inlineStr">
        <is>
          <t>3</t>
        </is>
      </c>
      <c r="G10" s="18" t="inlineStr">
        <is>
          <t>mol/mol</t>
        </is>
      </c>
      <c r="H10" s="18" t="inlineStr">
        <is>
          <t>Table 6</t>
        </is>
      </c>
      <c r="I10" s="19" t="inlineStr">
        <is>
          <t>D｜待原文或SI</t>
        </is>
      </c>
      <c r="J10" s="20" t="inlineStr">
        <is>
          <t>未取得可独立核对的原始行</t>
        </is>
      </c>
      <c r="K10" s="20" t="inlineStr">
        <is>
          <t>需打开对应 PDF/SI Table/Fig 并按催化剂+实验条件逐行确认</t>
        </is>
      </c>
      <c r="L10" s="17" t="inlineStr">
        <is>
          <t>https://doi.org/10.1016/j.apcata.2018.04.036</t>
        </is>
      </c>
      <c r="M10" s="20" t="inlineStr">
        <is>
          <t>当前不能判 correct/rounding/wrong；不能用原抽取文本为自身背书</t>
        </is>
      </c>
      <c r="N10" s="20" t="inlineStr">
        <is>
          <t>未判定</t>
        </is>
      </c>
      <c r="O10" s="20" t="inlineStr">
        <is>
          <t>（工况字段无）</t>
        </is>
      </c>
      <c r="P10" s="20" t="inlineStr">
        <is>
          <t>中（需原文）</t>
        </is>
      </c>
      <c r="Q10" s="20" t="inlineStr">
        <is>
          <t>（未人工核对）</t>
        </is>
      </c>
      <c r="R10" s="20" t="inlineStr">
        <is>
          <t>独立检索证据；未填写人工核验栏</t>
        </is>
      </c>
    </row>
    <row r="11" ht="38" customHeight="1">
      <c r="A11" s="21" t="n">
        <v>10</v>
      </c>
      <c r="B11" s="22" t="inlineStr">
        <is>
          <t>Malik 2018</t>
        </is>
      </c>
      <c r="C11" s="22" t="inlineStr">
        <is>
          <t>10.1016/j.apcata.2018.04.036</t>
        </is>
      </c>
      <c r="D11" s="22" t="inlineStr">
        <is>
          <t>0.5Ca5P5ZC</t>
        </is>
      </c>
      <c r="E11" s="22" t="inlineStr">
        <is>
          <t>CO selectivity</t>
        </is>
      </c>
      <c r="F11" s="22" t="inlineStr">
        <is>
          <t>0</t>
        </is>
      </c>
      <c r="G11" s="22" t="inlineStr">
        <is>
          <t>%</t>
        </is>
      </c>
      <c r="H11" s="22" t="inlineStr">
        <is>
          <t>Table 6</t>
        </is>
      </c>
      <c r="I11" s="19" t="inlineStr">
        <is>
          <t>D｜待原文或SI</t>
        </is>
      </c>
      <c r="J11" s="23" t="inlineStr">
        <is>
          <t>未取得可独立核对的原始行</t>
        </is>
      </c>
      <c r="K11" s="23" t="inlineStr">
        <is>
          <t>需打开对应 PDF/SI Table/Fig 并按催化剂+实验条件逐行确认</t>
        </is>
      </c>
      <c r="L11" s="21" t="inlineStr">
        <is>
          <t>https://doi.org/10.1016/j.apcata.2018.04.036</t>
        </is>
      </c>
      <c r="M11" s="23" t="inlineStr">
        <is>
          <t>当前不能判 correct/rounding/wrong；不能用原抽取文本为自身背书</t>
        </is>
      </c>
      <c r="N11" s="23" t="inlineStr">
        <is>
          <t>未判定</t>
        </is>
      </c>
      <c r="O11" s="23" t="inlineStr">
        <is>
          <t>=</t>
        </is>
      </c>
      <c r="P11" s="23" t="inlineStr">
        <is>
          <t>高（需原文）</t>
        </is>
      </c>
      <c r="Q11" s="23" t="inlineStr">
        <is>
          <t>（未人工核对）</t>
        </is>
      </c>
      <c r="R11" s="23" t="inlineStr">
        <is>
          <t>独立检索证据；未填写人工核验栏</t>
        </is>
      </c>
    </row>
    <row r="12" ht="38" customHeight="1">
      <c r="A12" s="17" t="n">
        <v>11</v>
      </c>
      <c r="B12" s="18" t="inlineStr">
        <is>
          <t>Meng 2021</t>
        </is>
      </c>
      <c r="C12" s="18" t="inlineStr">
        <is>
          <t>10.1126/sciadv.abi6012</t>
        </is>
      </c>
      <c r="D12" s="18" t="inlineStr">
        <is>
          <t>a-ZrO2</t>
        </is>
      </c>
      <c r="E12" s="18" t="inlineStr">
        <is>
          <t>CO selectivity</t>
        </is>
      </c>
      <c r="F12" s="18" t="inlineStr">
        <is>
          <t>26.8</t>
        </is>
      </c>
      <c r="G12" s="18" t="inlineStr">
        <is>
          <t>%</t>
        </is>
      </c>
      <c r="H12" s="18" t="inlineStr">
        <is>
          <t>SI Table S2</t>
        </is>
      </c>
      <c r="I12" s="19" t="inlineStr">
        <is>
          <t>D｜待原文或SI</t>
        </is>
      </c>
      <c r="J12" s="20" t="inlineStr">
        <is>
          <t>未取得可独立核对的原始行</t>
        </is>
      </c>
      <c r="K12" s="20" t="inlineStr">
        <is>
          <t>需打开对应 PDF/SI Table/Fig 并按催化剂+实验条件逐行确认</t>
        </is>
      </c>
      <c r="L12" s="17" t="inlineStr">
        <is>
          <t>https://pmc.ncbi.nlm.nih.gov/articles/PMC8336954/</t>
        </is>
      </c>
      <c r="M12" s="20" t="inlineStr">
        <is>
          <t>当前不能判 correct/rounding/wrong；不能用原抽取文本为自身背书</t>
        </is>
      </c>
      <c r="N12" s="20" t="inlineStr">
        <is>
          <t>未判定</t>
        </is>
      </c>
      <c r="O12" s="20" t="inlineStr">
        <is>
          <t>=</t>
        </is>
      </c>
      <c r="P12" s="20" t="inlineStr">
        <is>
          <t>高（需原文）</t>
        </is>
      </c>
      <c r="Q12" s="20" t="inlineStr">
        <is>
          <t>（未人工核对）</t>
        </is>
      </c>
      <c r="R12" s="20" t="inlineStr">
        <is>
          <t>独立检索证据；未填写人工核验栏</t>
        </is>
      </c>
    </row>
    <row r="13" ht="38" customHeight="1">
      <c r="A13" s="21" t="n">
        <v>12</v>
      </c>
      <c r="B13" s="22" t="inlineStr">
        <is>
          <t>Meng 2021</t>
        </is>
      </c>
      <c r="C13" s="22" t="inlineStr">
        <is>
          <t>10.1126/sciadv.abi6012</t>
        </is>
      </c>
      <c r="D13" s="22" t="inlineStr">
        <is>
          <t>InNi3C0.5/t-ZrO2</t>
        </is>
      </c>
      <c r="E13" s="22" t="inlineStr">
        <is>
          <t>STY (printed)</t>
        </is>
      </c>
      <c r="F13" s="22" t="inlineStr">
        <is>
          <t>0.3 gMeOH gcat−1 hour−1</t>
        </is>
      </c>
      <c r="G13" s="22" t="inlineStr">
        <is>
          <t>as printed</t>
        </is>
      </c>
      <c r="H13" s="22" t="inlineStr">
        <is>
          <t>Fig. 2B and Results text</t>
        </is>
      </c>
      <c r="I13" s="24" t="inlineStr">
        <is>
          <t>A｜逐项可核</t>
        </is>
      </c>
      <c r="J13" s="23" t="inlineStr">
        <is>
          <t>0.30 gMeOH gcat⁻¹ h⁻¹ (24000 mL gcat⁻¹ h⁻¹)</t>
        </is>
      </c>
      <c r="K13" s="23" t="inlineStr">
        <is>
          <t>Meng 2021, Fig. 2B and associated main text</t>
        </is>
      </c>
      <c r="L13" s="21" t="inlineStr">
        <is>
          <t>https://pmc.ncbi.nlm.nih.gov/articles/PMC8336954/</t>
        </is>
      </c>
      <c r="M13" s="23" t="inlineStr">
        <is>
          <t>核实图文报告的代表性速率；仍建议确认所选载体和流量对应关系</t>
        </is>
      </c>
      <c r="N13" s="23" t="inlineStr">
        <is>
          <t>Y-经原文核对数值（含注明的单位换算）</t>
        </is>
      </c>
      <c r="O13" s="23" t="inlineStr">
        <is>
          <t>=</t>
        </is>
      </c>
      <c r="P13" s="23" t="inlineStr">
        <is>
          <t>低（人工复签）</t>
        </is>
      </c>
      <c r="Q13" s="23" t="inlineStr">
        <is>
          <t>（未人工核对）</t>
        </is>
      </c>
      <c r="R13" s="23" t="inlineStr">
        <is>
          <t>独立检索证据；未填写人工核验栏</t>
        </is>
      </c>
    </row>
    <row r="14" ht="38" customHeight="1">
      <c r="A14" s="17" t="n">
        <v>13</v>
      </c>
      <c r="B14" s="18" t="inlineStr">
        <is>
          <t>Meng 2021</t>
        </is>
      </c>
      <c r="C14" s="18" t="inlineStr">
        <is>
          <t>10.1126/sciadv.abi6012</t>
        </is>
      </c>
      <c r="D14" s="18" t="inlineStr">
        <is>
          <t>SiO2</t>
        </is>
      </c>
      <c r="E14" s="18" t="inlineStr">
        <is>
          <t>H2/CO2</t>
        </is>
      </c>
      <c r="F14" s="18" t="inlineStr">
        <is>
          <t>3</t>
        </is>
      </c>
      <c r="G14" s="18" t="inlineStr">
        <is>
          <t>mol/mol</t>
        </is>
      </c>
      <c r="H14" s="18" t="inlineStr">
        <is>
          <t>SI Table S2</t>
        </is>
      </c>
      <c r="I14" s="25" t="inlineStr">
        <is>
          <t>B｜背景工况佐证</t>
        </is>
      </c>
      <c r="J14" s="20" t="inlineStr">
        <is>
          <t>H₂/CO₂ feed ratio 3:1</t>
        </is>
      </c>
      <c r="K14" s="20" t="inlineStr">
        <is>
          <t>Meng 2021, main text reaction conditions / Fig. 2</t>
        </is>
      </c>
      <c r="L14" s="17" t="inlineStr">
        <is>
          <t>https://pmc.ncbi.nlm.nih.gov/articles/PMC8336954/</t>
        </is>
      </c>
      <c r="M14" s="20" t="inlineStr">
        <is>
          <t>该比值可在文献条件中核到；指定SiO₂及m-ZrO₂行在SI Table S2仍需逐行确认</t>
        </is>
      </c>
      <c r="N14" s="20" t="inlineStr">
        <is>
          <t>条件有佐证，指定行需复核</t>
        </is>
      </c>
      <c r="O14" s="20" t="inlineStr">
        <is>
          <t>（工况字段无）</t>
        </is>
      </c>
      <c r="P14" s="20" t="inlineStr">
        <is>
          <t>中（补SI或核图）</t>
        </is>
      </c>
      <c r="Q14" s="20" t="inlineStr">
        <is>
          <t>（未人工核对）</t>
        </is>
      </c>
      <c r="R14" s="20" t="inlineStr">
        <is>
          <t>独立检索证据；未填写人工核验栏</t>
        </is>
      </c>
    </row>
    <row r="15" ht="38" customHeight="1">
      <c r="A15" s="21" t="n">
        <v>14</v>
      </c>
      <c r="B15" s="22" t="inlineStr">
        <is>
          <t>Meng 2021</t>
        </is>
      </c>
      <c r="C15" s="22" t="inlineStr">
        <is>
          <t>10.1126/sciadv.abi6012</t>
        </is>
      </c>
      <c r="D15" s="22" t="inlineStr">
        <is>
          <t>InNi3C0.5/ZnO</t>
        </is>
      </c>
      <c r="E15" s="22" t="inlineStr">
        <is>
          <t>CO2 conversion</t>
        </is>
      </c>
      <c r="F15" s="22" t="inlineStr">
        <is>
          <t>7.8</t>
        </is>
      </c>
      <c r="G15" s="22" t="inlineStr">
        <is>
          <t>%</t>
        </is>
      </c>
      <c r="H15" s="22" t="inlineStr">
        <is>
          <t>SI Table S2</t>
        </is>
      </c>
      <c r="I15" s="19" t="inlineStr">
        <is>
          <t>D｜待原文或SI</t>
        </is>
      </c>
      <c r="J15" s="23" t="inlineStr">
        <is>
          <t>未取得可独立核对的原始行</t>
        </is>
      </c>
      <c r="K15" s="23" t="inlineStr">
        <is>
          <t>需打开对应 PDF/SI Table/Fig 并按催化剂+实验条件逐行确认</t>
        </is>
      </c>
      <c r="L15" s="21" t="inlineStr">
        <is>
          <t>https://pmc.ncbi.nlm.nih.gov/articles/PMC8336954/</t>
        </is>
      </c>
      <c r="M15" s="23" t="inlineStr">
        <is>
          <t>当前不能判 correct/rounding/wrong；不能用原抽取文本为自身背书</t>
        </is>
      </c>
      <c r="N15" s="23" t="inlineStr">
        <is>
          <t>未判定</t>
        </is>
      </c>
      <c r="O15" s="23" t="inlineStr">
        <is>
          <t>=</t>
        </is>
      </c>
      <c r="P15" s="23" t="inlineStr">
        <is>
          <t>高（需原文）</t>
        </is>
      </c>
      <c r="Q15" s="23" t="inlineStr">
        <is>
          <t>（未人工核对）</t>
        </is>
      </c>
      <c r="R15" s="23" t="inlineStr">
        <is>
          <t>独立检索证据；未填写人工核验栏</t>
        </is>
      </c>
    </row>
    <row r="16" ht="38" customHeight="1">
      <c r="A16" s="17" t="n">
        <v>15</v>
      </c>
      <c r="B16" s="18" t="inlineStr">
        <is>
          <t>Meng 2021</t>
        </is>
      </c>
      <c r="C16" s="18" t="inlineStr">
        <is>
          <t>10.1126/sciadv.abi6012</t>
        </is>
      </c>
      <c r="D16" s="18" t="inlineStr">
        <is>
          <t>InNi3C0.5/TiO2</t>
        </is>
      </c>
      <c r="E16" s="18" t="inlineStr">
        <is>
          <t>CH3OH selectivity</t>
        </is>
      </c>
      <c r="F16" s="18" t="inlineStr">
        <is>
          <t>66.3</t>
        </is>
      </c>
      <c r="G16" s="18" t="inlineStr">
        <is>
          <t>%</t>
        </is>
      </c>
      <c r="H16" s="18" t="inlineStr">
        <is>
          <t>SI Table S2</t>
        </is>
      </c>
      <c r="I16" s="19" t="inlineStr">
        <is>
          <t>D｜待原文或SI</t>
        </is>
      </c>
      <c r="J16" s="20" t="inlineStr">
        <is>
          <t>未取得可独立核对的原始行</t>
        </is>
      </c>
      <c r="K16" s="20" t="inlineStr">
        <is>
          <t>需打开对应 PDF/SI Table/Fig 并按催化剂+实验条件逐行确认</t>
        </is>
      </c>
      <c r="L16" s="17" t="inlineStr">
        <is>
          <t>https://pmc.ncbi.nlm.nih.gov/articles/PMC8336954/</t>
        </is>
      </c>
      <c r="M16" s="20" t="inlineStr">
        <is>
          <t>当前不能判 correct/rounding/wrong；不能用原抽取文本为自身背书</t>
        </is>
      </c>
      <c r="N16" s="20" t="inlineStr">
        <is>
          <t>未判定</t>
        </is>
      </c>
      <c r="O16" s="20" t="inlineStr">
        <is>
          <t>=</t>
        </is>
      </c>
      <c r="P16" s="20" t="inlineStr">
        <is>
          <t>高（需原文）</t>
        </is>
      </c>
      <c r="Q16" s="20" t="inlineStr">
        <is>
          <t>（未人工核对）</t>
        </is>
      </c>
      <c r="R16" s="20" t="inlineStr">
        <is>
          <t>独立检索证据；未填写人工核验栏</t>
        </is>
      </c>
    </row>
    <row r="17" ht="38" customHeight="1">
      <c r="A17" s="21" t="n">
        <v>16</v>
      </c>
      <c r="B17" s="22" t="inlineStr">
        <is>
          <t>Meng 2021</t>
        </is>
      </c>
      <c r="C17" s="22" t="inlineStr">
        <is>
          <t>10.1126/sciadv.abi6012</t>
        </is>
      </c>
      <c r="D17" s="22" t="inlineStr">
        <is>
          <t>m-ZrO2</t>
        </is>
      </c>
      <c r="E17" s="22" t="inlineStr">
        <is>
          <t>space velocity</t>
        </is>
      </c>
      <c r="F17" s="22" t="inlineStr">
        <is>
          <t>12000 mL gcat−1 h−1</t>
        </is>
      </c>
      <c r="G17" s="22" t="inlineStr">
        <is>
          <t>as printed</t>
        </is>
      </c>
      <c r="H17" s="22" t="inlineStr">
        <is>
          <t>SI Table S2</t>
        </is>
      </c>
      <c r="I17" s="25" t="inlineStr">
        <is>
          <t>B｜背景工况佐证</t>
        </is>
      </c>
      <c r="J17" s="23" t="inlineStr">
        <is>
          <t>12000 mL gcat⁻¹ h⁻¹</t>
        </is>
      </c>
      <c r="K17" s="23" t="inlineStr">
        <is>
          <t>Meng 2021, main-text catalyst benchmarking conditions</t>
        </is>
      </c>
      <c r="L17" s="21" t="inlineStr">
        <is>
          <t>https://pmc.ncbi.nlm.nih.gov/articles/PMC8336954/</t>
        </is>
      </c>
      <c r="M17" s="23" t="inlineStr">
        <is>
          <t>通用工况可佐证，m-ZrO₂的 SI S2 记录级映射仍待核对</t>
        </is>
      </c>
      <c r="N17" s="23" t="inlineStr">
        <is>
          <t>条件有佐证，指定行需复核</t>
        </is>
      </c>
      <c r="O17" s="23" t="inlineStr">
        <is>
          <t>（工况字段无）</t>
        </is>
      </c>
      <c r="P17" s="23" t="inlineStr">
        <is>
          <t>中（补SI或核图）</t>
        </is>
      </c>
      <c r="Q17" s="23" t="inlineStr">
        <is>
          <t>（未人工核对）</t>
        </is>
      </c>
      <c r="R17" s="23" t="inlineStr">
        <is>
          <t>独立检索证据；未填写人工核验栏</t>
        </is>
      </c>
    </row>
    <row r="18" ht="38" customHeight="1">
      <c r="A18" s="17" t="n">
        <v>17</v>
      </c>
      <c r="B18" s="18" t="inlineStr">
        <is>
          <t>Meng 2021</t>
        </is>
      </c>
      <c r="C18" s="18" t="inlineStr">
        <is>
          <t>10.1126/sciadv.abi6012</t>
        </is>
      </c>
      <c r="D18" s="18" t="inlineStr">
        <is>
          <t>InNi3C0.5/a-ZrO2</t>
        </is>
      </c>
      <c r="E18" s="18" t="inlineStr">
        <is>
          <t>CH4 selectivity</t>
        </is>
      </c>
      <c r="F18" s="18" t="inlineStr">
        <is>
          <t>0.4</t>
        </is>
      </c>
      <c r="G18" s="18" t="inlineStr">
        <is>
          <t>%</t>
        </is>
      </c>
      <c r="H18" s="18" t="inlineStr">
        <is>
          <t>Fig. 2A</t>
        </is>
      </c>
      <c r="I18" s="19" t="inlineStr">
        <is>
          <t>D｜待原文或SI</t>
        </is>
      </c>
      <c r="J18" s="20" t="inlineStr">
        <is>
          <t>未取得可独立核对的原始行</t>
        </is>
      </c>
      <c r="K18" s="20" t="inlineStr">
        <is>
          <t>需打开对应 PDF/SI Table/Fig 并按催化剂+实验条件逐行确认</t>
        </is>
      </c>
      <c r="L18" s="17" t="inlineStr">
        <is>
          <t>https://pmc.ncbi.nlm.nih.gov/articles/PMC8336954/</t>
        </is>
      </c>
      <c r="M18" s="20" t="inlineStr">
        <is>
          <t>当前不能判 correct/rounding/wrong；不能用原抽取文本为自身背书</t>
        </is>
      </c>
      <c r="N18" s="20" t="inlineStr">
        <is>
          <t>未判定</t>
        </is>
      </c>
      <c r="O18" s="20" t="inlineStr">
        <is>
          <t>=</t>
        </is>
      </c>
      <c r="P18" s="20" t="inlineStr">
        <is>
          <t>高（需原文）</t>
        </is>
      </c>
      <c r="Q18" s="20" t="inlineStr">
        <is>
          <t>（未人工核对）</t>
        </is>
      </c>
      <c r="R18" s="20" t="inlineStr">
        <is>
          <t>独立检索证据；未填写人工核验栏</t>
        </is>
      </c>
    </row>
    <row r="19" ht="38" customHeight="1">
      <c r="A19" s="21" t="n">
        <v>18</v>
      </c>
      <c r="B19" s="22" t="inlineStr">
        <is>
          <t>Meng 2021</t>
        </is>
      </c>
      <c r="C19" s="22" t="inlineStr">
        <is>
          <t>10.1126/sciadv.abi6012</t>
        </is>
      </c>
      <c r="D19" s="22" t="inlineStr">
        <is>
          <t>InNi3C0.5/m-ZrO2</t>
        </is>
      </c>
      <c r="E19" s="22" t="inlineStr">
        <is>
          <t>H2/CO2</t>
        </is>
      </c>
      <c r="F19" s="22" t="inlineStr">
        <is>
          <t>3</t>
        </is>
      </c>
      <c r="G19" s="22" t="inlineStr">
        <is>
          <t>mol/mol</t>
        </is>
      </c>
      <c r="H19" s="22" t="inlineStr">
        <is>
          <t>Fig. 2A and Results text</t>
        </is>
      </c>
      <c r="I19" s="25" t="inlineStr">
        <is>
          <t>B｜背景工况佐证</t>
        </is>
      </c>
      <c r="J19" s="23" t="inlineStr">
        <is>
          <t>H₂/CO₂ feed ratio 3:1</t>
        </is>
      </c>
      <c r="K19" s="23" t="inlineStr">
        <is>
          <t>Meng 2021, main text reaction conditions / Fig. 2</t>
        </is>
      </c>
      <c r="L19" s="21" t="inlineStr">
        <is>
          <t>https://pmc.ncbi.nlm.nih.gov/articles/PMC8336954/</t>
        </is>
      </c>
      <c r="M19" s="23" t="inlineStr">
        <is>
          <t>该比值可在文献条件中核到；指定SiO₂及m-ZrO₂行在SI Table S2仍需逐行确认</t>
        </is>
      </c>
      <c r="N19" s="23" t="inlineStr">
        <is>
          <t>条件有佐证，指定行需复核</t>
        </is>
      </c>
      <c r="O19" s="23" t="inlineStr">
        <is>
          <t>（工况字段无）</t>
        </is>
      </c>
      <c r="P19" s="23" t="inlineStr">
        <is>
          <t>中（补SI或核图）</t>
        </is>
      </c>
      <c r="Q19" s="23" t="inlineStr">
        <is>
          <t>（未人工核对）</t>
        </is>
      </c>
      <c r="R19" s="23" t="inlineStr">
        <is>
          <t>独立检索证据；未填写人工核验栏</t>
        </is>
      </c>
    </row>
    <row r="20" ht="38" customHeight="1">
      <c r="A20" s="17" t="n">
        <v>19</v>
      </c>
      <c r="B20" s="18" t="inlineStr">
        <is>
          <t>Meng 2021</t>
        </is>
      </c>
      <c r="C20" s="18" t="inlineStr">
        <is>
          <t>10.1126/sciadv.abi6012</t>
        </is>
      </c>
      <c r="D20" s="18" t="inlineStr">
        <is>
          <t>m-ZrO2</t>
        </is>
      </c>
      <c r="E20" s="18" t="inlineStr">
        <is>
          <t>temperature</t>
        </is>
      </c>
      <c r="F20" s="18" t="inlineStr">
        <is>
          <t>300</t>
        </is>
      </c>
      <c r="G20" s="18" t="inlineStr">
        <is>
          <t>°C (from K)</t>
        </is>
      </c>
      <c r="H20" s="18" t="inlineStr">
        <is>
          <t>SI Table S2</t>
        </is>
      </c>
      <c r="I20" s="25" t="inlineStr">
        <is>
          <t>B｜背景工况佐证</t>
        </is>
      </c>
      <c r="J20" s="20" t="inlineStr">
        <is>
          <t>300 °C</t>
        </is>
      </c>
      <c r="K20" s="20" t="inlineStr">
        <is>
          <t>Meng 2021, main text reaction conditions / SI Table S2 locator</t>
        </is>
      </c>
      <c r="L20" s="17" t="inlineStr">
        <is>
          <t>https://pmc.ncbi.nlm.nih.gov/articles/PMC8336954/</t>
        </is>
      </c>
      <c r="M20" s="20" t="inlineStr">
        <is>
          <t>数值在基准条件中出现；未独立核到 SI Table S2 的 m-ZrO₂ 行</t>
        </is>
      </c>
      <c r="N20" s="20" t="inlineStr">
        <is>
          <t>条件有佐证，指定行需复核</t>
        </is>
      </c>
      <c r="O20" s="20" t="inlineStr">
        <is>
          <t>（工况字段无）</t>
        </is>
      </c>
      <c r="P20" s="20" t="inlineStr">
        <is>
          <t>中（补SI或核图）</t>
        </is>
      </c>
      <c r="Q20" s="20" t="inlineStr">
        <is>
          <t>（未人工核对）</t>
        </is>
      </c>
      <c r="R20" s="20" t="inlineStr">
        <is>
          <t>独立检索证据；未填写人工核验栏</t>
        </is>
      </c>
    </row>
    <row r="21" ht="38" customHeight="1">
      <c r="A21" s="21" t="n">
        <v>20</v>
      </c>
      <c r="B21" s="22" t="inlineStr">
        <is>
          <t>Meng 2021</t>
        </is>
      </c>
      <c r="C21" s="22" t="inlineStr">
        <is>
          <t>10.1126/sciadv.abi6012</t>
        </is>
      </c>
      <c r="D21" s="22" t="inlineStr">
        <is>
          <t>InNi3C0.5/Fe3O4</t>
        </is>
      </c>
      <c r="E21" s="22" t="inlineStr">
        <is>
          <t>pressure</t>
        </is>
      </c>
      <c r="F21" s="22" t="inlineStr">
        <is>
          <t>40</t>
        </is>
      </c>
      <c r="G21" s="22" t="inlineStr">
        <is>
          <t>bar</t>
        </is>
      </c>
      <c r="H21" s="22" t="inlineStr">
        <is>
          <t>Results text, Tailoring more advanced InNi3C0.5 catalyst</t>
        </is>
      </c>
      <c r="I21" s="25" t="inlineStr">
        <is>
          <t>B｜背景工况佐证</t>
        </is>
      </c>
      <c r="J21" s="23" t="inlineStr">
        <is>
          <t>4.0 MPa = 40 bar</t>
        </is>
      </c>
      <c r="K21" s="23" t="inlineStr">
        <is>
          <t>Meng 2021, article text / reported comparison, cited Table S7</t>
        </is>
      </c>
      <c r="L21" s="21" t="inlineStr">
        <is>
          <t>https://pmc.ncbi.nlm.nih.gov/articles/PMC8336954/</t>
        </is>
      </c>
      <c r="M21" s="23" t="inlineStr">
        <is>
          <t>原文部分工况有多个压力；需以 SI Table S7 InNi3C0.5/Fe3O4 对应行确认，不能仅凭大范围条件判准确</t>
        </is>
      </c>
      <c r="N21" s="23" t="inlineStr">
        <is>
          <t>条件有佐证，指定行需复核</t>
        </is>
      </c>
      <c r="O21" s="23" t="inlineStr">
        <is>
          <t>（工况字段无）</t>
        </is>
      </c>
      <c r="P21" s="23" t="inlineStr">
        <is>
          <t>中（补SI或核图）</t>
        </is>
      </c>
      <c r="Q21" s="23" t="inlineStr">
        <is>
          <t>（未人工核对）</t>
        </is>
      </c>
      <c r="R21" s="23" t="inlineStr">
        <is>
          <t>独立检索证据；未填写人工核验栏</t>
        </is>
      </c>
    </row>
    <row r="22" ht="38" customHeight="1">
      <c r="A22" s="17" t="n">
        <v>21</v>
      </c>
      <c r="B22" s="18" t="inlineStr">
        <is>
          <t>Bansode 2013</t>
        </is>
      </c>
      <c r="C22" s="18" t="inlineStr">
        <is>
          <t>10.1039/c2cy20604h</t>
        </is>
      </c>
      <c r="D22" s="18" t="inlineStr">
        <is>
          <t>Cu–Ba/Al2O3</t>
        </is>
      </c>
      <c r="E22" s="18" t="inlineStr">
        <is>
          <t>temperature</t>
        </is>
      </c>
      <c r="F22" s="18" t="inlineStr">
        <is>
          <t>169.85</t>
        </is>
      </c>
      <c r="G22" s="18" t="inlineStr">
        <is>
          <t>°C (from K)</t>
        </is>
      </c>
      <c r="H22" s="18" t="inlineStr">
        <is>
          <t>Text discussing methyl formate formation</t>
        </is>
      </c>
      <c r="I22" s="24" t="inlineStr">
        <is>
          <t>A｜逐项可核</t>
        </is>
      </c>
      <c r="J22" s="20" t="inlineStr">
        <is>
          <t>443 K (169.85 °C)</t>
        </is>
      </c>
      <c r="K22" s="20" t="inlineStr">
        <is>
          <t>ESI Table S3, p.4, Cu–Ba/Al₂O₃, 443 K / 36 MPa</t>
        </is>
      </c>
      <c r="L22" s="17" t="inlineStr">
        <is>
          <t>https://www.rsc.org/suppdata/cy/c2/c2cy20604h/c2cy20604h.pdf</t>
        </is>
      </c>
      <c r="M22" s="20" t="inlineStr">
        <is>
          <t>温度按 T(°C)=T(K)-273.15 换算；不属于表中按摄氏度原样印刷</t>
        </is>
      </c>
      <c r="N22" s="20" t="inlineStr">
        <is>
          <t>原文条件或等价换算</t>
        </is>
      </c>
      <c r="O22" s="20" t="inlineStr">
        <is>
          <t>（工况字段无）</t>
        </is>
      </c>
      <c r="P22" s="20" t="inlineStr">
        <is>
          <t>低（人工复签）</t>
        </is>
      </c>
      <c r="Q22" s="20" t="inlineStr">
        <is>
          <t>（未人工核对）</t>
        </is>
      </c>
      <c r="R22" s="20" t="inlineStr">
        <is>
          <t>独立检索证据；未填写人工核验栏</t>
        </is>
      </c>
    </row>
    <row r="23" ht="38" customHeight="1">
      <c r="A23" s="21" t="n">
        <v>22</v>
      </c>
      <c r="B23" s="22" t="inlineStr">
        <is>
          <t>Bansode 2013</t>
        </is>
      </c>
      <c r="C23" s="22" t="inlineStr">
        <is>
          <t>10.1039/c2cy20604h</t>
        </is>
      </c>
      <c r="D23" s="22" t="inlineStr">
        <is>
          <t>Cu–Ba/Al2O3</t>
        </is>
      </c>
      <c r="E23" s="22" t="inlineStr">
        <is>
          <t>STY (printed)</t>
        </is>
      </c>
      <c r="F23" s="22" t="inlineStr">
        <is>
          <t>56.5 mg gcat-1 h-1</t>
        </is>
      </c>
      <c r="G23" s="22" t="inlineStr">
        <is>
          <t>as printed</t>
        </is>
      </c>
      <c r="H23" s="22" t="inlineStr">
        <is>
          <t>SI Table 3</t>
        </is>
      </c>
      <c r="I23" s="24" t="inlineStr">
        <is>
          <t>A｜逐项可核</t>
        </is>
      </c>
      <c r="J23" s="23" t="inlineStr">
        <is>
          <t>56.5 mg gcat⁻¹ h⁻¹</t>
        </is>
      </c>
      <c r="K23" s="23" t="inlineStr">
        <is>
          <t>ESI Table S3, p.4, Cu–Ba/Al₂O₃, 503 K / 36 MPa, MeOH yield</t>
        </is>
      </c>
      <c r="L23" s="21" t="inlineStr">
        <is>
          <t>https://www.rsc.org/suppdata/cy/c2/c2cy20604h/c2cy20604h.pdf</t>
        </is>
      </c>
      <c r="M23" s="23" t="inlineStr">
        <is>
          <t>ESI 将第三张表印作 “Table 3”；mg/(gcat·h) 为甲醇产率，切勿与以 g 为单位的数值混淆</t>
        </is>
      </c>
      <c r="N23" s="23" t="inlineStr">
        <is>
          <t>Y-经原文核对数值（含注明的单位换算）</t>
        </is>
      </c>
      <c r="O23" s="23" t="inlineStr">
        <is>
          <t>=</t>
        </is>
      </c>
      <c r="P23" s="23" t="inlineStr">
        <is>
          <t>低（人工复签）</t>
        </is>
      </c>
      <c r="Q23" s="23" t="inlineStr">
        <is>
          <t>（未人工核对）</t>
        </is>
      </c>
      <c r="R23" s="23" t="inlineStr">
        <is>
          <t>独立检索证据；未填写人工核验栏</t>
        </is>
      </c>
    </row>
    <row r="24" ht="38" customHeight="1">
      <c r="A24" s="17" t="n">
        <v>23</v>
      </c>
      <c r="B24" s="18" t="inlineStr">
        <is>
          <t>Bansode 2013</t>
        </is>
      </c>
      <c r="C24" s="18" t="inlineStr">
        <is>
          <t>10.1039/c2cy20604h</t>
        </is>
      </c>
      <c r="D24" s="18" t="inlineStr">
        <is>
          <t>Cu–Ba/Al2O3</t>
        </is>
      </c>
      <c r="E24" s="18" t="inlineStr">
        <is>
          <t>CH3OH selectivity</t>
        </is>
      </c>
      <c r="F24" s="18" t="inlineStr">
        <is>
          <t>4.4</t>
        </is>
      </c>
      <c r="G24" s="18" t="inlineStr">
        <is>
          <t>%</t>
        </is>
      </c>
      <c r="H24" s="18" t="inlineStr">
        <is>
          <t>SI Table 3</t>
        </is>
      </c>
      <c r="I24" s="24" t="inlineStr">
        <is>
          <t>A｜逐项可核</t>
        </is>
      </c>
      <c r="J24" s="20" t="inlineStr">
        <is>
          <t>4.4%</t>
        </is>
      </c>
      <c r="K24" s="20" t="inlineStr">
        <is>
          <t>ESI Table S3, p.4, Cu–Ba/Al₂O₃, 533 K / 0.4 MPa</t>
        </is>
      </c>
      <c r="L24" s="17" t="inlineStr">
        <is>
          <t>https://www.rsc.org/suppdata/cy/c2/c2cy20604h/c2cy20604h.pdf</t>
        </is>
      </c>
      <c r="M24" s="20" t="inlineStr">
        <is>
          <t>0.4 MPa=4 bar；甲醇选择性 4.4%</t>
        </is>
      </c>
      <c r="N24" s="20" t="inlineStr">
        <is>
          <t>Y-经原文核对数值（含注明的单位换算）</t>
        </is>
      </c>
      <c r="O24" s="20" t="inlineStr">
        <is>
          <t>=</t>
        </is>
      </c>
      <c r="P24" s="20" t="inlineStr">
        <is>
          <t>低（人工复签）</t>
        </is>
      </c>
      <c r="Q24" s="20" t="inlineStr">
        <is>
          <t>（未人工核对）</t>
        </is>
      </c>
      <c r="R24" s="20" t="inlineStr">
        <is>
          <t>独立检索证据；未填写人工核验栏</t>
        </is>
      </c>
    </row>
    <row r="25" ht="38" customHeight="1">
      <c r="A25" s="21" t="n">
        <v>24</v>
      </c>
      <c r="B25" s="22" t="inlineStr">
        <is>
          <t>Bansode 2013</t>
        </is>
      </c>
      <c r="C25" s="22" t="inlineStr">
        <is>
          <t>10.1039/c2cy20604h</t>
        </is>
      </c>
      <c r="D25" s="22" t="inlineStr">
        <is>
          <t>Cu/Al2O3</t>
        </is>
      </c>
      <c r="E25" s="22" t="inlineStr">
        <is>
          <t>CH3OH selectivity</t>
        </is>
      </c>
      <c r="F25" s="22" t="inlineStr">
        <is>
          <t>80</t>
        </is>
      </c>
      <c r="G25" s="22" t="inlineStr">
        <is>
          <t>%</t>
        </is>
      </c>
      <c r="H25" s="22" t="inlineStr">
        <is>
          <t>Figure 5 and text on page 7</t>
        </is>
      </c>
      <c r="I25" s="24" t="inlineStr">
        <is>
          <t>A｜逐项可核</t>
        </is>
      </c>
      <c r="J25" s="23" t="inlineStr">
        <is>
          <t>80.0%</t>
        </is>
      </c>
      <c r="K25" s="23" t="inlineStr">
        <is>
          <t>ESI Table S1, p.2, Cu/Al₂O₃, 443 K / 10 MPa</t>
        </is>
      </c>
      <c r="L25" s="21" t="inlineStr">
        <is>
          <t>https://www.rsc.org/suppdata/cy/c2/c2cy20604h/c2cy20604h.pdf</t>
        </is>
      </c>
      <c r="M25" s="23" t="inlineStr">
        <is>
          <t>原表甲醇选择性 80.0%；定位可补充 S1 而非仅凭原来的 Fig.5/6</t>
        </is>
      </c>
      <c r="N25" s="23" t="inlineStr">
        <is>
          <t>Y-经原文核对数值（含注明的单位换算）</t>
        </is>
      </c>
      <c r="O25" s="23" t="inlineStr">
        <is>
          <t>=</t>
        </is>
      </c>
      <c r="P25" s="23" t="inlineStr">
        <is>
          <t>低（人工复签）</t>
        </is>
      </c>
      <c r="Q25" s="23" t="inlineStr">
        <is>
          <t>（未人工核对）</t>
        </is>
      </c>
      <c r="R25" s="23" t="inlineStr">
        <is>
          <t>独立检索证据；未填写人工核验栏</t>
        </is>
      </c>
    </row>
    <row r="26" ht="38" customHeight="1">
      <c r="A26" s="17" t="n">
        <v>25</v>
      </c>
      <c r="B26" s="18" t="inlineStr">
        <is>
          <t>Bansode 2013</t>
        </is>
      </c>
      <c r="C26" s="18" t="inlineStr">
        <is>
          <t>10.1039/c2cy20604h</t>
        </is>
      </c>
      <c r="D26" s="18" t="inlineStr">
        <is>
          <t>Cu–K/Al2O3</t>
        </is>
      </c>
      <c r="E26" s="18" t="inlineStr">
        <is>
          <t>STY (printed)</t>
        </is>
      </c>
      <c r="F26" s="18" t="inlineStr">
        <is>
          <t>10.6 mg gcat-1 h-1</t>
        </is>
      </c>
      <c r="G26" s="18" t="inlineStr">
        <is>
          <t>as printed</t>
        </is>
      </c>
      <c r="H26" s="18" t="inlineStr">
        <is>
          <t>Figure 7</t>
        </is>
      </c>
      <c r="I26" s="24" t="inlineStr">
        <is>
          <t>A｜逐项可核</t>
        </is>
      </c>
      <c r="J26" s="20" t="inlineStr">
        <is>
          <t>10.6 mg gcat⁻¹ h⁻¹</t>
        </is>
      </c>
      <c r="K26" s="20" t="inlineStr">
        <is>
          <t>ESI Table S2, p.3, Cu–K/Al₂O₃, 533 K / 36 MPa</t>
        </is>
      </c>
      <c r="L26" s="17" t="inlineStr">
        <is>
          <t>https://www.rsc.org/suppdata/cy/c2/c2cy20604h/c2cy20604h.pdf</t>
        </is>
      </c>
      <c r="M26" s="20" t="inlineStr">
        <is>
          <t>原表甲醇产率 10.6；注意读对 CH₃OH yield 列而非 conversion</t>
        </is>
      </c>
      <c r="N26" s="20" t="inlineStr">
        <is>
          <t>Y-经原文核对数值（含注明的单位换算）</t>
        </is>
      </c>
      <c r="O26" s="20" t="inlineStr">
        <is>
          <t>=</t>
        </is>
      </c>
      <c r="P26" s="20" t="inlineStr">
        <is>
          <t>低（人工复签）</t>
        </is>
      </c>
      <c r="Q26" s="20" t="inlineStr">
        <is>
          <t>（未人工核对）</t>
        </is>
      </c>
      <c r="R26" s="20" t="inlineStr">
        <is>
          <t>独立检索证据；未填写人工核验栏</t>
        </is>
      </c>
    </row>
    <row r="27" ht="38" customHeight="1">
      <c r="A27" s="21" t="n">
        <v>26</v>
      </c>
      <c r="B27" s="22" t="inlineStr">
        <is>
          <t>Bansode 2013</t>
        </is>
      </c>
      <c r="C27" s="22" t="inlineStr">
        <is>
          <t>10.1039/c2cy20604h</t>
        </is>
      </c>
      <c r="D27" s="22" t="inlineStr">
        <is>
          <t>Cu–Ba/Al2O3</t>
        </is>
      </c>
      <c r="E27" s="22" t="inlineStr">
        <is>
          <t>CO selectivity</t>
        </is>
      </c>
      <c r="F27" s="22" t="inlineStr">
        <is>
          <t>98.1</t>
        </is>
      </c>
      <c r="G27" s="22" t="inlineStr">
        <is>
          <t>%</t>
        </is>
      </c>
      <c r="H27" s="22" t="inlineStr">
        <is>
          <t>SI Table 3</t>
        </is>
      </c>
      <c r="I27" s="24" t="inlineStr">
        <is>
          <t>A｜逐项可核</t>
        </is>
      </c>
      <c r="J27" s="23" t="inlineStr">
        <is>
          <t>98.1%</t>
        </is>
      </c>
      <c r="K27" s="23" t="inlineStr">
        <is>
          <t>ESI Table S3, p.4, Cu–Ba/Al₂O₃, 553 K / 0.4 MPa</t>
        </is>
      </c>
      <c r="L27" s="21" t="inlineStr">
        <is>
          <t>https://www.rsc.org/suppdata/cy/c2/c2cy20604h/c2cy20604h.pdf</t>
        </is>
      </c>
      <c r="M27" s="23" t="inlineStr">
        <is>
          <t>该行 CO selectivity 98.1%</t>
        </is>
      </c>
      <c r="N27" s="23" t="inlineStr">
        <is>
          <t>Y-经原文核对数值（含注明的单位换算）</t>
        </is>
      </c>
      <c r="O27" s="23" t="inlineStr">
        <is>
          <t>=</t>
        </is>
      </c>
      <c r="P27" s="23" t="inlineStr">
        <is>
          <t>低（人工复签）</t>
        </is>
      </c>
      <c r="Q27" s="23" t="inlineStr">
        <is>
          <t>（未人工核对）</t>
        </is>
      </c>
      <c r="R27" s="23" t="inlineStr">
        <is>
          <t>独立检索证据；未填写人工核验栏</t>
        </is>
      </c>
    </row>
    <row r="28" ht="38" customHeight="1">
      <c r="A28" s="17" t="n">
        <v>27</v>
      </c>
      <c r="B28" s="18" t="inlineStr">
        <is>
          <t>Bansode 2013</t>
        </is>
      </c>
      <c r="C28" s="18" t="inlineStr">
        <is>
          <t>10.1039/c2cy20604h</t>
        </is>
      </c>
      <c r="D28" s="18" t="inlineStr">
        <is>
          <t>Cu–Ba/Al2O3</t>
        </is>
      </c>
      <c r="E28" s="18" t="inlineStr">
        <is>
          <t>CO selectivity</t>
        </is>
      </c>
      <c r="F28" s="18" t="inlineStr">
        <is>
          <t>72.5</t>
        </is>
      </c>
      <c r="G28" s="18" t="inlineStr">
        <is>
          <t>%</t>
        </is>
      </c>
      <c r="H28" s="18" t="inlineStr">
        <is>
          <t>SI Table 3</t>
        </is>
      </c>
      <c r="I28" s="24" t="inlineStr">
        <is>
          <t>A｜逐项可核</t>
        </is>
      </c>
      <c r="J28" s="20" t="inlineStr">
        <is>
          <t>72.5%</t>
        </is>
      </c>
      <c r="K28" s="20" t="inlineStr">
        <is>
          <t>ESI Table S3, p.4, Cu–Ba/Al₂O₃, 443 K / 0.4 MPa</t>
        </is>
      </c>
      <c r="L28" s="17" t="inlineStr">
        <is>
          <t>https://www.rsc.org/suppdata/cy/c2/c2cy20604h/c2cy20604h.pdf</t>
        </is>
      </c>
      <c r="M28" s="20" t="inlineStr">
        <is>
          <t>该行 CO selectivity 72.5%；该行 CO₂ 转化率带检测限星号，不能混作高置信度定量</t>
        </is>
      </c>
      <c r="N28" s="20" t="inlineStr">
        <is>
          <t>Y-经原文核对数值（含注明的单位换算）</t>
        </is>
      </c>
      <c r="O28" s="20" t="inlineStr">
        <is>
          <t>=</t>
        </is>
      </c>
      <c r="P28" s="20" t="inlineStr">
        <is>
          <t>低（人工复签）</t>
        </is>
      </c>
      <c r="Q28" s="20" t="inlineStr">
        <is>
          <t>（未人工核对）</t>
        </is>
      </c>
      <c r="R28" s="20" t="inlineStr">
        <is>
          <t>独立检索证据；未填写人工核验栏</t>
        </is>
      </c>
    </row>
    <row r="29" ht="38" customHeight="1">
      <c r="A29" s="21" t="n">
        <v>28</v>
      </c>
      <c r="B29" s="22" t="inlineStr">
        <is>
          <t>Bansode 2013</t>
        </is>
      </c>
      <c r="C29" s="22" t="inlineStr">
        <is>
          <t>10.1039/c2cy20604h</t>
        </is>
      </c>
      <c r="D29" s="22" t="inlineStr">
        <is>
          <t>Cu–Ba/Al2O3</t>
        </is>
      </c>
      <c r="E29" s="22" t="inlineStr">
        <is>
          <t>temperature</t>
        </is>
      </c>
      <c r="F29" s="22" t="inlineStr">
        <is>
          <t>199.85</t>
        </is>
      </c>
      <c r="G29" s="22" t="inlineStr">
        <is>
          <t>°C (from K)</t>
        </is>
      </c>
      <c r="H29" s="22" t="inlineStr">
        <is>
          <t>Figure 8 and abstract</t>
        </is>
      </c>
      <c r="I29" s="24" t="inlineStr">
        <is>
          <t>A｜逐项可核</t>
        </is>
      </c>
      <c r="J29" s="23" t="inlineStr">
        <is>
          <t>473 K (199.85 °C)</t>
        </is>
      </c>
      <c r="K29" s="23" t="inlineStr">
        <is>
          <t>ESI Table S3, p.4, Cu–Ba/Al₂O₃, 473 K / 10 MPa</t>
        </is>
      </c>
      <c r="L29" s="21" t="inlineStr">
        <is>
          <t>https://www.rsc.org/suppdata/cy/c2/c2cy20604h/c2cy20604h.pdf</t>
        </is>
      </c>
      <c r="M29" s="23" t="inlineStr">
        <is>
          <t>原文温度为 K；转换得到 199.85 °C</t>
        </is>
      </c>
      <c r="N29" s="23" t="inlineStr">
        <is>
          <t>原文条件或等价换算</t>
        </is>
      </c>
      <c r="O29" s="23" t="inlineStr">
        <is>
          <t>（工况字段无）</t>
        </is>
      </c>
      <c r="P29" s="23" t="inlineStr">
        <is>
          <t>低（人工复签）</t>
        </is>
      </c>
      <c r="Q29" s="23" t="inlineStr">
        <is>
          <t>（未人工核对）</t>
        </is>
      </c>
      <c r="R29" s="23" t="inlineStr">
        <is>
          <t>独立检索证据；未填写人工核验栏</t>
        </is>
      </c>
    </row>
    <row r="30" ht="38" customHeight="1">
      <c r="A30" s="17" t="n">
        <v>29</v>
      </c>
      <c r="B30" s="18" t="inlineStr">
        <is>
          <t>Bansode 2013</t>
        </is>
      </c>
      <c r="C30" s="18" t="inlineStr">
        <is>
          <t>10.1039/c2cy20604h</t>
        </is>
      </c>
      <c r="D30" s="18" t="inlineStr">
        <is>
          <t>Cu–K/Al2O3</t>
        </is>
      </c>
      <c r="E30" s="18" t="inlineStr">
        <is>
          <t>CO2 conversion</t>
        </is>
      </c>
      <c r="F30" s="18" t="inlineStr">
        <is>
          <t>8.9</t>
        </is>
      </c>
      <c r="G30" s="18" t="inlineStr">
        <is>
          <t>%</t>
        </is>
      </c>
      <c r="H30" s="18" t="inlineStr">
        <is>
          <t>Figure 7 and Figure 8</t>
        </is>
      </c>
      <c r="I30" s="24" t="inlineStr">
        <is>
          <t>A｜逐项可核</t>
        </is>
      </c>
      <c r="J30" s="20" t="inlineStr">
        <is>
          <t>8.9%</t>
        </is>
      </c>
      <c r="K30" s="20" t="inlineStr">
        <is>
          <t>ESI Table S2, p.3, Cu–K/Al₂O₃, 473 K / 36 MPa</t>
        </is>
      </c>
      <c r="L30" s="17" t="inlineStr">
        <is>
          <t>https://www.rsc.org/suppdata/cy/c2/c2cy20604h/c2cy20604h.pdf</t>
        </is>
      </c>
      <c r="M30" s="20" t="inlineStr">
        <is>
          <t>该行 CO₂ conversion = 8.9%</t>
        </is>
      </c>
      <c r="N30" s="20" t="inlineStr">
        <is>
          <t>Y-经原文核对数值（含注明的单位换算）</t>
        </is>
      </c>
      <c r="O30" s="20" t="inlineStr">
        <is>
          <t>=</t>
        </is>
      </c>
      <c r="P30" s="20" t="inlineStr">
        <is>
          <t>低（人工复签）</t>
        </is>
      </c>
      <c r="Q30" s="20" t="inlineStr">
        <is>
          <t>（未人工核对）</t>
        </is>
      </c>
      <c r="R30" s="20" t="inlineStr">
        <is>
          <t>独立检索证据；未填写人工核验栏</t>
        </is>
      </c>
    </row>
    <row r="31" ht="38" customHeight="1">
      <c r="A31" s="21" t="n">
        <v>30</v>
      </c>
      <c r="B31" s="22" t="inlineStr">
        <is>
          <t>Bansode 2013</t>
        </is>
      </c>
      <c r="C31" s="22" t="inlineStr">
        <is>
          <t>10.1039/c2cy20604h</t>
        </is>
      </c>
      <c r="D31" s="22" t="inlineStr">
        <is>
          <t>Cu–K/Al2O3</t>
        </is>
      </c>
      <c r="E31" s="22" t="inlineStr">
        <is>
          <t>CO selectivity</t>
        </is>
      </c>
      <c r="F31" s="22" t="inlineStr">
        <is>
          <t>98.1</t>
        </is>
      </c>
      <c r="G31" s="22" t="inlineStr">
        <is>
          <t>%</t>
        </is>
      </c>
      <c r="H31" s="22" t="inlineStr">
        <is>
          <t>Figure 7</t>
        </is>
      </c>
      <c r="I31" s="24" t="inlineStr">
        <is>
          <t>A｜逐项可核</t>
        </is>
      </c>
      <c r="J31" s="23" t="inlineStr">
        <is>
          <t>98.1%</t>
        </is>
      </c>
      <c r="K31" s="23" t="inlineStr">
        <is>
          <t>ESI Table S2, p.3, Cu–K/Al₂O₃, 533 K / 3 MPa</t>
        </is>
      </c>
      <c r="L31" s="21" t="inlineStr">
        <is>
          <t>https://www.rsc.org/suppdata/cy/c2/c2cy20604h/c2cy20604h.pdf</t>
        </is>
      </c>
      <c r="M31" s="23" t="inlineStr">
        <is>
          <t>3 MPa=30 bar；CO selectivity 98.1%</t>
        </is>
      </c>
      <c r="N31" s="23" t="inlineStr">
        <is>
          <t>Y-经原文核对数值（含注明的单位换算）</t>
        </is>
      </c>
      <c r="O31" s="23" t="inlineStr">
        <is>
          <t>=</t>
        </is>
      </c>
      <c r="P31" s="23" t="inlineStr">
        <is>
          <t>低（人工复签）</t>
        </is>
      </c>
      <c r="Q31" s="23" t="inlineStr">
        <is>
          <t>（未人工核对）</t>
        </is>
      </c>
      <c r="R31" s="23" t="inlineStr">
        <is>
          <t>独立检索证据；未填写人工核验栏</t>
        </is>
      </c>
    </row>
    <row r="32" ht="38" customHeight="1">
      <c r="A32" s="17" t="n">
        <v>31</v>
      </c>
      <c r="B32" s="18" t="inlineStr">
        <is>
          <t>Frei 2019</t>
        </is>
      </c>
      <c r="C32" s="18" t="inlineStr">
        <is>
          <t>10.1038/s41467-019-11349-9</t>
        </is>
      </c>
      <c r="D32" s="18" t="inlineStr">
        <is>
          <t>Pd–In2O3 CP</t>
        </is>
      </c>
      <c r="E32" s="18" t="inlineStr">
        <is>
          <t>pressure</t>
        </is>
      </c>
      <c r="F32" s="18" t="inlineStr">
        <is>
          <t>50</t>
        </is>
      </c>
      <c r="G32" s="18" t="inlineStr">
        <is>
          <t>bar</t>
        </is>
      </c>
      <c r="H32" s="18" t="inlineStr">
        <is>
          <t>Table 2</t>
        </is>
      </c>
      <c r="I32" s="24" t="inlineStr">
        <is>
          <t>A｜逐项可核</t>
        </is>
      </c>
      <c r="J32" s="20" t="inlineStr">
        <is>
          <t>5 MPa = 50 bar</t>
        </is>
      </c>
      <c r="K32" s="20" t="inlineStr">
        <is>
          <t>Frei 2019, 500-h Fig.6 text / experimental conditions</t>
        </is>
      </c>
      <c r="L32" s="17" t="inlineStr">
        <is>
          <t>https://www.nature.com/articles/s41467-019-11349-9</t>
        </is>
      </c>
      <c r="M32" s="20" t="inlineStr">
        <is>
          <t>可从正文确认 5 MPa；原 Excel 将该工况挂在 Table 2，建议以 Fig.6 正文作为一手定位</t>
        </is>
      </c>
      <c r="N32" s="20" t="inlineStr">
        <is>
          <t>原文条件或等价换算</t>
        </is>
      </c>
      <c r="O32" s="20" t="inlineStr">
        <is>
          <t>（工况字段无）</t>
        </is>
      </c>
      <c r="P32" s="20" t="inlineStr">
        <is>
          <t>低（人工复签）</t>
        </is>
      </c>
      <c r="Q32" s="20" t="inlineStr">
        <is>
          <t>（未人工核对）</t>
        </is>
      </c>
      <c r="R32" s="20" t="inlineStr">
        <is>
          <t>独立检索证据；未填写人工核验栏</t>
        </is>
      </c>
    </row>
    <row r="33" ht="38" customHeight="1">
      <c r="A33" s="21" t="n">
        <v>32</v>
      </c>
      <c r="B33" s="22" t="inlineStr">
        <is>
          <t>Frei 2019</t>
        </is>
      </c>
      <c r="C33" s="22" t="inlineStr">
        <is>
          <t>10.1038/s41467-019-11349-9</t>
        </is>
      </c>
      <c r="D33" s="22" t="inlineStr">
        <is>
          <t>CP</t>
        </is>
      </c>
      <c r="E33" s="22" t="inlineStr">
        <is>
          <t>CH3OH selectivity</t>
        </is>
      </c>
      <c r="F33" s="22" t="inlineStr">
        <is>
          <t>75</t>
        </is>
      </c>
      <c r="G33" s="22" t="inlineStr">
        <is>
          <t>%</t>
        </is>
      </c>
      <c r="H33" s="22" t="inlineStr">
        <is>
          <t>Fig. 6 and Results text</t>
        </is>
      </c>
      <c r="I33" s="24" t="inlineStr">
        <is>
          <t>A｜逐项可核</t>
        </is>
      </c>
      <c r="J33" s="23" t="inlineStr">
        <is>
          <t>75% methanol selectivity at start</t>
        </is>
      </c>
      <c r="K33" s="23" t="inlineStr">
        <is>
          <t>Frei 2019, Fig.6 accompanying main-text paragraph</t>
        </is>
      </c>
      <c r="L33" s="21" t="inlineStr">
        <is>
          <t>https://www.nature.com/articles/s41467-019-11349-9</t>
        </is>
      </c>
      <c r="M33" s="23" t="inlineStr">
        <is>
          <t>初始选择性75%，随后升至78%；别误用500 h 的后期值</t>
        </is>
      </c>
      <c r="N33" s="23" t="inlineStr">
        <is>
          <t>Y-经原文核对数值（含注明的单位换算）</t>
        </is>
      </c>
      <c r="O33" s="23" t="inlineStr">
        <is>
          <t>=</t>
        </is>
      </c>
      <c r="P33" s="23" t="inlineStr">
        <is>
          <t>低（人工复签）</t>
        </is>
      </c>
      <c r="Q33" s="23" t="inlineStr">
        <is>
          <t>（未人工核对）</t>
        </is>
      </c>
      <c r="R33" s="23" t="inlineStr">
        <is>
          <t>独立检索证据；未填写人工核验栏</t>
        </is>
      </c>
    </row>
    <row r="34" ht="38" customHeight="1">
      <c r="A34" s="17" t="n">
        <v>33</v>
      </c>
      <c r="B34" s="18" t="inlineStr">
        <is>
          <t>Frei 2019</t>
        </is>
      </c>
      <c r="C34" s="18" t="inlineStr">
        <is>
          <t>10.1038/s41467-019-11349-9</t>
        </is>
      </c>
      <c r="D34" s="18" t="inlineStr">
        <is>
          <t>Pd–In2O3 CP</t>
        </is>
      </c>
      <c r="E34" s="18" t="inlineStr">
        <is>
          <t>temperature</t>
        </is>
      </c>
      <c r="F34" s="18" t="inlineStr">
        <is>
          <t>279.85</t>
        </is>
      </c>
      <c r="G34" s="18" t="inlineStr">
        <is>
          <t>°C (from K)</t>
        </is>
      </c>
      <c r="H34" s="18" t="inlineStr">
        <is>
          <t>Table 2</t>
        </is>
      </c>
      <c r="I34" s="24" t="inlineStr">
        <is>
          <t>A｜逐项可核</t>
        </is>
      </c>
      <c r="J34" s="20" t="inlineStr">
        <is>
          <t>553 K = 279.85 °C</t>
        </is>
      </c>
      <c r="K34" s="20" t="inlineStr">
        <is>
          <t>Frei 2019, Fig.6 caption and main text</t>
        </is>
      </c>
      <c r="L34" s="17" t="inlineStr">
        <is>
          <t>https://www.nature.com/articles/s41467-019-11349-9</t>
        </is>
      </c>
      <c r="M34" s="20" t="inlineStr">
        <is>
          <t>原文553 K；摄氏温度为推算值，280 °C为常用四舍五入</t>
        </is>
      </c>
      <c r="N34" s="20" t="inlineStr">
        <is>
          <t>原文条件或等价换算</t>
        </is>
      </c>
      <c r="O34" s="20" t="inlineStr">
        <is>
          <t>（工况字段无）</t>
        </is>
      </c>
      <c r="P34" s="20" t="inlineStr">
        <is>
          <t>低（人工复签）</t>
        </is>
      </c>
      <c r="Q34" s="20" t="inlineStr">
        <is>
          <t>（未人工核对）</t>
        </is>
      </c>
      <c r="R34" s="20" t="inlineStr">
        <is>
          <t>独立检索证据；未填写人工核验栏</t>
        </is>
      </c>
    </row>
    <row r="35" ht="38" customHeight="1">
      <c r="A35" s="21" t="n">
        <v>34</v>
      </c>
      <c r="B35" s="22" t="inlineStr">
        <is>
          <t>Frei 2019</t>
        </is>
      </c>
      <c r="C35" s="22" t="inlineStr">
        <is>
          <t>10.1038/s41467-019-11349-9</t>
        </is>
      </c>
      <c r="D35" s="22" t="inlineStr">
        <is>
          <t>CP</t>
        </is>
      </c>
      <c r="E35" s="22" t="inlineStr">
        <is>
          <t>temperature</t>
        </is>
      </c>
      <c r="F35" s="22" t="inlineStr">
        <is>
          <t>279.85</t>
        </is>
      </c>
      <c r="G35" s="22" t="inlineStr">
        <is>
          <t>°C (from K)</t>
        </is>
      </c>
      <c r="H35" s="22" t="inlineStr">
        <is>
          <t>Fig. 6 and Results text</t>
        </is>
      </c>
      <c r="I35" s="24" t="inlineStr">
        <is>
          <t>A｜逐项可核</t>
        </is>
      </c>
      <c r="J35" s="23" t="inlineStr">
        <is>
          <t>553 K = 279.85 °C</t>
        </is>
      </c>
      <c r="K35" s="23" t="inlineStr">
        <is>
          <t>Frei 2019, Fig.6 caption and main text</t>
        </is>
      </c>
      <c r="L35" s="21" t="inlineStr">
        <is>
          <t>https://www.nature.com/articles/s41467-019-11349-9</t>
        </is>
      </c>
      <c r="M35" s="23" t="inlineStr">
        <is>
          <t>原文553 K；摄氏温度为推算值，280 °C为常用四舍五入</t>
        </is>
      </c>
      <c r="N35" s="23" t="inlineStr">
        <is>
          <t>原文条件或等价换算</t>
        </is>
      </c>
      <c r="O35" s="23" t="inlineStr">
        <is>
          <t>（工况字段无）</t>
        </is>
      </c>
      <c r="P35" s="23" t="inlineStr">
        <is>
          <t>低（人工复签）</t>
        </is>
      </c>
      <c r="Q35" s="23" t="inlineStr">
        <is>
          <t>（未人工核对）</t>
        </is>
      </c>
      <c r="R35" s="23" t="inlineStr">
        <is>
          <t>独立检索证据；未填写人工核验栏</t>
        </is>
      </c>
    </row>
    <row r="36" ht="38" customHeight="1">
      <c r="A36" s="17" t="n">
        <v>35</v>
      </c>
      <c r="B36" s="18" t="inlineStr">
        <is>
          <t>Frei 2019</t>
        </is>
      </c>
      <c r="C36" s="18" t="inlineStr">
        <is>
          <t>10.1038/s41467-019-11349-9</t>
        </is>
      </c>
      <c r="D36" s="18" t="inlineStr">
        <is>
          <t>CP</t>
        </is>
      </c>
      <c r="E36" s="18" t="inlineStr">
        <is>
          <t>CO2 conversion</t>
        </is>
      </c>
      <c r="F36" s="18" t="inlineStr">
        <is>
          <t>9.7</t>
        </is>
      </c>
      <c r="G36" s="18" t="inlineStr">
        <is>
          <t>%</t>
        </is>
      </c>
      <c r="H36" s="18" t="inlineStr">
        <is>
          <t>Fig. 6 and Results text</t>
        </is>
      </c>
      <c r="I36" s="24" t="inlineStr">
        <is>
          <t>A｜逐项可核</t>
        </is>
      </c>
      <c r="J36" s="20" t="inlineStr">
        <is>
          <t>9.7% CO₂ conversion at start</t>
        </is>
      </c>
      <c r="K36" s="20" t="inlineStr">
        <is>
          <t>Frei 2019, 500-h stability paragraph near Fig.6</t>
        </is>
      </c>
      <c r="L36" s="17" t="inlineStr">
        <is>
          <t>https://www.nature.com/articles/s41467-019-11349-9</t>
        </is>
      </c>
      <c r="M36" s="20" t="inlineStr">
        <is>
          <t>为稳定性起点数值，不是图中全部测量点的均值</t>
        </is>
      </c>
      <c r="N36" s="20" t="inlineStr">
        <is>
          <t>Y-经原文核对数值（含注明的单位换算）</t>
        </is>
      </c>
      <c r="O36" s="20" t="inlineStr">
        <is>
          <t>=</t>
        </is>
      </c>
      <c r="P36" s="20" t="inlineStr">
        <is>
          <t>低（人工复签）</t>
        </is>
      </c>
      <c r="Q36" s="20" t="inlineStr">
        <is>
          <t>（未人工核对）</t>
        </is>
      </c>
      <c r="R36" s="20" t="inlineStr">
        <is>
          <t>独立检索证据；未填写人工核验栏</t>
        </is>
      </c>
    </row>
    <row r="37" ht="38" customHeight="1">
      <c r="A37" s="21" t="n">
        <v>36</v>
      </c>
      <c r="B37" s="22" t="inlineStr">
        <is>
          <t>Frei 2019</t>
        </is>
      </c>
      <c r="C37" s="22" t="inlineStr">
        <is>
          <t>10.1038/s41467-019-11349-9</t>
        </is>
      </c>
      <c r="D37" s="22" t="inlineStr">
        <is>
          <t>CP</t>
        </is>
      </c>
      <c r="E37" s="22" t="inlineStr">
        <is>
          <t>H2/CO2</t>
        </is>
      </c>
      <c r="F37" s="22" t="inlineStr">
        <is>
          <t>4</t>
        </is>
      </c>
      <c r="G37" s="22" t="inlineStr">
        <is>
          <t>mol/mol</t>
        </is>
      </c>
      <c r="H37" s="22" t="inlineStr">
        <is>
          <t>Fig. 6 and Results text</t>
        </is>
      </c>
      <c r="I37" s="24" t="inlineStr">
        <is>
          <t>A｜逐项可核</t>
        </is>
      </c>
      <c r="J37" s="23" t="inlineStr">
        <is>
          <t>H₂:CO₂ = 4:1</t>
        </is>
      </c>
      <c r="K37" s="23" t="inlineStr">
        <is>
          <t>Frei 2019, Fig.6 caption</t>
        </is>
      </c>
      <c r="L37" s="21" t="inlineStr">
        <is>
          <t>https://www.nature.com/articles/s41467-019-11349-9</t>
        </is>
      </c>
      <c r="M37" s="23" t="inlineStr">
        <is>
          <t>原文 H₂:CO₂=4，比值4</t>
        </is>
      </c>
      <c r="N37" s="23" t="inlineStr">
        <is>
          <t>原文条件或等价换算</t>
        </is>
      </c>
      <c r="O37" s="23" t="inlineStr">
        <is>
          <t>（工况字段无）</t>
        </is>
      </c>
      <c r="P37" s="23" t="inlineStr">
        <is>
          <t>低（人工复签）</t>
        </is>
      </c>
      <c r="Q37" s="23" t="inlineStr">
        <is>
          <t>（未人工核对）</t>
        </is>
      </c>
      <c r="R37" s="23" t="inlineStr">
        <is>
          <t>独立检索证据；未填写人工核验栏</t>
        </is>
      </c>
    </row>
    <row r="38" ht="38" customHeight="1">
      <c r="A38" s="17" t="n">
        <v>37</v>
      </c>
      <c r="B38" s="18" t="inlineStr">
        <is>
          <t>Frei 2019</t>
        </is>
      </c>
      <c r="C38" s="18" t="inlineStr">
        <is>
          <t>10.1038/s41467-019-11349-9</t>
        </is>
      </c>
      <c r="D38" s="18" t="inlineStr">
        <is>
          <t>CP</t>
        </is>
      </c>
      <c r="E38" s="18" t="inlineStr">
        <is>
          <t>CO2 conversion</t>
        </is>
      </c>
      <c r="F38" s="18" t="inlineStr">
        <is>
          <t>9.2</t>
        </is>
      </c>
      <c r="G38" s="18" t="inlineStr">
        <is>
          <t>%</t>
        </is>
      </c>
      <c r="H38" s="18" t="inlineStr">
        <is>
          <t>Fig. 6 and Results text</t>
        </is>
      </c>
      <c r="I38" s="24" t="inlineStr">
        <is>
          <t>A｜逐项可核</t>
        </is>
      </c>
      <c r="J38" s="20" t="inlineStr">
        <is>
          <t>9.2% CO₂ conversion after 200 h</t>
        </is>
      </c>
      <c r="K38" s="20" t="inlineStr">
        <is>
          <t>Frei 2019, 500-h stability paragraph</t>
        </is>
      </c>
      <c r="L38" s="17" t="inlineStr">
        <is>
          <t>https://www.nature.com/articles/s41467-019-11349-9</t>
        </is>
      </c>
      <c r="M38" s="20" t="inlineStr">
        <is>
          <t>原文指出前200h由9.7%降至9.2%，其后维持至500h；原“after 500h”应写作后期稳定值</t>
        </is>
      </c>
      <c r="N38" s="20" t="inlineStr">
        <is>
          <t>Y-经原文核对数值（含注明的单位换算）</t>
        </is>
      </c>
      <c r="O38" s="20" t="inlineStr">
        <is>
          <t>=</t>
        </is>
      </c>
      <c r="P38" s="20" t="inlineStr">
        <is>
          <t>低（人工复签）</t>
        </is>
      </c>
      <c r="Q38" s="20" t="inlineStr">
        <is>
          <t>（未人工核对）</t>
        </is>
      </c>
      <c r="R38" s="20" t="inlineStr">
        <is>
          <t>独立检索证据；未填写人工核验栏</t>
        </is>
      </c>
    </row>
    <row r="39" ht="38" customHeight="1">
      <c r="A39" s="21" t="n">
        <v>38</v>
      </c>
      <c r="B39" s="22" t="inlineStr">
        <is>
          <t>Frei 2019</t>
        </is>
      </c>
      <c r="C39" s="22" t="inlineStr">
        <is>
          <t>10.1038/s41467-019-11349-9</t>
        </is>
      </c>
      <c r="D39" s="22" t="inlineStr">
        <is>
          <t>CP</t>
        </is>
      </c>
      <c r="E39" s="22" t="inlineStr">
        <is>
          <t>temperature</t>
        </is>
      </c>
      <c r="F39" s="22" t="inlineStr">
        <is>
          <t>279.85</t>
        </is>
      </c>
      <c r="G39" s="22" t="inlineStr">
        <is>
          <t>°C (from K)</t>
        </is>
      </c>
      <c r="H39" s="22" t="inlineStr">
        <is>
          <t>Fig. 6 and Results text</t>
        </is>
      </c>
      <c r="I39" s="24" t="inlineStr">
        <is>
          <t>A｜逐项可核</t>
        </is>
      </c>
      <c r="J39" s="23" t="inlineStr">
        <is>
          <t>553 K = 279.85 °C</t>
        </is>
      </c>
      <c r="K39" s="23" t="inlineStr">
        <is>
          <t>Frei 2019, Fig.6 caption and main text</t>
        </is>
      </c>
      <c r="L39" s="21" t="inlineStr">
        <is>
          <t>https://www.nature.com/articles/s41467-019-11349-9</t>
        </is>
      </c>
      <c r="M39" s="23" t="inlineStr">
        <is>
          <t>原文553 K；摄氏温度为推算值，280 °C为常用四舍五入</t>
        </is>
      </c>
      <c r="N39" s="23" t="inlineStr">
        <is>
          <t>原文条件或等价换算</t>
        </is>
      </c>
      <c r="O39" s="23" t="inlineStr">
        <is>
          <t>（工况字段无）</t>
        </is>
      </c>
      <c r="P39" s="23" t="inlineStr">
        <is>
          <t>低（人工复签）</t>
        </is>
      </c>
      <c r="Q39" s="23" t="inlineStr">
        <is>
          <t>（未人工核对）</t>
        </is>
      </c>
      <c r="R39" s="23" t="inlineStr">
        <is>
          <t>独立检索证据；未填写人工核验栏</t>
        </is>
      </c>
    </row>
    <row r="40" ht="38" customHeight="1">
      <c r="A40" s="17" t="n">
        <v>39</v>
      </c>
      <c r="B40" s="18" t="inlineStr">
        <is>
          <t>Frei 2019</t>
        </is>
      </c>
      <c r="C40" s="18" t="inlineStr">
        <is>
          <t>10.1038/s41467-019-11349-9</t>
        </is>
      </c>
      <c r="D40" s="18" t="inlineStr">
        <is>
          <t>CP</t>
        </is>
      </c>
      <c r="E40" s="18" t="inlineStr">
        <is>
          <t>pressure</t>
        </is>
      </c>
      <c r="F40" s="18" t="inlineStr">
        <is>
          <t>50</t>
        </is>
      </c>
      <c r="G40" s="18" t="inlineStr">
        <is>
          <t>bar</t>
        </is>
      </c>
      <c r="H40" s="18" t="inlineStr">
        <is>
          <t>Fig. 6 and Results text</t>
        </is>
      </c>
      <c r="I40" s="24" t="inlineStr">
        <is>
          <t>A｜逐项可核</t>
        </is>
      </c>
      <c r="J40" s="20" t="inlineStr">
        <is>
          <t>5 MPa = 50 bar</t>
        </is>
      </c>
      <c r="K40" s="20" t="inlineStr">
        <is>
          <t>Frei 2019, 500-h Fig.6 text / experimental conditions</t>
        </is>
      </c>
      <c r="L40" s="17" t="inlineStr">
        <is>
          <t>https://www.nature.com/articles/s41467-019-11349-9</t>
        </is>
      </c>
      <c r="M40" s="20" t="inlineStr">
        <is>
          <t>可从正文确认 5 MPa；原 Excel 将该工况挂在 Table 2，建议以 Fig.6 正文作为一手定位</t>
        </is>
      </c>
      <c r="N40" s="20" t="inlineStr">
        <is>
          <t>原文条件或等价换算</t>
        </is>
      </c>
      <c r="O40" s="20" t="inlineStr">
        <is>
          <t>（工况字段无）</t>
        </is>
      </c>
      <c r="P40" s="20" t="inlineStr">
        <is>
          <t>低（人工复签）</t>
        </is>
      </c>
      <c r="Q40" s="20" t="inlineStr">
        <is>
          <t>（未人工核对）</t>
        </is>
      </c>
      <c r="R40" s="20" t="inlineStr">
        <is>
          <t>独立检索证据；未填写人工核验栏</t>
        </is>
      </c>
    </row>
    <row r="41" ht="38" customHeight="1">
      <c r="A41" s="21" t="n">
        <v>40</v>
      </c>
      <c r="B41" s="22" t="inlineStr">
        <is>
          <t>Frei 2019</t>
        </is>
      </c>
      <c r="C41" s="22" t="inlineStr">
        <is>
          <t>10.1038/s41467-019-11349-9</t>
        </is>
      </c>
      <c r="D41" s="22" t="inlineStr">
        <is>
          <t>Pd–In2O3 CP</t>
        </is>
      </c>
      <c r="E41" s="22" t="inlineStr">
        <is>
          <t>CO2 conversion</t>
        </is>
      </c>
      <c r="F41" s="22" t="inlineStr">
        <is>
          <t>9.7</t>
        </is>
      </c>
      <c r="G41" s="22" t="inlineStr">
        <is>
          <t>%</t>
        </is>
      </c>
      <c r="H41" s="22" t="inlineStr">
        <is>
          <t>Table 2</t>
        </is>
      </c>
      <c r="I41" s="26" t="inlineStr">
        <is>
          <t>C｜需修正规则/引文</t>
        </is>
      </c>
      <c r="J41" s="23" t="inlineStr">
        <is>
          <t>9.7% CO₂ conversion (text adjacent to Fig.6)</t>
        </is>
      </c>
      <c r="K41" s="23" t="inlineStr">
        <is>
          <t>Frei 2019, 500-h stability paragraph near Fig.6</t>
        </is>
      </c>
      <c r="L41" s="21" t="inlineStr">
        <is>
          <t>https://www.nature.com/articles/s41467-019-11349-9</t>
        </is>
      </c>
      <c r="M41" s="27" t="inlineStr">
        <is>
          <t>数值在正文可核，但原定位“Table 2, WHSV 48000 initial”不够准确，建议改为Fig.6附近正文；不宜直接判数据录入错误</t>
        </is>
      </c>
      <c r="N41" s="23" t="inlineStr">
        <is>
          <t>Y-正文可核，定位需修订</t>
        </is>
      </c>
      <c r="O41" s="23" t="inlineStr">
        <is>
          <t>=</t>
        </is>
      </c>
      <c r="P41" s="23" t="inlineStr">
        <is>
          <t>高（先修规则）</t>
        </is>
      </c>
      <c r="Q41" s="23" t="inlineStr">
        <is>
          <t>（未人工核对）</t>
        </is>
      </c>
      <c r="R41" s="23" t="inlineStr">
        <is>
          <t>独立检索证据；未填写人工核验栏</t>
        </is>
      </c>
    </row>
    <row r="42" ht="38" customHeight="1">
      <c r="A42" s="17" t="n">
        <v>41</v>
      </c>
      <c r="B42" s="18" t="inlineStr">
        <is>
          <t>Dang 2020</t>
        </is>
      </c>
      <c r="C42" s="18" t="inlineStr">
        <is>
          <t>10.1126/sciadv.aaz2060</t>
        </is>
      </c>
      <c r="D42" s="18" t="inlineStr">
        <is>
          <t>h–In2O3-R</t>
        </is>
      </c>
      <c r="E42" s="18" t="inlineStr">
        <is>
          <t>space velocity</t>
        </is>
      </c>
      <c r="F42" s="18" t="inlineStr">
        <is>
          <t>9000 ml gcat−1 hour−1</t>
        </is>
      </c>
      <c r="G42" s="18" t="inlineStr">
        <is>
          <t>as printed</t>
        </is>
      </c>
      <c r="H42" s="18" t="inlineStr">
        <is>
          <t>Figure 5B and Figure 5C</t>
        </is>
      </c>
      <c r="I42" s="25" t="inlineStr">
        <is>
          <t>B｜背景工况佐证</t>
        </is>
      </c>
      <c r="J42" s="20" t="inlineStr">
        <is>
          <t>9000 mL gcat⁻¹ h⁻¹</t>
        </is>
      </c>
      <c r="K42" s="20" t="inlineStr">
        <is>
          <t>Dang 2020, main-text Fig.5 reaction conditions</t>
        </is>
      </c>
      <c r="L42" s="17" t="inlineStr">
        <is>
          <t>https://pmc.ncbi.nlm.nih.gov/articles/PMC7299618/</t>
        </is>
      </c>
      <c r="M42" s="20" t="inlineStr">
        <is>
          <t>9,000与总体实验设置一致，具体序列点仍需对照 Fig.5及原始描述</t>
        </is>
      </c>
      <c r="N42" s="20" t="inlineStr">
        <is>
          <t>条件有佐证，指定行需复核</t>
        </is>
      </c>
      <c r="O42" s="20" t="inlineStr">
        <is>
          <t>（工况字段无）</t>
        </is>
      </c>
      <c r="P42" s="20" t="inlineStr">
        <is>
          <t>中（补SI或核图）</t>
        </is>
      </c>
      <c r="Q42" s="20" t="inlineStr">
        <is>
          <t>（未人工核对）</t>
        </is>
      </c>
      <c r="R42" s="20" t="inlineStr">
        <is>
          <t>独立检索证据；未填写人工核验栏</t>
        </is>
      </c>
    </row>
    <row r="43" ht="38" customHeight="1">
      <c r="A43" s="21" t="n">
        <v>42</v>
      </c>
      <c r="B43" s="22" t="inlineStr">
        <is>
          <t>Dang 2020</t>
        </is>
      </c>
      <c r="C43" s="22" t="inlineStr">
        <is>
          <t>10.1126/sciadv.aaz2060</t>
        </is>
      </c>
      <c r="D43" s="22" t="inlineStr">
        <is>
          <t>h–In2O3-R</t>
        </is>
      </c>
      <c r="E43" s="22" t="inlineStr">
        <is>
          <t>CH3OH selectivity</t>
        </is>
      </c>
      <c r="F43" s="22" t="inlineStr">
        <is>
          <t>71</t>
        </is>
      </c>
      <c r="G43" s="22" t="inlineStr">
        <is>
          <t>%</t>
        </is>
      </c>
      <c r="H43" s="22" t="inlineStr">
        <is>
          <t>Figure 5E and text on page 6</t>
        </is>
      </c>
      <c r="I43" s="19" t="inlineStr">
        <is>
          <t>D｜待原文或SI</t>
        </is>
      </c>
      <c r="J43" s="23" t="inlineStr">
        <is>
          <t>未取得可独立核对的原始行</t>
        </is>
      </c>
      <c r="K43" s="23" t="inlineStr">
        <is>
          <t>需打开对应 PDF/SI Table/Fig 并按催化剂+实验条件逐行确认</t>
        </is>
      </c>
      <c r="L43" s="21" t="inlineStr">
        <is>
          <t>https://pmc.ncbi.nlm.nih.gov/articles/PMC7299618/</t>
        </is>
      </c>
      <c r="M43" s="23" t="inlineStr">
        <is>
          <t>当前不能判 correct/rounding/wrong；不能用原抽取文本为自身背书</t>
        </is>
      </c>
      <c r="N43" s="23" t="inlineStr">
        <is>
          <t>未判定</t>
        </is>
      </c>
      <c r="O43" s="23" t="inlineStr">
        <is>
          <t>=</t>
        </is>
      </c>
      <c r="P43" s="23" t="inlineStr">
        <is>
          <t>高（需原文）</t>
        </is>
      </c>
      <c r="Q43" s="23" t="inlineStr">
        <is>
          <t>（未人工核对）</t>
        </is>
      </c>
      <c r="R43" s="23" t="inlineStr">
        <is>
          <t>独立检索证据；未填写人工核验栏</t>
        </is>
      </c>
    </row>
    <row r="44" ht="38" customHeight="1">
      <c r="A44" s="17" t="n">
        <v>43</v>
      </c>
      <c r="B44" s="18" t="inlineStr">
        <is>
          <t>Dang 2020</t>
        </is>
      </c>
      <c r="C44" s="18" t="inlineStr">
        <is>
          <t>10.1126/sciadv.aaz2060</t>
        </is>
      </c>
      <c r="D44" s="18" t="inlineStr">
        <is>
          <t>h–In2O3-R</t>
        </is>
      </c>
      <c r="E44" s="18" t="inlineStr">
        <is>
          <t>temperature</t>
        </is>
      </c>
      <c r="F44" s="18" t="inlineStr">
        <is>
          <t>240</t>
        </is>
      </c>
      <c r="G44" s="18" t="inlineStr">
        <is>
          <t>°C (from K)</t>
        </is>
      </c>
      <c r="H44" s="18" t="inlineStr">
        <is>
          <t>Figure 5B and Figure 5C</t>
        </is>
      </c>
      <c r="I44" s="25" t="inlineStr">
        <is>
          <t>B｜背景工况佐证</t>
        </is>
      </c>
      <c r="J44" s="20" t="inlineStr">
        <is>
          <t>240 °C or 360 °C (Fig.5 temperature series)</t>
        </is>
      </c>
      <c r="K44" s="20" t="inlineStr">
        <is>
          <t>Dang 2020, Fig.5 B/C temperature sweep</t>
        </is>
      </c>
      <c r="L44" s="17" t="inlineStr">
        <is>
          <t>https://pmc.ncbi.nlm.nih.gov/articles/PMC7299618/</t>
        </is>
      </c>
      <c r="M44" s="20" t="inlineStr">
        <is>
          <t>图中温度级别可辨；仍需以图标和原始数值区别印刷数字/读图点</t>
        </is>
      </c>
      <c r="N44" s="20" t="inlineStr">
        <is>
          <t>条件有佐证，指定行需复核</t>
        </is>
      </c>
      <c r="O44" s="20" t="inlineStr">
        <is>
          <t>（工况字段无）</t>
        </is>
      </c>
      <c r="P44" s="20" t="inlineStr">
        <is>
          <t>中（补SI或核图）</t>
        </is>
      </c>
      <c r="Q44" s="20" t="inlineStr">
        <is>
          <t>（未人工核对）</t>
        </is>
      </c>
      <c r="R44" s="20" t="inlineStr">
        <is>
          <t>独立检索证据；未填写人工核验栏</t>
        </is>
      </c>
    </row>
    <row r="45" ht="38" customHeight="1">
      <c r="A45" s="21" t="n">
        <v>44</v>
      </c>
      <c r="B45" s="22" t="inlineStr">
        <is>
          <t>Dang 2020</t>
        </is>
      </c>
      <c r="C45" s="22" t="inlineStr">
        <is>
          <t>10.1126/sciadv.aaz2060</t>
        </is>
      </c>
      <c r="D45" s="22" t="inlineStr">
        <is>
          <t>h–In2O3-R</t>
        </is>
      </c>
      <c r="E45" s="22" t="inlineStr">
        <is>
          <t>pressure</t>
        </is>
      </c>
      <c r="F45" s="22" t="inlineStr">
        <is>
          <t>50</t>
        </is>
      </c>
      <c r="G45" s="22" t="inlineStr">
        <is>
          <t>bar</t>
        </is>
      </c>
      <c r="H45" s="22" t="inlineStr">
        <is>
          <t>Figure 5E and text on page 6</t>
        </is>
      </c>
      <c r="I45" s="25" t="inlineStr">
        <is>
          <t>B｜背景工况佐证</t>
        </is>
      </c>
      <c r="J45" s="23" t="inlineStr">
        <is>
          <t>5 MPa = 50 bar</t>
        </is>
      </c>
      <c r="K45" s="23" t="inlineStr">
        <is>
          <t>Dang 2020, main-text Fig.5 reaction conditions</t>
        </is>
      </c>
      <c r="L45" s="21" t="inlineStr">
        <is>
          <t>https://pmc.ncbi.nlm.nih.gov/articles/PMC7299618/</t>
        </is>
      </c>
      <c r="M45" s="23" t="inlineStr">
        <is>
          <t>支持5MPa工况，未单独逐行核实该时间/温度点</t>
        </is>
      </c>
      <c r="N45" s="23" t="inlineStr">
        <is>
          <t>条件有佐证，指定行需复核</t>
        </is>
      </c>
      <c r="O45" s="23" t="inlineStr">
        <is>
          <t>（工况字段无）</t>
        </is>
      </c>
      <c r="P45" s="23" t="inlineStr">
        <is>
          <t>中（补SI或核图）</t>
        </is>
      </c>
      <c r="Q45" s="23" t="inlineStr">
        <is>
          <t>（未人工核对）</t>
        </is>
      </c>
      <c r="R45" s="23" t="inlineStr">
        <is>
          <t>独立检索证据；未填写人工核验栏</t>
        </is>
      </c>
    </row>
    <row r="46" ht="38" customHeight="1">
      <c r="A46" s="17" t="n">
        <v>45</v>
      </c>
      <c r="B46" s="18" t="inlineStr">
        <is>
          <t>Dang 2020</t>
        </is>
      </c>
      <c r="C46" s="18" t="inlineStr">
        <is>
          <t>10.1126/sciadv.aaz2060</t>
        </is>
      </c>
      <c r="D46" s="18" t="inlineStr">
        <is>
          <t>h–In2O3-R</t>
        </is>
      </c>
      <c r="E46" s="18" t="inlineStr">
        <is>
          <t>H2/CO2</t>
        </is>
      </c>
      <c r="F46" s="18" t="inlineStr">
        <is>
          <t>3.041666666666667</t>
        </is>
      </c>
      <c r="G46" s="18" t="inlineStr">
        <is>
          <t>mol/mol</t>
        </is>
      </c>
      <c r="H46" s="18" t="inlineStr">
        <is>
          <t>Figure 5E and text on page 6</t>
        </is>
      </c>
      <c r="I46" s="26" t="inlineStr">
        <is>
          <t>C｜需修正规则/引文</t>
        </is>
      </c>
      <c r="J46" s="20" t="inlineStr">
        <is>
          <t>H₂:CO₂:N₂ = 73:24:3; 73/24 = 3.041666666666667</t>
        </is>
      </c>
      <c r="K46" s="20" t="inlineStr">
        <is>
          <t>Dang 2020, main-text reaction feed composition</t>
        </is>
      </c>
      <c r="L46" s="17" t="inlineStr">
        <is>
          <t>https://pmc.ncbi.nlm.nih.gov/articles/PMC7299618/</t>
        </is>
      </c>
      <c r="M46" s="27" t="inlineStr">
        <is>
          <t>Excel数字3.041666…是由印刷组成推算，原文不直接印刷该长小数；应标为 derived，不计“原文直印准确”</t>
        </is>
      </c>
      <c r="N46" s="20" t="inlineStr">
        <is>
          <t>N-精确比值由进料组成推算</t>
        </is>
      </c>
      <c r="O46" s="20" t="inlineStr">
        <is>
          <t>（工况字段无）</t>
        </is>
      </c>
      <c r="P46" s="20" t="inlineStr">
        <is>
          <t>高（先修规则）</t>
        </is>
      </c>
      <c r="Q46" s="20" t="inlineStr">
        <is>
          <t>（未人工核对）</t>
        </is>
      </c>
      <c r="R46" s="20" t="inlineStr">
        <is>
          <t>独立检索证据；未填写人工核验栏</t>
        </is>
      </c>
    </row>
    <row r="47" ht="38" customHeight="1">
      <c r="A47" s="21" t="n">
        <v>46</v>
      </c>
      <c r="B47" s="22" t="inlineStr">
        <is>
          <t>Dang 2020</t>
        </is>
      </c>
      <c r="C47" s="22" t="inlineStr">
        <is>
          <t>10.1126/sciadv.aaz2060</t>
        </is>
      </c>
      <c r="D47" s="22" t="inlineStr">
        <is>
          <t>h–In2O3-R</t>
        </is>
      </c>
      <c r="E47" s="22" t="inlineStr">
        <is>
          <t>pressure</t>
        </is>
      </c>
      <c r="F47" s="22" t="inlineStr">
        <is>
          <t>50</t>
        </is>
      </c>
      <c r="G47" s="22" t="inlineStr">
        <is>
          <t>bar</t>
        </is>
      </c>
      <c r="H47" s="22" t="inlineStr">
        <is>
          <t>Figure 5E and text on page 6</t>
        </is>
      </c>
      <c r="I47" s="25" t="inlineStr">
        <is>
          <t>B｜背景工况佐证</t>
        </is>
      </c>
      <c r="J47" s="23" t="inlineStr">
        <is>
          <t>5 MPa = 50 bar</t>
        </is>
      </c>
      <c r="K47" s="23" t="inlineStr">
        <is>
          <t>Dang 2020, main-text Fig.5 reaction conditions</t>
        </is>
      </c>
      <c r="L47" s="21" t="inlineStr">
        <is>
          <t>https://pmc.ncbi.nlm.nih.gov/articles/PMC7299618/</t>
        </is>
      </c>
      <c r="M47" s="23" t="inlineStr">
        <is>
          <t>支持5MPa工况，未单独逐行核实该时间/温度点</t>
        </is>
      </c>
      <c r="N47" s="23" t="inlineStr">
        <is>
          <t>条件有佐证，指定行需复核</t>
        </is>
      </c>
      <c r="O47" s="23" t="inlineStr">
        <is>
          <t>（工况字段无）</t>
        </is>
      </c>
      <c r="P47" s="23" t="inlineStr">
        <is>
          <t>中（补SI或核图）</t>
        </is>
      </c>
      <c r="Q47" s="23" t="inlineStr">
        <is>
          <t>（未人工核对）</t>
        </is>
      </c>
      <c r="R47" s="23" t="inlineStr">
        <is>
          <t>独立检索证据；未填写人工核验栏</t>
        </is>
      </c>
    </row>
    <row r="48" ht="38" customHeight="1">
      <c r="A48" s="17" t="n">
        <v>47</v>
      </c>
      <c r="B48" s="18" t="inlineStr">
        <is>
          <t>Dang 2020</t>
        </is>
      </c>
      <c r="C48" s="18" t="inlineStr">
        <is>
          <t>10.1126/sciadv.aaz2060</t>
        </is>
      </c>
      <c r="D48" s="18" t="inlineStr">
        <is>
          <t>h–In2O3-R</t>
        </is>
      </c>
      <c r="E48" s="18" t="inlineStr">
        <is>
          <t>space velocity</t>
        </is>
      </c>
      <c r="F48" s="18" t="inlineStr">
        <is>
          <t>9000 ml gcat−1 hour−1</t>
        </is>
      </c>
      <c r="G48" s="18" t="inlineStr">
        <is>
          <t>as printed</t>
        </is>
      </c>
      <c r="H48" s="18" t="inlineStr">
        <is>
          <t>Figure 5E and text on page 6</t>
        </is>
      </c>
      <c r="I48" s="25" t="inlineStr">
        <is>
          <t>B｜背景工况佐证</t>
        </is>
      </c>
      <c r="J48" s="20" t="inlineStr">
        <is>
          <t>9000 mL gcat⁻¹ h⁻¹</t>
        </is>
      </c>
      <c r="K48" s="20" t="inlineStr">
        <is>
          <t>Dang 2020, main-text Fig.5 reaction conditions</t>
        </is>
      </c>
      <c r="L48" s="17" t="inlineStr">
        <is>
          <t>https://pmc.ncbi.nlm.nih.gov/articles/PMC7299618/</t>
        </is>
      </c>
      <c r="M48" s="20" t="inlineStr">
        <is>
          <t>9,000与总体实验设置一致，具体序列点仍需对照 Fig.5及原始描述</t>
        </is>
      </c>
      <c r="N48" s="20" t="inlineStr">
        <is>
          <t>条件有佐证，指定行需复核</t>
        </is>
      </c>
      <c r="O48" s="20" t="inlineStr">
        <is>
          <t>（工况字段无）</t>
        </is>
      </c>
      <c r="P48" s="20" t="inlineStr">
        <is>
          <t>中（补SI或核图）</t>
        </is>
      </c>
      <c r="Q48" s="20" t="inlineStr">
        <is>
          <t>（未人工核对）</t>
        </is>
      </c>
      <c r="R48" s="20" t="inlineStr">
        <is>
          <t>独立检索证据；未填写人工核验栏</t>
        </is>
      </c>
    </row>
    <row r="49" ht="38" customHeight="1">
      <c r="A49" s="21" t="n">
        <v>48</v>
      </c>
      <c r="B49" s="22" t="inlineStr">
        <is>
          <t>Dang 2020</t>
        </is>
      </c>
      <c r="C49" s="22" t="inlineStr">
        <is>
          <t>10.1126/sciadv.aaz2060</t>
        </is>
      </c>
      <c r="D49" s="22" t="inlineStr">
        <is>
          <t>h–In2O3-R</t>
        </is>
      </c>
      <c r="E49" s="22" t="inlineStr">
        <is>
          <t>temperature</t>
        </is>
      </c>
      <c r="F49" s="22" t="inlineStr">
        <is>
          <t>360</t>
        </is>
      </c>
      <c r="G49" s="22" t="inlineStr">
        <is>
          <t>°C (from K)</t>
        </is>
      </c>
      <c r="H49" s="22" t="inlineStr">
        <is>
          <t>Figure 5B and Figure 5C</t>
        </is>
      </c>
      <c r="I49" s="25" t="inlineStr">
        <is>
          <t>B｜背景工况佐证</t>
        </is>
      </c>
      <c r="J49" s="23" t="inlineStr">
        <is>
          <t>240 °C or 360 °C (Fig.5 temperature series)</t>
        </is>
      </c>
      <c r="K49" s="23" t="inlineStr">
        <is>
          <t>Dang 2020, Fig.5 B/C temperature sweep</t>
        </is>
      </c>
      <c r="L49" s="21" t="inlineStr">
        <is>
          <t>https://pmc.ncbi.nlm.nih.gov/articles/PMC7299618/</t>
        </is>
      </c>
      <c r="M49" s="23" t="inlineStr">
        <is>
          <t>图中温度级别可辨；仍需以图标和原始数值区别印刷数字/读图点</t>
        </is>
      </c>
      <c r="N49" s="23" t="inlineStr">
        <is>
          <t>条件有佐证，指定行需复核</t>
        </is>
      </c>
      <c r="O49" s="23" t="inlineStr">
        <is>
          <t>（工况字段无）</t>
        </is>
      </c>
      <c r="P49" s="23" t="inlineStr">
        <is>
          <t>中（补SI或核图）</t>
        </is>
      </c>
      <c r="Q49" s="23" t="inlineStr">
        <is>
          <t>（未人工核对）</t>
        </is>
      </c>
      <c r="R49" s="23" t="inlineStr">
        <is>
          <t>独立检索证据；未填写人工核验栏</t>
        </is>
      </c>
    </row>
    <row r="50" ht="38" customHeight="1">
      <c r="A50" s="17" t="n">
        <v>49</v>
      </c>
      <c r="B50" s="18" t="inlineStr">
        <is>
          <t>Dang 2020</t>
        </is>
      </c>
      <c r="C50" s="18" t="inlineStr">
        <is>
          <t>10.1126/sciadv.aaz2060</t>
        </is>
      </c>
      <c r="D50" s="18" t="inlineStr">
        <is>
          <t>h–In2O3-R</t>
        </is>
      </c>
      <c r="E50" s="18" t="inlineStr">
        <is>
          <t>CO2 conversion</t>
        </is>
      </c>
      <c r="F50" s="18" t="inlineStr">
        <is>
          <t>15.4</t>
        </is>
      </c>
      <c r="G50" s="18" t="inlineStr">
        <is>
          <t>%</t>
        </is>
      </c>
      <c r="H50" s="18" t="inlineStr">
        <is>
          <t>Figure 5B and Figure 5C</t>
        </is>
      </c>
      <c r="I50" s="19" t="inlineStr">
        <is>
          <t>D｜待原文或SI</t>
        </is>
      </c>
      <c r="J50" s="20" t="inlineStr">
        <is>
          <t>未取得可独立核对的原始行</t>
        </is>
      </c>
      <c r="K50" s="20" t="inlineStr">
        <is>
          <t>需打开对应 PDF/SI Table/Fig 并按催化剂+实验条件逐行确认</t>
        </is>
      </c>
      <c r="L50" s="17" t="inlineStr">
        <is>
          <t>https://pmc.ncbi.nlm.nih.gov/articles/PMC7299618/</t>
        </is>
      </c>
      <c r="M50" s="20" t="inlineStr">
        <is>
          <t>当前不能判 correct/rounding/wrong；不能用原抽取文本为自身背书</t>
        </is>
      </c>
      <c r="N50" s="20" t="inlineStr">
        <is>
          <t>未判定</t>
        </is>
      </c>
      <c r="O50" s="20" t="inlineStr">
        <is>
          <t>=</t>
        </is>
      </c>
      <c r="P50" s="20" t="inlineStr">
        <is>
          <t>高（需原文）</t>
        </is>
      </c>
      <c r="Q50" s="20" t="inlineStr">
        <is>
          <t>（未人工核对）</t>
        </is>
      </c>
      <c r="R50" s="20" t="inlineStr">
        <is>
          <t>独立检索证据；未填写人工核验栏</t>
        </is>
      </c>
    </row>
    <row r="51" ht="38" customHeight="1">
      <c r="A51" s="21" t="n">
        <v>50</v>
      </c>
      <c r="B51" s="22" t="inlineStr">
        <is>
          <t>Dang 2020</t>
        </is>
      </c>
      <c r="C51" s="22" t="inlineStr">
        <is>
          <t>10.1126/sciadv.aaz2060</t>
        </is>
      </c>
      <c r="D51" s="22" t="inlineStr">
        <is>
          <t>h–In2O3-R</t>
        </is>
      </c>
      <c r="E51" s="22" t="inlineStr">
        <is>
          <t>pressure</t>
        </is>
      </c>
      <c r="F51" s="22" t="inlineStr">
        <is>
          <t>50</t>
        </is>
      </c>
      <c r="G51" s="22" t="inlineStr">
        <is>
          <t>bar</t>
        </is>
      </c>
      <c r="H51" s="22" t="inlineStr">
        <is>
          <t>Figure 5B and Figure 5C</t>
        </is>
      </c>
      <c r="I51" s="25" t="inlineStr">
        <is>
          <t>B｜背景工况佐证</t>
        </is>
      </c>
      <c r="J51" s="23" t="inlineStr">
        <is>
          <t>5 MPa = 50 bar</t>
        </is>
      </c>
      <c r="K51" s="23" t="inlineStr">
        <is>
          <t>Dang 2020, main-text Fig.5 reaction conditions</t>
        </is>
      </c>
      <c r="L51" s="21" t="inlineStr">
        <is>
          <t>https://pmc.ncbi.nlm.nih.gov/articles/PMC7299618/</t>
        </is>
      </c>
      <c r="M51" s="23" t="inlineStr">
        <is>
          <t>支持5MPa工况，未单独逐行核实该时间/温度点</t>
        </is>
      </c>
      <c r="N51" s="23" t="inlineStr">
        <is>
          <t>条件有佐证，指定行需复核</t>
        </is>
      </c>
      <c r="O51" s="23" t="inlineStr">
        <is>
          <t>（工况字段无）</t>
        </is>
      </c>
      <c r="P51" s="23" t="inlineStr">
        <is>
          <t>中（补SI或核图）</t>
        </is>
      </c>
      <c r="Q51" s="23" t="inlineStr">
        <is>
          <t>（未人工核对）</t>
        </is>
      </c>
      <c r="R51" s="23" t="inlineStr">
        <is>
          <t>独立检索证据；未填写人工核验栏</t>
        </is>
      </c>
    </row>
    <row r="52" ht="38" customHeight="1">
      <c r="A52" s="17" t="n">
        <v>51</v>
      </c>
      <c r="B52" s="18" t="inlineStr">
        <is>
          <t>Gao 2015</t>
        </is>
      </c>
      <c r="C52" s="18" t="inlineStr">
        <is>
          <t>10.1039/c5cy00372e</t>
        </is>
      </c>
      <c r="D52" s="18" t="inlineStr">
        <is>
          <t>CHT-Y0.1</t>
        </is>
      </c>
      <c r="E52" s="18" t="inlineStr">
        <is>
          <t>temperature</t>
        </is>
      </c>
      <c r="F52" s="18" t="inlineStr">
        <is>
          <t>229.85</t>
        </is>
      </c>
      <c r="G52" s="18" t="inlineStr">
        <is>
          <t>°C (from K)</t>
        </is>
      </c>
      <c r="H52" s="18" t="inlineStr">
        <is>
          <t>Table 6</t>
        </is>
      </c>
      <c r="I52" s="19" t="inlineStr">
        <is>
          <t>D｜待原文或SI</t>
        </is>
      </c>
      <c r="J52" s="20" t="inlineStr">
        <is>
          <t>未取得可独立核对的原始行</t>
        </is>
      </c>
      <c r="K52" s="20" t="inlineStr">
        <is>
          <t>需打开对应 PDF/SI Table/Fig 并按催化剂+实验条件逐行确认</t>
        </is>
      </c>
      <c r="L52" s="17" t="inlineStr">
        <is>
          <t>https://doi.org/10.1039/c5cy00372e</t>
        </is>
      </c>
      <c r="M52" s="20" t="inlineStr">
        <is>
          <t>当前不能判 correct/rounding/wrong；不能用原抽取文本为自身背书</t>
        </is>
      </c>
      <c r="N52" s="20" t="inlineStr">
        <is>
          <t>未判定</t>
        </is>
      </c>
      <c r="O52" s="20" t="inlineStr">
        <is>
          <t>（工况字段无）</t>
        </is>
      </c>
      <c r="P52" s="20" t="inlineStr">
        <is>
          <t>中（需原文）</t>
        </is>
      </c>
      <c r="Q52" s="20" t="inlineStr">
        <is>
          <t>（未人工核对）</t>
        </is>
      </c>
      <c r="R52" s="20" t="inlineStr">
        <is>
          <t>独立检索证据；未填写人工核验栏</t>
        </is>
      </c>
    </row>
    <row r="53" ht="38" customHeight="1">
      <c r="A53" s="21" t="n">
        <v>52</v>
      </c>
      <c r="B53" s="22" t="inlineStr">
        <is>
          <t>Gao 2015</t>
        </is>
      </c>
      <c r="C53" s="22" t="inlineStr">
        <is>
          <t>10.1039/c5cy00372e</t>
        </is>
      </c>
      <c r="D53" s="22" t="inlineStr">
        <is>
          <t>CHT-Y0.5</t>
        </is>
      </c>
      <c r="E53" s="22" t="inlineStr">
        <is>
          <t>CO selectivity</t>
        </is>
      </c>
      <c r="F53" s="22" t="inlineStr">
        <is>
          <t>33.1</t>
        </is>
      </c>
      <c r="G53" s="22" t="inlineStr">
        <is>
          <t>%</t>
        </is>
      </c>
      <c r="H53" s="22" t="inlineStr">
        <is>
          <t>Table 6</t>
        </is>
      </c>
      <c r="I53" s="19" t="inlineStr">
        <is>
          <t>D｜待原文或SI</t>
        </is>
      </c>
      <c r="J53" s="23" t="inlineStr">
        <is>
          <t>未取得可独立核对的原始行</t>
        </is>
      </c>
      <c r="K53" s="23" t="inlineStr">
        <is>
          <t>需打开对应 PDF/SI Table/Fig 并按催化剂+实验条件逐行确认</t>
        </is>
      </c>
      <c r="L53" s="21" t="inlineStr">
        <is>
          <t>https://doi.org/10.1039/c5cy00372e</t>
        </is>
      </c>
      <c r="M53" s="23" t="inlineStr">
        <is>
          <t>当前不能判 correct/rounding/wrong；不能用原抽取文本为自身背书</t>
        </is>
      </c>
      <c r="N53" s="23" t="inlineStr">
        <is>
          <t>未判定</t>
        </is>
      </c>
      <c r="O53" s="23" t="inlineStr">
        <is>
          <t>=</t>
        </is>
      </c>
      <c r="P53" s="23" t="inlineStr">
        <is>
          <t>高（需原文）</t>
        </is>
      </c>
      <c r="Q53" s="23" t="inlineStr">
        <is>
          <t>（未人工核对）</t>
        </is>
      </c>
      <c r="R53" s="23" t="inlineStr">
        <is>
          <t>独立检索证据；未填写人工核验栏</t>
        </is>
      </c>
    </row>
    <row r="54" ht="38" customHeight="1">
      <c r="A54" s="17" t="n">
        <v>53</v>
      </c>
      <c r="B54" s="18" t="inlineStr">
        <is>
          <t>Gao 2015</t>
        </is>
      </c>
      <c r="C54" s="18" t="inlineStr">
        <is>
          <t>10.1039/c5cy00372e</t>
        </is>
      </c>
      <c r="D54" s="18" t="inlineStr">
        <is>
          <t>CHT-Y0.05</t>
        </is>
      </c>
      <c r="E54" s="18" t="inlineStr">
        <is>
          <t>CH4 selectivity</t>
        </is>
      </c>
      <c r="F54" s="18" t="inlineStr">
        <is>
          <t>0.2</t>
        </is>
      </c>
      <c r="G54" s="18" t="inlineStr">
        <is>
          <t>%</t>
        </is>
      </c>
      <c r="H54" s="18" t="inlineStr">
        <is>
          <t>Table 6</t>
        </is>
      </c>
      <c r="I54" s="19" t="inlineStr">
        <is>
          <t>D｜待原文或SI</t>
        </is>
      </c>
      <c r="J54" s="20" t="inlineStr">
        <is>
          <t>未取得可独立核对的原始行</t>
        </is>
      </c>
      <c r="K54" s="20" t="inlineStr">
        <is>
          <t>需打开对应 PDF/SI Table/Fig 并按催化剂+实验条件逐行确认</t>
        </is>
      </c>
      <c r="L54" s="17" t="inlineStr">
        <is>
          <t>https://doi.org/10.1039/c5cy00372e</t>
        </is>
      </c>
      <c r="M54" s="20" t="inlineStr">
        <is>
          <t>当前不能判 correct/rounding/wrong；不能用原抽取文本为自身背书</t>
        </is>
      </c>
      <c r="N54" s="20" t="inlineStr">
        <is>
          <t>未判定</t>
        </is>
      </c>
      <c r="O54" s="20" t="inlineStr">
        <is>
          <t>=</t>
        </is>
      </c>
      <c r="P54" s="20" t="inlineStr">
        <is>
          <t>高（需原文）</t>
        </is>
      </c>
      <c r="Q54" s="20" t="inlineStr">
        <is>
          <t>（未人工核对）</t>
        </is>
      </c>
      <c r="R54" s="20" t="inlineStr">
        <is>
          <t>独立检索证据；未填写人工核验栏</t>
        </is>
      </c>
    </row>
    <row r="55" ht="38" customHeight="1">
      <c r="A55" s="21" t="n">
        <v>54</v>
      </c>
      <c r="B55" s="22" t="inlineStr">
        <is>
          <t>Gao 2015</t>
        </is>
      </c>
      <c r="C55" s="22" t="inlineStr">
        <is>
          <t>10.1039/c5cy00372e</t>
        </is>
      </c>
      <c r="D55" s="22" t="inlineStr">
        <is>
          <t>CHT-Y0</t>
        </is>
      </c>
      <c r="E55" s="22" t="inlineStr">
        <is>
          <t>CO selectivity</t>
        </is>
      </c>
      <c r="F55" s="22" t="inlineStr">
        <is>
          <t>41.6</t>
        </is>
      </c>
      <c r="G55" s="22" t="inlineStr">
        <is>
          <t>%</t>
        </is>
      </c>
      <c r="H55" s="22" t="inlineStr">
        <is>
          <t>Table 6</t>
        </is>
      </c>
      <c r="I55" s="19" t="inlineStr">
        <is>
          <t>D｜待原文或SI</t>
        </is>
      </c>
      <c r="J55" s="23" t="inlineStr">
        <is>
          <t>未取得可独立核对的原始行</t>
        </is>
      </c>
      <c r="K55" s="23" t="inlineStr">
        <is>
          <t>需打开对应 PDF/SI Table/Fig 并按催化剂+实验条件逐行确认</t>
        </is>
      </c>
      <c r="L55" s="21" t="inlineStr">
        <is>
          <t>https://doi.org/10.1039/c5cy00372e</t>
        </is>
      </c>
      <c r="M55" s="23" t="inlineStr">
        <is>
          <t>当前不能判 correct/rounding/wrong；不能用原抽取文本为自身背书</t>
        </is>
      </c>
      <c r="N55" s="23" t="inlineStr">
        <is>
          <t>未判定</t>
        </is>
      </c>
      <c r="O55" s="23" t="inlineStr">
        <is>
          <t>=</t>
        </is>
      </c>
      <c r="P55" s="23" t="inlineStr">
        <is>
          <t>高（需原文）</t>
        </is>
      </c>
      <c r="Q55" s="23" t="inlineStr">
        <is>
          <t>（未人工核对）</t>
        </is>
      </c>
      <c r="R55" s="23" t="inlineStr">
        <is>
          <t>独立检索证据；未填写人工核验栏</t>
        </is>
      </c>
    </row>
    <row r="56" ht="38" customHeight="1">
      <c r="A56" s="17" t="n">
        <v>55</v>
      </c>
      <c r="B56" s="18" t="inlineStr">
        <is>
          <t>Gao 2015</t>
        </is>
      </c>
      <c r="C56" s="18" t="inlineStr">
        <is>
          <t>10.1039/c5cy00372e</t>
        </is>
      </c>
      <c r="D56" s="18" t="inlineStr">
        <is>
          <t>CHT-Y0.2</t>
        </is>
      </c>
      <c r="E56" s="18" t="inlineStr">
        <is>
          <t>CH3OH selectivity</t>
        </is>
      </c>
      <c r="F56" s="18" t="inlineStr">
        <is>
          <t>70.5</t>
        </is>
      </c>
      <c r="G56" s="18" t="inlineStr">
        <is>
          <t>%</t>
        </is>
      </c>
      <c r="H56" s="18" t="inlineStr">
        <is>
          <t>Table 6</t>
        </is>
      </c>
      <c r="I56" s="19" t="inlineStr">
        <is>
          <t>D｜待原文或SI</t>
        </is>
      </c>
      <c r="J56" s="20" t="inlineStr">
        <is>
          <t>未取得可独立核对的原始行</t>
        </is>
      </c>
      <c r="K56" s="20" t="inlineStr">
        <is>
          <t>需打开对应 PDF/SI Table/Fig 并按催化剂+实验条件逐行确认</t>
        </is>
      </c>
      <c r="L56" s="17" t="inlineStr">
        <is>
          <t>https://doi.org/10.1039/c5cy00372e</t>
        </is>
      </c>
      <c r="M56" s="20" t="inlineStr">
        <is>
          <t>当前不能判 correct/rounding/wrong；不能用原抽取文本为自身背书</t>
        </is>
      </c>
      <c r="N56" s="20" t="inlineStr">
        <is>
          <t>未判定</t>
        </is>
      </c>
      <c r="O56" s="20" t="inlineStr">
        <is>
          <t>=</t>
        </is>
      </c>
      <c r="P56" s="20" t="inlineStr">
        <is>
          <t>高（需原文）</t>
        </is>
      </c>
      <c r="Q56" s="20" t="inlineStr">
        <is>
          <t>（未人工核对）</t>
        </is>
      </c>
      <c r="R56" s="20" t="inlineStr">
        <is>
          <t>独立检索证据；未填写人工核验栏</t>
        </is>
      </c>
    </row>
    <row r="57" ht="38" customHeight="1">
      <c r="A57" s="21" t="n">
        <v>56</v>
      </c>
      <c r="B57" s="22" t="inlineStr">
        <is>
          <t>Gao 2015</t>
        </is>
      </c>
      <c r="C57" s="22" t="inlineStr">
        <is>
          <t>10.1039/c5cy00372e</t>
        </is>
      </c>
      <c r="D57" s="22" t="inlineStr">
        <is>
          <t>CHT-Y0</t>
        </is>
      </c>
      <c r="E57" s="22" t="inlineStr">
        <is>
          <t>CH3OH selectivity</t>
        </is>
      </c>
      <c r="F57" s="22" t="inlineStr">
        <is>
          <t>58.1</t>
        </is>
      </c>
      <c r="G57" s="22" t="inlineStr">
        <is>
          <t>%</t>
        </is>
      </c>
      <c r="H57" s="22" t="inlineStr">
        <is>
          <t>Table 6</t>
        </is>
      </c>
      <c r="I57" s="19" t="inlineStr">
        <is>
          <t>D｜待原文或SI</t>
        </is>
      </c>
      <c r="J57" s="23" t="inlineStr">
        <is>
          <t>未取得可独立核对的原始行</t>
        </is>
      </c>
      <c r="K57" s="23" t="inlineStr">
        <is>
          <t>需打开对应 PDF/SI Table/Fig 并按催化剂+实验条件逐行确认</t>
        </is>
      </c>
      <c r="L57" s="21" t="inlineStr">
        <is>
          <t>https://doi.org/10.1039/c5cy00372e</t>
        </is>
      </c>
      <c r="M57" s="23" t="inlineStr">
        <is>
          <t>当前不能判 correct/rounding/wrong；不能用原抽取文本为自身背书</t>
        </is>
      </c>
      <c r="N57" s="23" t="inlineStr">
        <is>
          <t>未判定</t>
        </is>
      </c>
      <c r="O57" s="23" t="inlineStr">
        <is>
          <t>=</t>
        </is>
      </c>
      <c r="P57" s="23" t="inlineStr">
        <is>
          <t>高（需原文）</t>
        </is>
      </c>
      <c r="Q57" s="23" t="inlineStr">
        <is>
          <t>（未人工核对）</t>
        </is>
      </c>
      <c r="R57" s="23" t="inlineStr">
        <is>
          <t>独立检索证据；未填写人工核验栏</t>
        </is>
      </c>
    </row>
    <row r="58" ht="38" customHeight="1">
      <c r="A58" s="17" t="n">
        <v>57</v>
      </c>
      <c r="B58" s="18" t="inlineStr">
        <is>
          <t>Gao 2015</t>
        </is>
      </c>
      <c r="C58" s="18" t="inlineStr">
        <is>
          <t>10.1039/c5cy00372e</t>
        </is>
      </c>
      <c r="D58" s="18" t="inlineStr">
        <is>
          <t>CHT-Y0.2</t>
        </is>
      </c>
      <c r="E58" s="18" t="inlineStr">
        <is>
          <t>CH4 selectivity</t>
        </is>
      </c>
      <c r="F58" s="18" t="inlineStr">
        <is>
          <t>0.1</t>
        </is>
      </c>
      <c r="G58" s="18" t="inlineStr">
        <is>
          <t>%</t>
        </is>
      </c>
      <c r="H58" s="18" t="inlineStr">
        <is>
          <t>Table 6</t>
        </is>
      </c>
      <c r="I58" s="19" t="inlineStr">
        <is>
          <t>D｜待原文或SI</t>
        </is>
      </c>
      <c r="J58" s="20" t="inlineStr">
        <is>
          <t>未取得可独立核对的原始行</t>
        </is>
      </c>
      <c r="K58" s="20" t="inlineStr">
        <is>
          <t>需打开对应 PDF/SI Table/Fig 并按催化剂+实验条件逐行确认</t>
        </is>
      </c>
      <c r="L58" s="17" t="inlineStr">
        <is>
          <t>https://doi.org/10.1039/c5cy00372e</t>
        </is>
      </c>
      <c r="M58" s="20" t="inlineStr">
        <is>
          <t>当前不能判 correct/rounding/wrong；不能用原抽取文本为自身背书</t>
        </is>
      </c>
      <c r="N58" s="20" t="inlineStr">
        <is>
          <t>未判定</t>
        </is>
      </c>
      <c r="O58" s="20" t="inlineStr">
        <is>
          <t>=</t>
        </is>
      </c>
      <c r="P58" s="20" t="inlineStr">
        <is>
          <t>高（需原文）</t>
        </is>
      </c>
      <c r="Q58" s="20" t="inlineStr">
        <is>
          <t>（未人工核对）</t>
        </is>
      </c>
      <c r="R58" s="20" t="inlineStr">
        <is>
          <t>独立检索证据；未填写人工核验栏</t>
        </is>
      </c>
    </row>
    <row r="59" ht="38" customHeight="1">
      <c r="A59" s="21" t="n">
        <v>58</v>
      </c>
      <c r="B59" s="22" t="inlineStr">
        <is>
          <t>Gao 2015</t>
        </is>
      </c>
      <c r="C59" s="22" t="inlineStr">
        <is>
          <t>10.1039/c5cy00372e</t>
        </is>
      </c>
      <c r="D59" s="22" t="inlineStr">
        <is>
          <t>CHT-Y0</t>
        </is>
      </c>
      <c r="E59" s="22" t="inlineStr">
        <is>
          <t>CH4 selectivity</t>
        </is>
      </c>
      <c r="F59" s="22" t="inlineStr">
        <is>
          <t>0.3</t>
        </is>
      </c>
      <c r="G59" s="22" t="inlineStr">
        <is>
          <t>%</t>
        </is>
      </c>
      <c r="H59" s="22" t="inlineStr">
        <is>
          <t>Table 6</t>
        </is>
      </c>
      <c r="I59" s="19" t="inlineStr">
        <is>
          <t>D｜待原文或SI</t>
        </is>
      </c>
      <c r="J59" s="23" t="inlineStr">
        <is>
          <t>未取得可独立核对的原始行</t>
        </is>
      </c>
      <c r="K59" s="23" t="inlineStr">
        <is>
          <t>需打开对应 PDF/SI Table/Fig 并按催化剂+实验条件逐行确认</t>
        </is>
      </c>
      <c r="L59" s="21" t="inlineStr">
        <is>
          <t>https://doi.org/10.1039/c5cy00372e</t>
        </is>
      </c>
      <c r="M59" s="23" t="inlineStr">
        <is>
          <t>当前不能判 correct/rounding/wrong；不能用原抽取文本为自身背书</t>
        </is>
      </c>
      <c r="N59" s="23" t="inlineStr">
        <is>
          <t>未判定</t>
        </is>
      </c>
      <c r="O59" s="23" t="inlineStr">
        <is>
          <t>=</t>
        </is>
      </c>
      <c r="P59" s="23" t="inlineStr">
        <is>
          <t>高（需原文）</t>
        </is>
      </c>
      <c r="Q59" s="23" t="inlineStr">
        <is>
          <t>（未人工核对）</t>
        </is>
      </c>
      <c r="R59" s="23" t="inlineStr">
        <is>
          <t>独立检索证据；未填写人工核验栏</t>
        </is>
      </c>
    </row>
    <row r="60" ht="38" customHeight="1">
      <c r="A60" s="17" t="n">
        <v>59</v>
      </c>
      <c r="B60" s="18" t="inlineStr">
        <is>
          <t>Gao 2015</t>
        </is>
      </c>
      <c r="C60" s="18" t="inlineStr">
        <is>
          <t>10.1039/c5cy00372e</t>
        </is>
      </c>
      <c r="D60" s="18" t="inlineStr">
        <is>
          <t>CHT-Y0.1</t>
        </is>
      </c>
      <c r="E60" s="18" t="inlineStr">
        <is>
          <t>STY (printed)</t>
        </is>
      </c>
      <c r="F60" s="18" t="inlineStr">
        <is>
          <t>0.39 g gcat−1 h−1</t>
        </is>
      </c>
      <c r="G60" s="18" t="inlineStr">
        <is>
          <t>as printed</t>
        </is>
      </c>
      <c r="H60" s="18" t="inlineStr">
        <is>
          <t>Table 6</t>
        </is>
      </c>
      <c r="I60" s="19" t="inlineStr">
        <is>
          <t>D｜待原文或SI</t>
        </is>
      </c>
      <c r="J60" s="20" t="inlineStr">
        <is>
          <t>未取得可独立核对的原始行</t>
        </is>
      </c>
      <c r="K60" s="20" t="inlineStr">
        <is>
          <t>需打开对应 PDF/SI Table/Fig 并按催化剂+实验条件逐行确认</t>
        </is>
      </c>
      <c r="L60" s="17" t="inlineStr">
        <is>
          <t>https://doi.org/10.1039/c5cy00372e</t>
        </is>
      </c>
      <c r="M60" s="20" t="inlineStr">
        <is>
          <t>当前不能判 correct/rounding/wrong；不能用原抽取文本为自身背书</t>
        </is>
      </c>
      <c r="N60" s="20" t="inlineStr">
        <is>
          <t>未判定</t>
        </is>
      </c>
      <c r="O60" s="20" t="inlineStr">
        <is>
          <t>=</t>
        </is>
      </c>
      <c r="P60" s="20" t="inlineStr">
        <is>
          <t>高（需原文）</t>
        </is>
      </c>
      <c r="Q60" s="20" t="inlineStr">
        <is>
          <t>（未人工核对）</t>
        </is>
      </c>
      <c r="R60" s="20" t="inlineStr">
        <is>
          <t>独立检索证据；未填写人工核验栏</t>
        </is>
      </c>
    </row>
    <row r="61" ht="38" customHeight="1">
      <c r="A61" s="21" t="n">
        <v>60</v>
      </c>
      <c r="B61" s="22" t="inlineStr">
        <is>
          <t>Gao 2015</t>
        </is>
      </c>
      <c r="C61" s="22" t="inlineStr">
        <is>
          <t>10.1039/c5cy00372e</t>
        </is>
      </c>
      <c r="D61" s="22" t="inlineStr">
        <is>
          <t>CHT-Y0</t>
        </is>
      </c>
      <c r="E61" s="22" t="inlineStr">
        <is>
          <t>pressure</t>
        </is>
      </c>
      <c r="F61" s="22" t="inlineStr">
        <is>
          <t>50</t>
        </is>
      </c>
      <c r="G61" s="22" t="inlineStr">
        <is>
          <t>bar</t>
        </is>
      </c>
      <c r="H61" s="22" t="inlineStr">
        <is>
          <t>Table 6</t>
        </is>
      </c>
      <c r="I61" s="19" t="inlineStr">
        <is>
          <t>D｜待原文或SI</t>
        </is>
      </c>
      <c r="J61" s="23" t="inlineStr">
        <is>
          <t>未取得可独立核对的原始行</t>
        </is>
      </c>
      <c r="K61" s="23" t="inlineStr">
        <is>
          <t>需打开对应 PDF/SI Table/Fig 并按催化剂+实验条件逐行确认</t>
        </is>
      </c>
      <c r="L61" s="21" t="inlineStr">
        <is>
          <t>https://doi.org/10.1039/c5cy00372e</t>
        </is>
      </c>
      <c r="M61" s="23" t="inlineStr">
        <is>
          <t>当前不能判 correct/rounding/wrong；不能用原抽取文本为自身背书</t>
        </is>
      </c>
      <c r="N61" s="23" t="inlineStr">
        <is>
          <t>未判定</t>
        </is>
      </c>
      <c r="O61" s="23" t="inlineStr">
        <is>
          <t>（工况字段无）</t>
        </is>
      </c>
      <c r="P61" s="23" t="inlineStr">
        <is>
          <t>中（需原文）</t>
        </is>
      </c>
      <c r="Q61" s="23" t="inlineStr">
        <is>
          <t>（未人工核对）</t>
        </is>
      </c>
      <c r="R61" s="23" t="inlineStr">
        <is>
          <t>独立检索证据；未填写人工核验栏</t>
        </is>
      </c>
    </row>
    <row r="62" ht="38" customHeight="1">
      <c r="A62" s="17" t="n">
        <v>61</v>
      </c>
      <c r="B62" s="18" t="inlineStr">
        <is>
          <t>Rui 2017</t>
        </is>
      </c>
      <c r="C62" s="18" t="inlineStr">
        <is>
          <t>10.1016/j.apcatb.2017.06.069</t>
        </is>
      </c>
      <c r="D62" s="18" t="inlineStr">
        <is>
          <t>In2O3</t>
        </is>
      </c>
      <c r="E62" s="18" t="inlineStr">
        <is>
          <t>temperature</t>
        </is>
      </c>
      <c r="F62" s="18" t="inlineStr">
        <is>
          <t>300</t>
        </is>
      </c>
      <c r="G62" s="18" t="inlineStr">
        <is>
          <t>°C (from K)</t>
        </is>
      </c>
      <c r="H62" s="18" t="inlineStr">
        <is>
          <t>SI Table S1</t>
        </is>
      </c>
      <c r="I62" s="19" t="inlineStr">
        <is>
          <t>D｜待原文或SI</t>
        </is>
      </c>
      <c r="J62" s="20" t="inlineStr">
        <is>
          <t>未取得可独立核对的原始行</t>
        </is>
      </c>
      <c r="K62" s="20" t="inlineStr">
        <is>
          <t>需打开对应 PDF/SI Table/Fig 并按催化剂+实验条件逐行确认</t>
        </is>
      </c>
      <c r="L62" s="17" t="inlineStr">
        <is>
          <t>https://doi.org/10.1016/j.apcatb.2017.06.069</t>
        </is>
      </c>
      <c r="M62" s="20" t="inlineStr">
        <is>
          <t>当前不能判 correct/rounding/wrong；不能用原抽取文本为自身背书</t>
        </is>
      </c>
      <c r="N62" s="20" t="inlineStr">
        <is>
          <t>未判定</t>
        </is>
      </c>
      <c r="O62" s="20" t="inlineStr">
        <is>
          <t>（工况字段无）</t>
        </is>
      </c>
      <c r="P62" s="20" t="inlineStr">
        <is>
          <t>中（需原文）</t>
        </is>
      </c>
      <c r="Q62" s="20" t="inlineStr">
        <is>
          <t>（未人工核对）</t>
        </is>
      </c>
      <c r="R62" s="20" t="inlineStr">
        <is>
          <t>独立检索证据；未填写人工核验栏</t>
        </is>
      </c>
    </row>
    <row r="63" ht="38" customHeight="1">
      <c r="A63" s="21" t="n">
        <v>62</v>
      </c>
      <c r="B63" s="22" t="inlineStr">
        <is>
          <t>Rui 2017</t>
        </is>
      </c>
      <c r="C63" s="22" t="inlineStr">
        <is>
          <t>10.1016/j.apcatb.2017.06.069</t>
        </is>
      </c>
      <c r="D63" s="22" t="inlineStr">
        <is>
          <t>In2O3</t>
        </is>
      </c>
      <c r="E63" s="22" t="inlineStr">
        <is>
          <t>STY (printed)</t>
        </is>
      </c>
      <c r="F63" s="22" t="inlineStr">
        <is>
          <t>0.352 gMeOH h-1 gcat-1</t>
        </is>
      </c>
      <c r="G63" s="22" t="inlineStr">
        <is>
          <t>as printed</t>
        </is>
      </c>
      <c r="H63" s="22" t="inlineStr">
        <is>
          <t>SI Table S1</t>
        </is>
      </c>
      <c r="I63" s="19" t="inlineStr">
        <is>
          <t>D｜待原文或SI</t>
        </is>
      </c>
      <c r="J63" s="23" t="inlineStr">
        <is>
          <t>未取得可独立核对的原始行</t>
        </is>
      </c>
      <c r="K63" s="23" t="inlineStr">
        <is>
          <t>需打开对应 PDF/SI Table/Fig 并按催化剂+实验条件逐行确认</t>
        </is>
      </c>
      <c r="L63" s="21" t="inlineStr">
        <is>
          <t>https://doi.org/10.1016/j.apcatb.2017.06.069</t>
        </is>
      </c>
      <c r="M63" s="23" t="inlineStr">
        <is>
          <t>当前不能判 correct/rounding/wrong；不能用原抽取文本为自身背书</t>
        </is>
      </c>
      <c r="N63" s="23" t="inlineStr">
        <is>
          <t>未判定</t>
        </is>
      </c>
      <c r="O63" s="23" t="inlineStr">
        <is>
          <t>=</t>
        </is>
      </c>
      <c r="P63" s="23" t="inlineStr">
        <is>
          <t>高（需原文）</t>
        </is>
      </c>
      <c r="Q63" s="23" t="inlineStr">
        <is>
          <t>（未人工核对）</t>
        </is>
      </c>
      <c r="R63" s="23" t="inlineStr">
        <is>
          <t>独立检索证据；未填写人工核验栏</t>
        </is>
      </c>
    </row>
    <row r="64" ht="38" customHeight="1">
      <c r="A64" s="17" t="n">
        <v>63</v>
      </c>
      <c r="B64" s="18" t="inlineStr">
        <is>
          <t>Rui 2017</t>
        </is>
      </c>
      <c r="C64" s="18" t="inlineStr">
        <is>
          <t>10.1016/j.apcatb.2017.06.069</t>
        </is>
      </c>
      <c r="D64" s="18" t="inlineStr">
        <is>
          <t>Pd-I/In2O3</t>
        </is>
      </c>
      <c r="E64" s="18" t="inlineStr">
        <is>
          <t>CH3OH selectivity</t>
        </is>
      </c>
      <c r="F64" s="18" t="inlineStr">
        <is>
          <t>72.7</t>
        </is>
      </c>
      <c r="G64" s="18" t="inlineStr">
        <is>
          <t>%</t>
        </is>
      </c>
      <c r="H64" s="18" t="inlineStr">
        <is>
          <t>SI Table S2</t>
        </is>
      </c>
      <c r="I64" s="19" t="inlineStr">
        <is>
          <t>D｜待原文或SI</t>
        </is>
      </c>
      <c r="J64" s="20" t="inlineStr">
        <is>
          <t>未取得可独立核对的原始行</t>
        </is>
      </c>
      <c r="K64" s="20" t="inlineStr">
        <is>
          <t>需打开对应 PDF/SI Table/Fig 并按催化剂+实验条件逐行确认</t>
        </is>
      </c>
      <c r="L64" s="17" t="inlineStr">
        <is>
          <t>https://doi.org/10.1016/j.apcatb.2017.06.069</t>
        </is>
      </c>
      <c r="M64" s="20" t="inlineStr">
        <is>
          <t>当前不能判 correct/rounding/wrong；不能用原抽取文本为自身背书</t>
        </is>
      </c>
      <c r="N64" s="20" t="inlineStr">
        <is>
          <t>未判定</t>
        </is>
      </c>
      <c r="O64" s="20" t="inlineStr">
        <is>
          <t>=</t>
        </is>
      </c>
      <c r="P64" s="20" t="inlineStr">
        <is>
          <t>高（需原文）</t>
        </is>
      </c>
      <c r="Q64" s="20" t="inlineStr">
        <is>
          <t>（未人工核对）</t>
        </is>
      </c>
      <c r="R64" s="20" t="inlineStr">
        <is>
          <t>独立检索证据；未填写人工核验栏</t>
        </is>
      </c>
    </row>
    <row r="65" ht="38" customHeight="1">
      <c r="A65" s="21" t="n">
        <v>64</v>
      </c>
      <c r="B65" s="22" t="inlineStr">
        <is>
          <t>Rui 2017</t>
        </is>
      </c>
      <c r="C65" s="22" t="inlineStr">
        <is>
          <t>10.1016/j.apcatb.2017.06.069</t>
        </is>
      </c>
      <c r="D65" s="22" t="inlineStr">
        <is>
          <t>Pd-I/In2O3</t>
        </is>
      </c>
      <c r="E65" s="22" t="inlineStr">
        <is>
          <t>pressure</t>
        </is>
      </c>
      <c r="F65" s="22" t="inlineStr">
        <is>
          <t>50</t>
        </is>
      </c>
      <c r="G65" s="22" t="inlineStr">
        <is>
          <t>bar</t>
        </is>
      </c>
      <c r="H65" s="22" t="inlineStr">
        <is>
          <t>SI Table S2</t>
        </is>
      </c>
      <c r="I65" s="19" t="inlineStr">
        <is>
          <t>D｜待原文或SI</t>
        </is>
      </c>
      <c r="J65" s="23" t="inlineStr">
        <is>
          <t>未取得可独立核对的原始行</t>
        </is>
      </c>
      <c r="K65" s="23" t="inlineStr">
        <is>
          <t>需打开对应 PDF/SI Table/Fig 并按催化剂+实验条件逐行确认</t>
        </is>
      </c>
      <c r="L65" s="21" t="inlineStr">
        <is>
          <t>https://doi.org/10.1016/j.apcatb.2017.06.069</t>
        </is>
      </c>
      <c r="M65" s="23" t="inlineStr">
        <is>
          <t>当前不能判 correct/rounding/wrong；不能用原抽取文本为自身背书</t>
        </is>
      </c>
      <c r="N65" s="23" t="inlineStr">
        <is>
          <t>未判定</t>
        </is>
      </c>
      <c r="O65" s="23" t="inlineStr">
        <is>
          <t>（工况字段无）</t>
        </is>
      </c>
      <c r="P65" s="23" t="inlineStr">
        <is>
          <t>中（需原文）</t>
        </is>
      </c>
      <c r="Q65" s="23" t="inlineStr">
        <is>
          <t>（未人工核对）</t>
        </is>
      </c>
      <c r="R65" s="23" t="inlineStr">
        <is>
          <t>独立检索证据；未填写人工核验栏</t>
        </is>
      </c>
    </row>
    <row r="66" ht="38" customHeight="1">
      <c r="A66" s="17" t="n">
        <v>65</v>
      </c>
      <c r="B66" s="18" t="inlineStr">
        <is>
          <t>Rui 2017</t>
        </is>
      </c>
      <c r="C66" s="18" t="inlineStr">
        <is>
          <t>10.1016/j.apcatb.2017.06.069</t>
        </is>
      </c>
      <c r="D66" s="18" t="inlineStr">
        <is>
          <t>Pd-I/In2O3</t>
        </is>
      </c>
      <c r="E66" s="18" t="inlineStr">
        <is>
          <t>temperature</t>
        </is>
      </c>
      <c r="F66" s="18" t="inlineStr">
        <is>
          <t>300</t>
        </is>
      </c>
      <c r="G66" s="18" t="inlineStr">
        <is>
          <t>°C (from K)</t>
        </is>
      </c>
      <c r="H66" s="18" t="inlineStr">
        <is>
          <t>SI Table S2</t>
        </is>
      </c>
      <c r="I66" s="19" t="inlineStr">
        <is>
          <t>D｜待原文或SI</t>
        </is>
      </c>
      <c r="J66" s="20" t="inlineStr">
        <is>
          <t>未取得可独立核对的原始行</t>
        </is>
      </c>
      <c r="K66" s="20" t="inlineStr">
        <is>
          <t>需打开对应 PDF/SI Table/Fig 并按催化剂+实验条件逐行确认</t>
        </is>
      </c>
      <c r="L66" s="17" t="inlineStr">
        <is>
          <t>https://doi.org/10.1016/j.apcatb.2017.06.069</t>
        </is>
      </c>
      <c r="M66" s="20" t="inlineStr">
        <is>
          <t>当前不能判 correct/rounding/wrong；不能用原抽取文本为自身背书</t>
        </is>
      </c>
      <c r="N66" s="20" t="inlineStr">
        <is>
          <t>未判定</t>
        </is>
      </c>
      <c r="O66" s="20" t="inlineStr">
        <is>
          <t>（工况字段无）</t>
        </is>
      </c>
      <c r="P66" s="20" t="inlineStr">
        <is>
          <t>中（需原文）</t>
        </is>
      </c>
      <c r="Q66" s="20" t="inlineStr">
        <is>
          <t>（未人工核对）</t>
        </is>
      </c>
      <c r="R66" s="20" t="inlineStr">
        <is>
          <t>独立检索证据；未填写人工核验栏</t>
        </is>
      </c>
    </row>
    <row r="67" ht="38" customHeight="1">
      <c r="A67" s="21" t="n">
        <v>66</v>
      </c>
      <c r="B67" s="22" t="inlineStr">
        <is>
          <t>Rui 2017</t>
        </is>
      </c>
      <c r="C67" s="22" t="inlineStr">
        <is>
          <t>10.1016/j.apcatb.2017.06.069</t>
        </is>
      </c>
      <c r="D67" s="22" t="inlineStr">
        <is>
          <t>Pd-I/In2O3</t>
        </is>
      </c>
      <c r="E67" s="22" t="inlineStr">
        <is>
          <t>CO2 conversion</t>
        </is>
      </c>
      <c r="F67" s="22" t="inlineStr">
        <is>
          <t>18.4</t>
        </is>
      </c>
      <c r="G67" s="22" t="inlineStr">
        <is>
          <t>%</t>
        </is>
      </c>
      <c r="H67" s="22" t="inlineStr">
        <is>
          <t>SI Table S2</t>
        </is>
      </c>
      <c r="I67" s="19" t="inlineStr">
        <is>
          <t>D｜待原文或SI</t>
        </is>
      </c>
      <c r="J67" s="23" t="inlineStr">
        <is>
          <t>未取得可独立核对的原始行</t>
        </is>
      </c>
      <c r="K67" s="23" t="inlineStr">
        <is>
          <t>需打开对应 PDF/SI Table/Fig 并按催化剂+实验条件逐行确认</t>
        </is>
      </c>
      <c r="L67" s="21" t="inlineStr">
        <is>
          <t>https://doi.org/10.1016/j.apcatb.2017.06.069</t>
        </is>
      </c>
      <c r="M67" s="23" t="inlineStr">
        <is>
          <t>当前不能判 correct/rounding/wrong；不能用原抽取文本为自身背书</t>
        </is>
      </c>
      <c r="N67" s="23" t="inlineStr">
        <is>
          <t>未判定</t>
        </is>
      </c>
      <c r="O67" s="23" t="inlineStr">
        <is>
          <t>=</t>
        </is>
      </c>
      <c r="P67" s="23" t="inlineStr">
        <is>
          <t>高（需原文）</t>
        </is>
      </c>
      <c r="Q67" s="23" t="inlineStr">
        <is>
          <t>（未人工核对）</t>
        </is>
      </c>
      <c r="R67" s="23" t="inlineStr">
        <is>
          <t>独立检索证据；未填写人工核验栏</t>
        </is>
      </c>
    </row>
    <row r="68" ht="38" customHeight="1">
      <c r="A68" s="17" t="n">
        <v>67</v>
      </c>
      <c r="B68" s="18" t="inlineStr">
        <is>
          <t>Rui 2017</t>
        </is>
      </c>
      <c r="C68" s="18" t="inlineStr">
        <is>
          <t>10.1016/j.apcatb.2017.06.069</t>
        </is>
      </c>
      <c r="D68" s="18" t="inlineStr">
        <is>
          <t>In2O3</t>
        </is>
      </c>
      <c r="E68" s="18" t="inlineStr">
        <is>
          <t>pressure</t>
        </is>
      </c>
      <c r="F68" s="18" t="inlineStr">
        <is>
          <t>50</t>
        </is>
      </c>
      <c r="G68" s="18" t="inlineStr">
        <is>
          <t>bar</t>
        </is>
      </c>
      <c r="H68" s="18" t="inlineStr">
        <is>
          <t>SI Table S1</t>
        </is>
      </c>
      <c r="I68" s="19" t="inlineStr">
        <is>
          <t>D｜待原文或SI</t>
        </is>
      </c>
      <c r="J68" s="20" t="inlineStr">
        <is>
          <t>未取得可独立核对的原始行</t>
        </is>
      </c>
      <c r="K68" s="20" t="inlineStr">
        <is>
          <t>需打开对应 PDF/SI Table/Fig 并按催化剂+实验条件逐行确认</t>
        </is>
      </c>
      <c r="L68" s="17" t="inlineStr">
        <is>
          <t>https://doi.org/10.1016/j.apcatb.2017.06.069</t>
        </is>
      </c>
      <c r="M68" s="20" t="inlineStr">
        <is>
          <t>当前不能判 correct/rounding/wrong；不能用原抽取文本为自身背书</t>
        </is>
      </c>
      <c r="N68" s="20" t="inlineStr">
        <is>
          <t>未判定</t>
        </is>
      </c>
      <c r="O68" s="20" t="inlineStr">
        <is>
          <t>（工况字段无）</t>
        </is>
      </c>
      <c r="P68" s="20" t="inlineStr">
        <is>
          <t>中（需原文）</t>
        </is>
      </c>
      <c r="Q68" s="20" t="inlineStr">
        <is>
          <t>（未人工核对）</t>
        </is>
      </c>
      <c r="R68" s="20" t="inlineStr">
        <is>
          <t>独立检索证据；未填写人工核验栏</t>
        </is>
      </c>
    </row>
    <row r="69" ht="38" customHeight="1">
      <c r="A69" s="21" t="n">
        <v>68</v>
      </c>
      <c r="B69" s="22" t="inlineStr">
        <is>
          <t>Rui 2017</t>
        </is>
      </c>
      <c r="C69" s="22" t="inlineStr">
        <is>
          <t>10.1016/j.apcatb.2017.06.069</t>
        </is>
      </c>
      <c r="D69" s="22" t="inlineStr">
        <is>
          <t>Pd-I/In2O3</t>
        </is>
      </c>
      <c r="E69" s="22" t="inlineStr">
        <is>
          <t>H2/CO2</t>
        </is>
      </c>
      <c r="F69" s="22" t="inlineStr">
        <is>
          <t>4</t>
        </is>
      </c>
      <c r="G69" s="22" t="inlineStr">
        <is>
          <t>mol/mol</t>
        </is>
      </c>
      <c r="H69" s="22" t="inlineStr">
        <is>
          <t>SI Table S2</t>
        </is>
      </c>
      <c r="I69" s="19" t="inlineStr">
        <is>
          <t>D｜待原文或SI</t>
        </is>
      </c>
      <c r="J69" s="23" t="inlineStr">
        <is>
          <t>未取得可独立核对的原始行</t>
        </is>
      </c>
      <c r="K69" s="23" t="inlineStr">
        <is>
          <t>需打开对应 PDF/SI Table/Fig 并按催化剂+实验条件逐行确认</t>
        </is>
      </c>
      <c r="L69" s="21" t="inlineStr">
        <is>
          <t>https://doi.org/10.1016/j.apcatb.2017.06.069</t>
        </is>
      </c>
      <c r="M69" s="23" t="inlineStr">
        <is>
          <t>当前不能判 correct/rounding/wrong；不能用原抽取文本为自身背书</t>
        </is>
      </c>
      <c r="N69" s="23" t="inlineStr">
        <is>
          <t>未判定</t>
        </is>
      </c>
      <c r="O69" s="23" t="inlineStr">
        <is>
          <t>（工况字段无）</t>
        </is>
      </c>
      <c r="P69" s="23" t="inlineStr">
        <is>
          <t>中（需原文）</t>
        </is>
      </c>
      <c r="Q69" s="23" t="inlineStr">
        <is>
          <t>（未人工核对）</t>
        </is>
      </c>
      <c r="R69" s="23" t="inlineStr">
        <is>
          <t>独立检索证据；未填写人工核验栏</t>
        </is>
      </c>
    </row>
    <row r="70" ht="38" customHeight="1">
      <c r="A70" s="17" t="n">
        <v>69</v>
      </c>
      <c r="B70" s="18" t="inlineStr">
        <is>
          <t>Rui 2017</t>
        </is>
      </c>
      <c r="C70" s="18" t="inlineStr">
        <is>
          <t>10.1016/j.apcatb.2017.06.069</t>
        </is>
      </c>
      <c r="D70" s="18" t="inlineStr">
        <is>
          <t>In2O3</t>
        </is>
      </c>
      <c r="E70" s="18" t="inlineStr">
        <is>
          <t>H2/CO2</t>
        </is>
      </c>
      <c r="F70" s="18" t="inlineStr">
        <is>
          <t>4</t>
        </is>
      </c>
      <c r="G70" s="18" t="inlineStr">
        <is>
          <t>mol/mol</t>
        </is>
      </c>
      <c r="H70" s="18" t="inlineStr">
        <is>
          <t>SI Table S1</t>
        </is>
      </c>
      <c r="I70" s="19" t="inlineStr">
        <is>
          <t>D｜待原文或SI</t>
        </is>
      </c>
      <c r="J70" s="20" t="inlineStr">
        <is>
          <t>未取得可独立核对的原始行</t>
        </is>
      </c>
      <c r="K70" s="20" t="inlineStr">
        <is>
          <t>需打开对应 PDF/SI Table/Fig 并按催化剂+实验条件逐行确认</t>
        </is>
      </c>
      <c r="L70" s="17" t="inlineStr">
        <is>
          <t>https://doi.org/10.1016/j.apcatb.2017.06.069</t>
        </is>
      </c>
      <c r="M70" s="20" t="inlineStr">
        <is>
          <t>当前不能判 correct/rounding/wrong；不能用原抽取文本为自身背书</t>
        </is>
      </c>
      <c r="N70" s="20" t="inlineStr">
        <is>
          <t>未判定</t>
        </is>
      </c>
      <c r="O70" s="20" t="inlineStr">
        <is>
          <t>（工况字段无）</t>
        </is>
      </c>
      <c r="P70" s="20" t="inlineStr">
        <is>
          <t>中（需原文）</t>
        </is>
      </c>
      <c r="Q70" s="20" t="inlineStr">
        <is>
          <t>（未人工核对）</t>
        </is>
      </c>
      <c r="R70" s="20" t="inlineStr">
        <is>
          <t>独立检索证据；未填写人工核验栏</t>
        </is>
      </c>
    </row>
    <row r="71" ht="38" customHeight="1">
      <c r="A71" s="21" t="n">
        <v>70</v>
      </c>
      <c r="B71" s="22" t="inlineStr">
        <is>
          <t>Rui 2017</t>
        </is>
      </c>
      <c r="C71" s="22" t="inlineStr">
        <is>
          <t>10.1016/j.apcatb.2017.06.069</t>
        </is>
      </c>
      <c r="D71" s="22" t="inlineStr">
        <is>
          <t>In2O3</t>
        </is>
      </c>
      <c r="E71" s="22" t="inlineStr">
        <is>
          <t>CH3OH selectivity</t>
        </is>
      </c>
      <c r="F71" s="22" t="inlineStr">
        <is>
          <t>71.2</t>
        </is>
      </c>
      <c r="G71" s="22" t="inlineStr">
        <is>
          <t>%</t>
        </is>
      </c>
      <c r="H71" s="22" t="inlineStr">
        <is>
          <t>SI Table S1</t>
        </is>
      </c>
      <c r="I71" s="19" t="inlineStr">
        <is>
          <t>D｜待原文或SI</t>
        </is>
      </c>
      <c r="J71" s="23" t="inlineStr">
        <is>
          <t>未取得可独立核对的原始行</t>
        </is>
      </c>
      <c r="K71" s="23" t="inlineStr">
        <is>
          <t>需打开对应 PDF/SI Table/Fig 并按催化剂+实验条件逐行确认</t>
        </is>
      </c>
      <c r="L71" s="21" t="inlineStr">
        <is>
          <t>https://doi.org/10.1016/j.apcatb.2017.06.069</t>
        </is>
      </c>
      <c r="M71" s="23" t="inlineStr">
        <is>
          <t>当前不能判 correct/rounding/wrong；不能用原抽取文本为自身背书</t>
        </is>
      </c>
      <c r="N71" s="23" t="inlineStr">
        <is>
          <t>未判定</t>
        </is>
      </c>
      <c r="O71" s="23" t="inlineStr">
        <is>
          <t>=</t>
        </is>
      </c>
      <c r="P71" s="23" t="inlineStr">
        <is>
          <t>高（需原文）</t>
        </is>
      </c>
      <c r="Q71" s="23" t="inlineStr">
        <is>
          <t>（未人工核对）</t>
        </is>
      </c>
      <c r="R71" s="23" t="inlineStr">
        <is>
          <t>独立检索证据；未填写人工核验栏</t>
        </is>
      </c>
    </row>
    <row r="72" ht="38" customHeight="1">
      <c r="A72" s="17" t="n">
        <v>71</v>
      </c>
      <c r="B72" s="18" t="inlineStr">
        <is>
          <t>Energy Technol 2018</t>
        </is>
      </c>
      <c r="C72" s="18" t="inlineStr">
        <is>
          <t>10.1002/ente.201800747</t>
        </is>
      </c>
      <c r="D72" s="18" t="inlineStr">
        <is>
          <t>Cat-1.5</t>
        </is>
      </c>
      <c r="E72" s="18" t="inlineStr">
        <is>
          <t>STY (printed)</t>
        </is>
      </c>
      <c r="F72" s="18" t="inlineStr">
        <is>
          <t>0.074 gMeOH gcat-1 h-1</t>
        </is>
      </c>
      <c r="G72" s="18" t="inlineStr">
        <is>
          <t>as printed</t>
        </is>
      </c>
      <c r="H72" s="18" t="inlineStr">
        <is>
          <t>SI Table S1</t>
        </is>
      </c>
      <c r="I72" s="19" t="inlineStr">
        <is>
          <t>D｜待原文或SI</t>
        </is>
      </c>
      <c r="J72" s="20" t="inlineStr">
        <is>
          <t>未取得可独立核对的原始行</t>
        </is>
      </c>
      <c r="K72" s="20" t="inlineStr">
        <is>
          <t>需打开对应 PDF/SI Table/Fig 并按催化剂+实验条件逐行确认</t>
        </is>
      </c>
      <c r="L72" s="17" t="inlineStr">
        <is>
          <t>https://doi.org/10.1002/ente.201800747</t>
        </is>
      </c>
      <c r="M72" s="20" t="inlineStr">
        <is>
          <t>当前不能判 correct/rounding/wrong；不能用原抽取文本为自身背书</t>
        </is>
      </c>
      <c r="N72" s="20" t="inlineStr">
        <is>
          <t>未判定</t>
        </is>
      </c>
      <c r="O72" s="20" t="inlineStr">
        <is>
          <t>=</t>
        </is>
      </c>
      <c r="P72" s="20" t="inlineStr">
        <is>
          <t>高（需原文）</t>
        </is>
      </c>
      <c r="Q72" s="20" t="inlineStr">
        <is>
          <t>（未人工核对）</t>
        </is>
      </c>
      <c r="R72" s="20" t="inlineStr">
        <is>
          <t>独立检索证据；未填写人工核验栏</t>
        </is>
      </c>
    </row>
    <row r="73" ht="38" customHeight="1">
      <c r="A73" s="21" t="n">
        <v>72</v>
      </c>
      <c r="B73" s="22" t="inlineStr">
        <is>
          <t>Energy Technol 2018</t>
        </is>
      </c>
      <c r="C73" s="22" t="inlineStr">
        <is>
          <t>10.1002/ente.201800747</t>
        </is>
      </c>
      <c r="D73" s="22" t="inlineStr">
        <is>
          <t>H-In2O3/Al2O3</t>
        </is>
      </c>
      <c r="E73" s="22" t="inlineStr">
        <is>
          <t>pressure</t>
        </is>
      </c>
      <c r="F73" s="22" t="inlineStr">
        <is>
          <t>40</t>
        </is>
      </c>
      <c r="G73" s="22" t="inlineStr">
        <is>
          <t>bar</t>
        </is>
      </c>
      <c r="H73" s="22" t="inlineStr">
        <is>
          <t>SI Table S1</t>
        </is>
      </c>
      <c r="I73" s="19" t="inlineStr">
        <is>
          <t>D｜待原文或SI</t>
        </is>
      </c>
      <c r="J73" s="23" t="inlineStr">
        <is>
          <t>未取得可独立核对的原始行</t>
        </is>
      </c>
      <c r="K73" s="23" t="inlineStr">
        <is>
          <t>需打开对应 PDF/SI Table/Fig 并按催化剂+实验条件逐行确认</t>
        </is>
      </c>
      <c r="L73" s="21" t="inlineStr">
        <is>
          <t>https://doi.org/10.1002/ente.201800747</t>
        </is>
      </c>
      <c r="M73" s="23" t="inlineStr">
        <is>
          <t>当前不能判 correct/rounding/wrong；不能用原抽取文本为自身背书</t>
        </is>
      </c>
      <c r="N73" s="23" t="inlineStr">
        <is>
          <t>未判定</t>
        </is>
      </c>
      <c r="O73" s="23" t="inlineStr">
        <is>
          <t>（工况字段无）</t>
        </is>
      </c>
      <c r="P73" s="23" t="inlineStr">
        <is>
          <t>中（需原文）</t>
        </is>
      </c>
      <c r="Q73" s="23" t="inlineStr">
        <is>
          <t>（未人工核对）</t>
        </is>
      </c>
      <c r="R73" s="23" t="inlineStr">
        <is>
          <t>独立检索证据；未填写人工核验栏</t>
        </is>
      </c>
    </row>
    <row r="74" ht="38" customHeight="1">
      <c r="A74" s="17" t="n">
        <v>73</v>
      </c>
      <c r="B74" s="18" t="inlineStr">
        <is>
          <t>Energy Technol 2018</t>
        </is>
      </c>
      <c r="C74" s="18" t="inlineStr">
        <is>
          <t>10.1002/ente.201800747</t>
        </is>
      </c>
      <c r="D74" s="18" t="inlineStr">
        <is>
          <t>Cat-4.5</t>
        </is>
      </c>
      <c r="E74" s="18" t="inlineStr">
        <is>
          <t>pressure</t>
        </is>
      </c>
      <c r="F74" s="18" t="inlineStr">
        <is>
          <t>40</t>
        </is>
      </c>
      <c r="G74" s="18" t="inlineStr">
        <is>
          <t>bar</t>
        </is>
      </c>
      <c r="H74" s="18" t="inlineStr">
        <is>
          <t>Figure 4c and text in Section 2.2</t>
        </is>
      </c>
      <c r="I74" s="19" t="inlineStr">
        <is>
          <t>D｜待原文或SI</t>
        </is>
      </c>
      <c r="J74" s="20" t="inlineStr">
        <is>
          <t>未取得可独立核对的原始行</t>
        </is>
      </c>
      <c r="K74" s="20" t="inlineStr">
        <is>
          <t>需打开对应 PDF/SI Table/Fig 并按催化剂+实验条件逐行确认</t>
        </is>
      </c>
      <c r="L74" s="17" t="inlineStr">
        <is>
          <t>https://doi.org/10.1002/ente.201800747</t>
        </is>
      </c>
      <c r="M74" s="20" t="inlineStr">
        <is>
          <t>当前不能判 correct/rounding/wrong；不能用原抽取文本为自身背书</t>
        </is>
      </c>
      <c r="N74" s="20" t="inlineStr">
        <is>
          <t>未判定</t>
        </is>
      </c>
      <c r="O74" s="20" t="inlineStr">
        <is>
          <t>（工况字段无）</t>
        </is>
      </c>
      <c r="P74" s="20" t="inlineStr">
        <is>
          <t>中（需原文）</t>
        </is>
      </c>
      <c r="Q74" s="20" t="inlineStr">
        <is>
          <t>（未人工核对）</t>
        </is>
      </c>
      <c r="R74" s="20" t="inlineStr">
        <is>
          <t>独立检索证据；未填写人工核验栏</t>
        </is>
      </c>
    </row>
    <row r="75" ht="38" customHeight="1">
      <c r="A75" s="21" t="n">
        <v>74</v>
      </c>
      <c r="B75" s="22" t="inlineStr">
        <is>
          <t>Energy Technol 2018</t>
        </is>
      </c>
      <c r="C75" s="22" t="inlineStr">
        <is>
          <t>10.1002/ente.201800747</t>
        </is>
      </c>
      <c r="D75" s="22" t="inlineStr">
        <is>
          <t>H-In2O3/Al2O3</t>
        </is>
      </c>
      <c r="E75" s="22" t="inlineStr">
        <is>
          <t>STY (printed)</t>
        </is>
      </c>
      <c r="F75" s="22" t="inlineStr">
        <is>
          <t>0.109 gMeOH gcat-1 h-1</t>
        </is>
      </c>
      <c r="G75" s="22" t="inlineStr">
        <is>
          <t>as printed</t>
        </is>
      </c>
      <c r="H75" s="22" t="inlineStr">
        <is>
          <t>SI Table S1</t>
        </is>
      </c>
      <c r="I75" s="19" t="inlineStr">
        <is>
          <t>D｜待原文或SI</t>
        </is>
      </c>
      <c r="J75" s="23" t="inlineStr">
        <is>
          <t>未取得可独立核对的原始行</t>
        </is>
      </c>
      <c r="K75" s="23" t="inlineStr">
        <is>
          <t>需打开对应 PDF/SI Table/Fig 并按催化剂+实验条件逐行确认</t>
        </is>
      </c>
      <c r="L75" s="21" t="inlineStr">
        <is>
          <t>https://doi.org/10.1002/ente.201800747</t>
        </is>
      </c>
      <c r="M75" s="23" t="inlineStr">
        <is>
          <t>当前不能判 correct/rounding/wrong；不能用原抽取文本为自身背书</t>
        </is>
      </c>
      <c r="N75" s="23" t="inlineStr">
        <is>
          <t>未判定</t>
        </is>
      </c>
      <c r="O75" s="23" t="inlineStr">
        <is>
          <t>=</t>
        </is>
      </c>
      <c r="P75" s="23" t="inlineStr">
        <is>
          <t>高（需原文）</t>
        </is>
      </c>
      <c r="Q75" s="23" t="inlineStr">
        <is>
          <t>（未人工核对）</t>
        </is>
      </c>
      <c r="R75" s="23" t="inlineStr">
        <is>
          <t>独立检索证据；未填写人工核验栏</t>
        </is>
      </c>
    </row>
    <row r="76" ht="38" customHeight="1">
      <c r="A76" s="17" t="n">
        <v>75</v>
      </c>
      <c r="B76" s="18" t="inlineStr">
        <is>
          <t>Energy Technol 2018</t>
        </is>
      </c>
      <c r="C76" s="18" t="inlineStr">
        <is>
          <t>10.1002/ente.201800747</t>
        </is>
      </c>
      <c r="D76" s="18" t="inlineStr">
        <is>
          <t>H-In2O3/Al2O3</t>
        </is>
      </c>
      <c r="E76" s="18" t="inlineStr">
        <is>
          <t>CO selectivity</t>
        </is>
      </c>
      <c r="F76" s="18" t="inlineStr">
        <is>
          <t>6.8</t>
        </is>
      </c>
      <c r="G76" s="18" t="inlineStr">
        <is>
          <t>%</t>
        </is>
      </c>
      <c r="H76" s="18" t="inlineStr">
        <is>
          <t>SI Table S1</t>
        </is>
      </c>
      <c r="I76" s="19" t="inlineStr">
        <is>
          <t>D｜待原文或SI</t>
        </is>
      </c>
      <c r="J76" s="20" t="inlineStr">
        <is>
          <t>未取得可独立核对的原始行</t>
        </is>
      </c>
      <c r="K76" s="20" t="inlineStr">
        <is>
          <t>需打开对应 PDF/SI Table/Fig 并按催化剂+实验条件逐行确认</t>
        </is>
      </c>
      <c r="L76" s="17" t="inlineStr">
        <is>
          <t>https://doi.org/10.1002/ente.201800747</t>
        </is>
      </c>
      <c r="M76" s="20" t="inlineStr">
        <is>
          <t>当前不能判 correct/rounding/wrong；不能用原抽取文本为自身背书</t>
        </is>
      </c>
      <c r="N76" s="20" t="inlineStr">
        <is>
          <t>未判定</t>
        </is>
      </c>
      <c r="O76" s="20" t="inlineStr">
        <is>
          <t>=</t>
        </is>
      </c>
      <c r="P76" s="20" t="inlineStr">
        <is>
          <t>高（需原文）</t>
        </is>
      </c>
      <c r="Q76" s="20" t="inlineStr">
        <is>
          <t>（未人工核对）</t>
        </is>
      </c>
      <c r="R76" s="20" t="inlineStr">
        <is>
          <t>独立检索证据；未填写人工核验栏</t>
        </is>
      </c>
    </row>
    <row r="77" ht="38" customHeight="1">
      <c r="A77" s="21" t="n">
        <v>76</v>
      </c>
      <c r="B77" s="22" t="inlineStr">
        <is>
          <t>Energy Technol 2018</t>
        </is>
      </c>
      <c r="C77" s="22" t="inlineStr">
        <is>
          <t>10.1002/ente.201800747</t>
        </is>
      </c>
      <c r="D77" s="22" t="inlineStr">
        <is>
          <t>Cat-3.0</t>
        </is>
      </c>
      <c r="E77" s="22" t="inlineStr">
        <is>
          <t>CO2 conversion</t>
        </is>
      </c>
      <c r="F77" s="22" t="inlineStr">
        <is>
          <t>3.4</t>
        </is>
      </c>
      <c r="G77" s="22" t="inlineStr">
        <is>
          <t>%</t>
        </is>
      </c>
      <c r="H77" s="22" t="inlineStr">
        <is>
          <t>Figure 4c</t>
        </is>
      </c>
      <c r="I77" s="19" t="inlineStr">
        <is>
          <t>D｜待原文或SI</t>
        </is>
      </c>
      <c r="J77" s="23" t="inlineStr">
        <is>
          <t>未取得可独立核对的原始行</t>
        </is>
      </c>
      <c r="K77" s="23" t="inlineStr">
        <is>
          <t>需打开对应 PDF/SI Table/Fig 并按催化剂+实验条件逐行确认</t>
        </is>
      </c>
      <c r="L77" s="21" t="inlineStr">
        <is>
          <t>https://doi.org/10.1002/ente.201800747</t>
        </is>
      </c>
      <c r="M77" s="23" t="inlineStr">
        <is>
          <t>当前不能判 correct/rounding/wrong；不能用原抽取文本为自身背书</t>
        </is>
      </c>
      <c r="N77" s="23" t="inlineStr">
        <is>
          <t>未判定</t>
        </is>
      </c>
      <c r="O77" s="23" t="inlineStr">
        <is>
          <t>=</t>
        </is>
      </c>
      <c r="P77" s="23" t="inlineStr">
        <is>
          <t>高（需原文）</t>
        </is>
      </c>
      <c r="Q77" s="23" t="inlineStr">
        <is>
          <t>（未人工核对）</t>
        </is>
      </c>
      <c r="R77" s="23" t="inlineStr">
        <is>
          <t>独立检索证据；未填写人工核验栏</t>
        </is>
      </c>
    </row>
    <row r="78" ht="38" customHeight="1">
      <c r="A78" s="17" t="n">
        <v>77</v>
      </c>
      <c r="B78" s="18" t="inlineStr">
        <is>
          <t>Energy Technol 2018</t>
        </is>
      </c>
      <c r="C78" s="18" t="inlineStr">
        <is>
          <t>10.1002/ente.201800747</t>
        </is>
      </c>
      <c r="D78" s="18" t="inlineStr">
        <is>
          <t>Cat-4.5</t>
        </is>
      </c>
      <c r="E78" s="18" t="inlineStr">
        <is>
          <t>CH4 selectivity</t>
        </is>
      </c>
      <c r="F78" s="18" t="inlineStr">
        <is>
          <t>0</t>
        </is>
      </c>
      <c r="G78" s="18" t="inlineStr">
        <is>
          <t>%</t>
        </is>
      </c>
      <c r="H78" s="18" t="inlineStr">
        <is>
          <t>SI Table S1</t>
        </is>
      </c>
      <c r="I78" s="19" t="inlineStr">
        <is>
          <t>D｜待原文或SI</t>
        </is>
      </c>
      <c r="J78" s="20" t="inlineStr">
        <is>
          <t>未取得可独立核对的原始行</t>
        </is>
      </c>
      <c r="K78" s="20" t="inlineStr">
        <is>
          <t>需打开对应 PDF/SI Table/Fig 并按催化剂+实验条件逐行确认</t>
        </is>
      </c>
      <c r="L78" s="17" t="inlineStr">
        <is>
          <t>https://doi.org/10.1002/ente.201800747</t>
        </is>
      </c>
      <c r="M78" s="20" t="inlineStr">
        <is>
          <t>当前不能判 correct/rounding/wrong；不能用原抽取文本为自身背书</t>
        </is>
      </c>
      <c r="N78" s="20" t="inlineStr">
        <is>
          <t>未判定</t>
        </is>
      </c>
      <c r="O78" s="20" t="inlineStr">
        <is>
          <t>=</t>
        </is>
      </c>
      <c r="P78" s="20" t="inlineStr">
        <is>
          <t>高（需原文）</t>
        </is>
      </c>
      <c r="Q78" s="20" t="inlineStr">
        <is>
          <t>（未人工核对）</t>
        </is>
      </c>
      <c r="R78" s="20" t="inlineStr">
        <is>
          <t>独立检索证据；未填写人工核验栏</t>
        </is>
      </c>
    </row>
    <row r="79" ht="38" customHeight="1">
      <c r="A79" s="21" t="n">
        <v>78</v>
      </c>
      <c r="B79" s="22" t="inlineStr">
        <is>
          <t>Energy Technol 2018</t>
        </is>
      </c>
      <c r="C79" s="22" t="inlineStr">
        <is>
          <t>10.1002/ente.201800747</t>
        </is>
      </c>
      <c r="D79" s="22" t="inlineStr">
        <is>
          <t>Cat-4.5</t>
        </is>
      </c>
      <c r="E79" s="22" t="inlineStr">
        <is>
          <t>CH3OH selectivity</t>
        </is>
      </c>
      <c r="F79" s="22" t="inlineStr">
        <is>
          <t>91.6</t>
        </is>
      </c>
      <c r="G79" s="22" t="inlineStr">
        <is>
          <t>%</t>
        </is>
      </c>
      <c r="H79" s="22" t="inlineStr">
        <is>
          <t>SI Table S1</t>
        </is>
      </c>
      <c r="I79" s="19" t="inlineStr">
        <is>
          <t>D｜待原文或SI</t>
        </is>
      </c>
      <c r="J79" s="23" t="inlineStr">
        <is>
          <t>未取得可独立核对的原始行</t>
        </is>
      </c>
      <c r="K79" s="23" t="inlineStr">
        <is>
          <t>需打开对应 PDF/SI Table/Fig 并按催化剂+实验条件逐行确认</t>
        </is>
      </c>
      <c r="L79" s="21" t="inlineStr">
        <is>
          <t>https://doi.org/10.1002/ente.201800747</t>
        </is>
      </c>
      <c r="M79" s="23" t="inlineStr">
        <is>
          <t>当前不能判 correct/rounding/wrong；不能用原抽取文本为自身背书</t>
        </is>
      </c>
      <c r="N79" s="23" t="inlineStr">
        <is>
          <t>未判定</t>
        </is>
      </c>
      <c r="O79" s="23" t="inlineStr">
        <is>
          <t>=</t>
        </is>
      </c>
      <c r="P79" s="23" t="inlineStr">
        <is>
          <t>高（需原文）</t>
        </is>
      </c>
      <c r="Q79" s="23" t="inlineStr">
        <is>
          <t>（未人工核对）</t>
        </is>
      </c>
      <c r="R79" s="23" t="inlineStr">
        <is>
          <t>独立检索证据；未填写人工核验栏</t>
        </is>
      </c>
    </row>
    <row r="80" ht="38" customHeight="1">
      <c r="A80" s="17" t="n">
        <v>79</v>
      </c>
      <c r="B80" s="18" t="inlineStr">
        <is>
          <t>Energy Technol 2018</t>
        </is>
      </c>
      <c r="C80" s="18" t="inlineStr">
        <is>
          <t>10.1002/ente.201800747</t>
        </is>
      </c>
      <c r="D80" s="18" t="inlineStr">
        <is>
          <t>In2O3-IWI/Al2O3/Al-fiber</t>
        </is>
      </c>
      <c r="E80" s="18" t="inlineStr">
        <is>
          <t>H2/CO2</t>
        </is>
      </c>
      <c r="F80" s="18" t="inlineStr">
        <is>
          <t>3</t>
        </is>
      </c>
      <c r="G80" s="18" t="inlineStr">
        <is>
          <t>mol/mol</t>
        </is>
      </c>
      <c r="H80" s="18" t="inlineStr">
        <is>
          <t>SI Table S1</t>
        </is>
      </c>
      <c r="I80" s="19" t="inlineStr">
        <is>
          <t>D｜待原文或SI</t>
        </is>
      </c>
      <c r="J80" s="20" t="inlineStr">
        <is>
          <t>未取得可独立核对的原始行</t>
        </is>
      </c>
      <c r="K80" s="20" t="inlineStr">
        <is>
          <t>需打开对应 PDF/SI Table/Fig 并按催化剂+实验条件逐行确认</t>
        </is>
      </c>
      <c r="L80" s="17" t="inlineStr">
        <is>
          <t>https://doi.org/10.1002/ente.201800747</t>
        </is>
      </c>
      <c r="M80" s="20" t="inlineStr">
        <is>
          <t>当前不能判 correct/rounding/wrong；不能用原抽取文本为自身背书</t>
        </is>
      </c>
      <c r="N80" s="20" t="inlineStr">
        <is>
          <t>未判定</t>
        </is>
      </c>
      <c r="O80" s="20" t="inlineStr">
        <is>
          <t>（工况字段无）</t>
        </is>
      </c>
      <c r="P80" s="20" t="inlineStr">
        <is>
          <t>中（需原文）</t>
        </is>
      </c>
      <c r="Q80" s="20" t="inlineStr">
        <is>
          <t>（未人工核对）</t>
        </is>
      </c>
      <c r="R80" s="20" t="inlineStr">
        <is>
          <t>独立检索证据；未填写人工核验栏</t>
        </is>
      </c>
    </row>
    <row r="81" ht="38" customHeight="1">
      <c r="A81" s="21" t="n">
        <v>80</v>
      </c>
      <c r="B81" s="22" t="inlineStr">
        <is>
          <t>Energy Technol 2018</t>
        </is>
      </c>
      <c r="C81" s="22" t="inlineStr">
        <is>
          <t>10.1002/ente.201800747</t>
        </is>
      </c>
      <c r="D81" s="22" t="inlineStr">
        <is>
          <t>H-In2O3/Al2O3</t>
        </is>
      </c>
      <c r="E81" s="22" t="inlineStr">
        <is>
          <t>STY (printed)</t>
        </is>
      </c>
      <c r="F81" s="22" t="inlineStr">
        <is>
          <t>0.051 gMeOH gcat-1 h-1</t>
        </is>
      </c>
      <c r="G81" s="22" t="inlineStr">
        <is>
          <t>as printed</t>
        </is>
      </c>
      <c r="H81" s="22" t="inlineStr">
        <is>
          <t>SI Table S1</t>
        </is>
      </c>
      <c r="I81" s="19" t="inlineStr">
        <is>
          <t>D｜待原文或SI</t>
        </is>
      </c>
      <c r="J81" s="23" t="inlineStr">
        <is>
          <t>未取得可独立核对的原始行</t>
        </is>
      </c>
      <c r="K81" s="23" t="inlineStr">
        <is>
          <t>需打开对应 PDF/SI Table/Fig 并按催化剂+实验条件逐行确认</t>
        </is>
      </c>
      <c r="L81" s="21" t="inlineStr">
        <is>
          <t>https://doi.org/10.1002/ente.201800747</t>
        </is>
      </c>
      <c r="M81" s="23" t="inlineStr">
        <is>
          <t>当前不能判 correct/rounding/wrong；不能用原抽取文本为自身背书</t>
        </is>
      </c>
      <c r="N81" s="23" t="inlineStr">
        <is>
          <t>未判定</t>
        </is>
      </c>
      <c r="O81" s="23" t="inlineStr">
        <is>
          <t>=</t>
        </is>
      </c>
      <c r="P81" s="23" t="inlineStr">
        <is>
          <t>高（需原文）</t>
        </is>
      </c>
      <c r="Q81" s="23" t="inlineStr">
        <is>
          <t>（未人工核对）</t>
        </is>
      </c>
      <c r="R81" s="23" t="inlineStr">
        <is>
          <t>独立检索证据；未填写人工核验栏</t>
        </is>
      </c>
    </row>
    <row r="82" ht="38" customHeight="1">
      <c r="A82" s="17" t="n">
        <v>81</v>
      </c>
      <c r="B82" s="18" t="inlineStr">
        <is>
          <t>Ruiz Esquius 2020</t>
        </is>
      </c>
      <c r="C82" s="18" t="inlineStr">
        <is>
          <t>10.1002/cctc.202000974</t>
        </is>
      </c>
      <c r="D82" s="18" t="inlineStr">
        <is>
          <t>TiO2</t>
        </is>
      </c>
      <c r="E82" s="18" t="inlineStr">
        <is>
          <t>CH4 selectivity</t>
        </is>
      </c>
      <c r="F82" s="18" t="inlineStr">
        <is>
          <t>0</t>
        </is>
      </c>
      <c r="G82" s="18" t="inlineStr">
        <is>
          <t>%</t>
        </is>
      </c>
      <c r="H82" s="18" t="inlineStr">
        <is>
          <t>SI Table S3</t>
        </is>
      </c>
      <c r="I82" s="19" t="inlineStr">
        <is>
          <t>D｜待原文或SI</t>
        </is>
      </c>
      <c r="J82" s="20" t="inlineStr">
        <is>
          <t>未取得可独立核对的原始行</t>
        </is>
      </c>
      <c r="K82" s="20" t="inlineStr">
        <is>
          <t>需打开对应 PDF/SI Table/Fig 并按催化剂+实验条件逐行确认</t>
        </is>
      </c>
      <c r="L82" s="17" t="inlineStr">
        <is>
          <t>https://orca.cardiff.ac.uk/id/eprint/135088/</t>
        </is>
      </c>
      <c r="M82" s="20" t="inlineStr">
        <is>
          <t>当前不能判 correct/rounding/wrong；不能用原抽取文本为自身背书</t>
        </is>
      </c>
      <c r="N82" s="20" t="inlineStr">
        <is>
          <t>未判定</t>
        </is>
      </c>
      <c r="O82" s="20" t="inlineStr">
        <is>
          <t>=</t>
        </is>
      </c>
      <c r="P82" s="20" t="inlineStr">
        <is>
          <t>高（需原文）</t>
        </is>
      </c>
      <c r="Q82" s="20" t="inlineStr">
        <is>
          <t>（未人工核对）</t>
        </is>
      </c>
      <c r="R82" s="20" t="inlineStr">
        <is>
          <t>独立检索证据；未填写人工核验栏</t>
        </is>
      </c>
    </row>
    <row r="83" ht="38" customHeight="1">
      <c r="A83" s="21" t="n">
        <v>82</v>
      </c>
      <c r="B83" s="22" t="inlineStr">
        <is>
          <t>Ruiz Esquius 2020</t>
        </is>
      </c>
      <c r="C83" s="22" t="inlineStr">
        <is>
          <t>10.1002/cctc.202000974</t>
        </is>
      </c>
      <c r="D83" s="22" t="inlineStr">
        <is>
          <t>Pd/TiO2</t>
        </is>
      </c>
      <c r="E83" s="22" t="inlineStr">
        <is>
          <t>temperature</t>
        </is>
      </c>
      <c r="F83" s="22" t="inlineStr">
        <is>
          <t>225</t>
        </is>
      </c>
      <c r="G83" s="22" t="inlineStr">
        <is>
          <t>°C (from K)</t>
        </is>
      </c>
      <c r="H83" s="22" t="inlineStr">
        <is>
          <t>Table 1</t>
        </is>
      </c>
      <c r="I83" s="24" t="inlineStr">
        <is>
          <t>A｜逐项可核</t>
        </is>
      </c>
      <c r="J83" s="23" t="inlineStr">
        <is>
          <t>225 °C</t>
        </is>
      </c>
      <c r="K83" s="23" t="inlineStr">
        <is>
          <t>Ruiz Esquius 2020, Table 1, Pd/TiO₂, 225 °C</t>
        </is>
      </c>
      <c r="L83" s="21" t="inlineStr">
        <is>
          <t>https://orca.cardiff.ac.uk/id/eprint/135088/</t>
        </is>
      </c>
      <c r="M83" s="23" t="inlineStr">
        <is>
          <t>该行温度明确为225°C</t>
        </is>
      </c>
      <c r="N83" s="23" t="inlineStr">
        <is>
          <t>原文条件或等价换算</t>
        </is>
      </c>
      <c r="O83" s="23" t="inlineStr">
        <is>
          <t>（工况字段无）</t>
        </is>
      </c>
      <c r="P83" s="23" t="inlineStr">
        <is>
          <t>低（人工复签）</t>
        </is>
      </c>
      <c r="Q83" s="23" t="inlineStr">
        <is>
          <t>（未人工核对）</t>
        </is>
      </c>
      <c r="R83" s="23" t="inlineStr">
        <is>
          <t>独立检索证据；未填写人工核验栏</t>
        </is>
      </c>
    </row>
    <row r="84" ht="38" customHeight="1">
      <c r="A84" s="17" t="n">
        <v>83</v>
      </c>
      <c r="B84" s="18" t="inlineStr">
        <is>
          <t>Ruiz Esquius 2020</t>
        </is>
      </c>
      <c r="C84" s="18" t="inlineStr">
        <is>
          <t>10.1002/cctc.202000974</t>
        </is>
      </c>
      <c r="D84" s="18" t="inlineStr">
        <is>
          <t>ZnTiO3</t>
        </is>
      </c>
      <c r="E84" s="18" t="inlineStr">
        <is>
          <t>CO selectivity</t>
        </is>
      </c>
      <c r="F84" s="18" t="inlineStr">
        <is>
          <t>70</t>
        </is>
      </c>
      <c r="G84" s="18" t="inlineStr">
        <is>
          <t>%</t>
        </is>
      </c>
      <c r="H84" s="18" t="inlineStr">
        <is>
          <t>SI Table S3</t>
        </is>
      </c>
      <c r="I84" s="19" t="inlineStr">
        <is>
          <t>D｜待原文或SI</t>
        </is>
      </c>
      <c r="J84" s="20" t="inlineStr">
        <is>
          <t>未取得可独立核对的原始行</t>
        </is>
      </c>
      <c r="K84" s="20" t="inlineStr">
        <is>
          <t>需打开对应 PDF/SI Table/Fig 并按催化剂+实验条件逐行确认</t>
        </is>
      </c>
      <c r="L84" s="17" t="inlineStr">
        <is>
          <t>https://orca.cardiff.ac.uk/id/eprint/135088/</t>
        </is>
      </c>
      <c r="M84" s="20" t="inlineStr">
        <is>
          <t>当前不能判 correct/rounding/wrong；不能用原抽取文本为自身背书</t>
        </is>
      </c>
      <c r="N84" s="20" t="inlineStr">
        <is>
          <t>未判定</t>
        </is>
      </c>
      <c r="O84" s="20" t="inlineStr">
        <is>
          <t>=</t>
        </is>
      </c>
      <c r="P84" s="20" t="inlineStr">
        <is>
          <t>高（需原文）</t>
        </is>
      </c>
      <c r="Q84" s="20" t="inlineStr">
        <is>
          <t>（未人工核对）</t>
        </is>
      </c>
      <c r="R84" s="20" t="inlineStr">
        <is>
          <t>独立检索证据；未填写人工核验栏</t>
        </is>
      </c>
    </row>
    <row r="85" ht="38" customHeight="1">
      <c r="A85" s="21" t="n">
        <v>84</v>
      </c>
      <c r="B85" s="22" t="inlineStr">
        <is>
          <t>Ruiz Esquius 2020</t>
        </is>
      </c>
      <c r="C85" s="22" t="inlineStr">
        <is>
          <t>10.1002/cctc.202000974</t>
        </is>
      </c>
      <c r="D85" s="22" t="inlineStr">
        <is>
          <t>Pd/ZnO</t>
        </is>
      </c>
      <c r="E85" s="22" t="inlineStr">
        <is>
          <t>CH3OH selectivity</t>
        </is>
      </c>
      <c r="F85" s="22" t="inlineStr">
        <is>
          <t>69</t>
        </is>
      </c>
      <c r="G85" s="22" t="inlineStr">
        <is>
          <t>%</t>
        </is>
      </c>
      <c r="H85" s="22" t="inlineStr">
        <is>
          <t>Figure 1</t>
        </is>
      </c>
      <c r="I85" s="19" t="inlineStr">
        <is>
          <t>D｜待原文或SI</t>
        </is>
      </c>
      <c r="J85" s="23" t="inlineStr">
        <is>
          <t>未取得可独立核对的原始行</t>
        </is>
      </c>
      <c r="K85" s="23" t="inlineStr">
        <is>
          <t>需打开对应 PDF/SI Table/Fig 并按催化剂+实验条件逐行确认</t>
        </is>
      </c>
      <c r="L85" s="21" t="inlineStr">
        <is>
          <t>https://orca.cardiff.ac.uk/id/eprint/135088/</t>
        </is>
      </c>
      <c r="M85" s="23" t="inlineStr">
        <is>
          <t>当前不能判 correct/rounding/wrong；不能用原抽取文本为自身背书</t>
        </is>
      </c>
      <c r="N85" s="23" t="inlineStr">
        <is>
          <t>未判定</t>
        </is>
      </c>
      <c r="O85" s="23" t="inlineStr">
        <is>
          <t>=</t>
        </is>
      </c>
      <c r="P85" s="23" t="inlineStr">
        <is>
          <t>高（需原文）</t>
        </is>
      </c>
      <c r="Q85" s="23" t="inlineStr">
        <is>
          <t>（未人工核对）</t>
        </is>
      </c>
      <c r="R85" s="23" t="inlineStr">
        <is>
          <t>独立检索证据；未填写人工核验栏</t>
        </is>
      </c>
    </row>
    <row r="86" ht="38" customHeight="1">
      <c r="A86" s="17" t="n">
        <v>85</v>
      </c>
      <c r="B86" s="18" t="inlineStr">
        <is>
          <t>Ruiz Esquius 2020</t>
        </is>
      </c>
      <c r="C86" s="18" t="inlineStr">
        <is>
          <t>10.1002/cctc.202000974</t>
        </is>
      </c>
      <c r="D86" s="18" t="inlineStr">
        <is>
          <t>Pd/ZnTiO3</t>
        </is>
      </c>
      <c r="E86" s="18" t="inlineStr">
        <is>
          <t>H2/CO2</t>
        </is>
      </c>
      <c r="F86" s="18" t="inlineStr">
        <is>
          <t>3</t>
        </is>
      </c>
      <c r="G86" s="18" t="inlineStr">
        <is>
          <t>mol/mol</t>
        </is>
      </c>
      <c r="H86" s="18" t="inlineStr">
        <is>
          <t>SI Table S2</t>
        </is>
      </c>
      <c r="I86" s="26" t="inlineStr">
        <is>
          <t>C｜需修正规则/引文</t>
        </is>
      </c>
      <c r="J86" s="20" t="inlineStr">
        <is>
          <t>H₂/CO₂/N₂ = 60:20:20 vol%; H₂/CO₂ = 60/20 = 3</t>
        </is>
      </c>
      <c r="K86" s="20" t="inlineStr">
        <is>
          <t>Ruiz Esquius 2020, experimental feed composition</t>
        </is>
      </c>
      <c r="L86" s="17" t="inlineStr">
        <is>
          <t>https://orca.cardiff.ac.uk/id/eprint/135088/</t>
        </is>
      </c>
      <c r="M86" s="27" t="inlineStr">
        <is>
          <t>3是由进料组成推导，不是催化剂行所印的原始比值；实验进料还含20% N₂，工厂新鲜气组成假设与实验不同，需说明</t>
        </is>
      </c>
      <c r="N86" s="20" t="inlineStr">
        <is>
          <t>N-精确比值由进料组成推算</t>
        </is>
      </c>
      <c r="O86" s="20" t="inlineStr">
        <is>
          <t>（工况字段无）</t>
        </is>
      </c>
      <c r="P86" s="20" t="inlineStr">
        <is>
          <t>高（先修规则）</t>
        </is>
      </c>
      <c r="Q86" s="20" t="inlineStr">
        <is>
          <t>（未人工核对）</t>
        </is>
      </c>
      <c r="R86" s="20" t="inlineStr">
        <is>
          <t>独立检索证据；未填写人工核验栏</t>
        </is>
      </c>
    </row>
    <row r="87" ht="38" customHeight="1">
      <c r="A87" s="21" t="n">
        <v>86</v>
      </c>
      <c r="B87" s="22" t="inlineStr">
        <is>
          <t>Ruiz Esquius 2020</t>
        </is>
      </c>
      <c r="C87" s="22" t="inlineStr">
        <is>
          <t>10.1002/cctc.202000974</t>
        </is>
      </c>
      <c r="D87" s="22" t="inlineStr">
        <is>
          <t>Pd/TiO2</t>
        </is>
      </c>
      <c r="E87" s="22" t="inlineStr">
        <is>
          <t>CO selectivity</t>
        </is>
      </c>
      <c r="F87" s="22" t="inlineStr">
        <is>
          <t>91.4</t>
        </is>
      </c>
      <c r="G87" s="22" t="inlineStr">
        <is>
          <t>%</t>
        </is>
      </c>
      <c r="H87" s="22" t="inlineStr">
        <is>
          <t>SI Table S2</t>
        </is>
      </c>
      <c r="I87" s="19" t="inlineStr">
        <is>
          <t>D｜待原文或SI</t>
        </is>
      </c>
      <c r="J87" s="23" t="inlineStr">
        <is>
          <t>未取得可独立核对的原始行</t>
        </is>
      </c>
      <c r="K87" s="23" t="inlineStr">
        <is>
          <t>需打开对应 PDF/SI Table/Fig 并按催化剂+实验条件逐行确认</t>
        </is>
      </c>
      <c r="L87" s="21" t="inlineStr">
        <is>
          <t>https://orca.cardiff.ac.uk/id/eprint/135088/</t>
        </is>
      </c>
      <c r="M87" s="23" t="inlineStr">
        <is>
          <t>当前不能判 correct/rounding/wrong；不能用原抽取文本为自身背书</t>
        </is>
      </c>
      <c r="N87" s="23" t="inlineStr">
        <is>
          <t>未判定</t>
        </is>
      </c>
      <c r="O87" s="23" t="inlineStr">
        <is>
          <t>=</t>
        </is>
      </c>
      <c r="P87" s="23" t="inlineStr">
        <is>
          <t>高（需原文）</t>
        </is>
      </c>
      <c r="Q87" s="23" t="inlineStr">
        <is>
          <t>（未人工核对）</t>
        </is>
      </c>
      <c r="R87" s="23" t="inlineStr">
        <is>
          <t>独立检索证据；未填写人工核验栏</t>
        </is>
      </c>
    </row>
    <row r="88" ht="38" customHeight="1">
      <c r="A88" s="17" t="n">
        <v>87</v>
      </c>
      <c r="B88" s="18" t="inlineStr">
        <is>
          <t>Ruiz Esquius 2020</t>
        </is>
      </c>
      <c r="C88" s="18" t="inlineStr">
        <is>
          <t>10.1002/cctc.202000974</t>
        </is>
      </c>
      <c r="D88" s="18" t="inlineStr">
        <is>
          <t>TiO2</t>
        </is>
      </c>
      <c r="E88" s="18" t="inlineStr">
        <is>
          <t>temperature</t>
        </is>
      </c>
      <c r="F88" s="18" t="inlineStr">
        <is>
          <t>200</t>
        </is>
      </c>
      <c r="G88" s="18" t="inlineStr">
        <is>
          <t>°C (from K)</t>
        </is>
      </c>
      <c r="H88" s="18" t="inlineStr">
        <is>
          <t>SI Table S3</t>
        </is>
      </c>
      <c r="I88" s="19" t="inlineStr">
        <is>
          <t>D｜待原文或SI</t>
        </is>
      </c>
      <c r="J88" s="20" t="inlineStr">
        <is>
          <t>未取得可独立核对的原始行</t>
        </is>
      </c>
      <c r="K88" s="20" t="inlineStr">
        <is>
          <t>需打开对应 PDF/SI Table/Fig 并按催化剂+实验条件逐行确认</t>
        </is>
      </c>
      <c r="L88" s="17" t="inlineStr">
        <is>
          <t>https://orca.cardiff.ac.uk/id/eprint/135088/</t>
        </is>
      </c>
      <c r="M88" s="20" t="inlineStr">
        <is>
          <t>当前不能判 correct/rounding/wrong；不能用原抽取文本为自身背书</t>
        </is>
      </c>
      <c r="N88" s="20" t="inlineStr">
        <is>
          <t>未判定</t>
        </is>
      </c>
      <c r="O88" s="20" t="inlineStr">
        <is>
          <t>（工况字段无）</t>
        </is>
      </c>
      <c r="P88" s="20" t="inlineStr">
        <is>
          <t>中（需原文）</t>
        </is>
      </c>
      <c r="Q88" s="20" t="inlineStr">
        <is>
          <t>（未人工核对）</t>
        </is>
      </c>
      <c r="R88" s="20" t="inlineStr">
        <is>
          <t>独立检索证据；未填写人工核验栏</t>
        </is>
      </c>
    </row>
    <row r="89" ht="38" customHeight="1">
      <c r="A89" s="21" t="n">
        <v>88</v>
      </c>
      <c r="B89" s="22" t="inlineStr">
        <is>
          <t>Ruiz Esquius 2020</t>
        </is>
      </c>
      <c r="C89" s="22" t="inlineStr">
        <is>
          <t>10.1002/cctc.202000974</t>
        </is>
      </c>
      <c r="D89" s="22" t="inlineStr">
        <is>
          <t>ZnO</t>
        </is>
      </c>
      <c r="E89" s="22" t="inlineStr">
        <is>
          <t>CH4 selectivity</t>
        </is>
      </c>
      <c r="F89" s="22" t="inlineStr">
        <is>
          <t>0</t>
        </is>
      </c>
      <c r="G89" s="22" t="inlineStr">
        <is>
          <t>%</t>
        </is>
      </c>
      <c r="H89" s="22" t="inlineStr">
        <is>
          <t>SI Table S3</t>
        </is>
      </c>
      <c r="I89" s="19" t="inlineStr">
        <is>
          <t>D｜待原文或SI</t>
        </is>
      </c>
      <c r="J89" s="23" t="inlineStr">
        <is>
          <t>未取得可独立核对的原始行</t>
        </is>
      </c>
      <c r="K89" s="23" t="inlineStr">
        <is>
          <t>需打开对应 PDF/SI Table/Fig 并按催化剂+实验条件逐行确认</t>
        </is>
      </c>
      <c r="L89" s="21" t="inlineStr">
        <is>
          <t>https://orca.cardiff.ac.uk/id/eprint/135088/</t>
        </is>
      </c>
      <c r="M89" s="23" t="inlineStr">
        <is>
          <t>当前不能判 correct/rounding/wrong；不能用原抽取文本为自身背书</t>
        </is>
      </c>
      <c r="N89" s="23" t="inlineStr">
        <is>
          <t>未判定</t>
        </is>
      </c>
      <c r="O89" s="23" t="inlineStr">
        <is>
          <t>=</t>
        </is>
      </c>
      <c r="P89" s="23" t="inlineStr">
        <is>
          <t>高（需原文）</t>
        </is>
      </c>
      <c r="Q89" s="23" t="inlineStr">
        <is>
          <t>（未人工核对）</t>
        </is>
      </c>
      <c r="R89" s="23" t="inlineStr">
        <is>
          <t>独立检索证据；未填写人工核验栏</t>
        </is>
      </c>
    </row>
    <row r="90" ht="38" customHeight="1">
      <c r="A90" s="17" t="n">
        <v>89</v>
      </c>
      <c r="B90" s="18" t="inlineStr">
        <is>
          <t>Ruiz Esquius 2020</t>
        </is>
      </c>
      <c r="C90" s="18" t="inlineStr">
        <is>
          <t>10.1002/cctc.202000974</t>
        </is>
      </c>
      <c r="D90" s="18" t="inlineStr">
        <is>
          <t>physical mixture of Pd/ZnO and TiO2</t>
        </is>
      </c>
      <c r="E90" s="18" t="inlineStr">
        <is>
          <t>CO selectivity</t>
        </is>
      </c>
      <c r="F90" s="18" t="inlineStr">
        <is>
          <t>73.3</t>
        </is>
      </c>
      <c r="G90" s="18" t="inlineStr">
        <is>
          <t>%</t>
        </is>
      </c>
      <c r="H90" s="18" t="inlineStr">
        <is>
          <t>Results text</t>
        </is>
      </c>
      <c r="I90" s="19" t="inlineStr">
        <is>
          <t>D｜待原文或SI</t>
        </is>
      </c>
      <c r="J90" s="20" t="inlineStr">
        <is>
          <t>未取得可独立核对的原始行</t>
        </is>
      </c>
      <c r="K90" s="20" t="inlineStr">
        <is>
          <t>需打开对应 PDF/SI Table/Fig 并按催化剂+实验条件逐行确认</t>
        </is>
      </c>
      <c r="L90" s="17" t="inlineStr">
        <is>
          <t>https://orca.cardiff.ac.uk/id/eprint/135088/</t>
        </is>
      </c>
      <c r="M90" s="20" t="inlineStr">
        <is>
          <t>当前不能判 correct/rounding/wrong；不能用原抽取文本为自身背书</t>
        </is>
      </c>
      <c r="N90" s="20" t="inlineStr">
        <is>
          <t>未判定</t>
        </is>
      </c>
      <c r="O90" s="20" t="inlineStr">
        <is>
          <t>=</t>
        </is>
      </c>
      <c r="P90" s="20" t="inlineStr">
        <is>
          <t>高（需原文）</t>
        </is>
      </c>
      <c r="Q90" s="20" t="inlineStr">
        <is>
          <t>（未人工核对）</t>
        </is>
      </c>
      <c r="R90" s="20" t="inlineStr">
        <is>
          <t>独立检索证据；未填写人工核验栏</t>
        </is>
      </c>
    </row>
    <row r="91" ht="38" customHeight="1">
      <c r="A91" s="21" t="n">
        <v>90</v>
      </c>
      <c r="B91" s="22" t="inlineStr">
        <is>
          <t>Ruiz Esquius 2020</t>
        </is>
      </c>
      <c r="C91" s="22" t="inlineStr">
        <is>
          <t>10.1002/cctc.202000974</t>
        </is>
      </c>
      <c r="D91" s="22" t="inlineStr">
        <is>
          <t>Pd/ZnO</t>
        </is>
      </c>
      <c r="E91" s="22" t="inlineStr">
        <is>
          <t>H2/CO2</t>
        </is>
      </c>
      <c r="F91" s="22" t="inlineStr">
        <is>
          <t>3</t>
        </is>
      </c>
      <c r="G91" s="22" t="inlineStr">
        <is>
          <t>mol/mol</t>
        </is>
      </c>
      <c r="H91" s="22" t="inlineStr">
        <is>
          <t>Table 1</t>
        </is>
      </c>
      <c r="I91" s="26" t="inlineStr">
        <is>
          <t>C｜需修正规则/引文</t>
        </is>
      </c>
      <c r="J91" s="23" t="inlineStr">
        <is>
          <t>H₂/CO₂/N₂ = 60:20:20 vol%; H₂/CO₂ = 60/20 = 3</t>
        </is>
      </c>
      <c r="K91" s="23" t="inlineStr">
        <is>
          <t>Ruiz Esquius 2020, experimental feed composition</t>
        </is>
      </c>
      <c r="L91" s="21" t="inlineStr">
        <is>
          <t>https://orca.cardiff.ac.uk/id/eprint/135088/</t>
        </is>
      </c>
      <c r="M91" s="27" t="inlineStr">
        <is>
          <t>3是由进料组成推导，不是催化剂行所印的原始比值；实验进料还含20% N₂，工厂新鲜气组成假设与实验不同，需说明</t>
        </is>
      </c>
      <c r="N91" s="23" t="inlineStr">
        <is>
          <t>N-精确比值由进料组成推算</t>
        </is>
      </c>
      <c r="O91" s="23" t="inlineStr">
        <is>
          <t>（工况字段无）</t>
        </is>
      </c>
      <c r="P91" s="23" t="inlineStr">
        <is>
          <t>高（先修规则）</t>
        </is>
      </c>
      <c r="Q91" s="23" t="inlineStr">
        <is>
          <t>（未人工核对）</t>
        </is>
      </c>
      <c r="R91" s="23" t="inlineStr">
        <is>
          <t>独立检索证据；未填写人工核验栏</t>
        </is>
      </c>
    </row>
    <row r="92" ht="38" customHeight="1">
      <c r="A92" s="17" t="n">
        <v>91</v>
      </c>
      <c r="B92" s="18" t="inlineStr">
        <is>
          <t>Ota 2012</t>
        </is>
      </c>
      <c r="C92" s="18" t="inlineStr">
        <is>
          <t>10.1016/j.jcat.2012.05.020</t>
        </is>
      </c>
      <c r="D92" s="18" t="inlineStr">
        <is>
          <t>PdMgGa</t>
        </is>
      </c>
      <c r="E92" s="18" t="inlineStr">
        <is>
          <t>CO2 conversion</t>
        </is>
      </c>
      <c r="F92" s="18" t="inlineStr">
        <is>
          <t>1</t>
        </is>
      </c>
      <c r="G92" s="18" t="inlineStr">
        <is>
          <t>%</t>
        </is>
      </c>
      <c r="H92" s="18" t="inlineStr">
        <is>
          <t>Table 2</t>
        </is>
      </c>
      <c r="I92" s="24" t="inlineStr">
        <is>
          <t>A｜逐项可核</t>
        </is>
      </c>
      <c r="J92" s="20" t="inlineStr">
        <is>
          <t>1.0%</t>
        </is>
      </c>
      <c r="K92" s="20" t="inlineStr">
        <is>
          <t>Ota 2012, accepted manuscript Table 2, PdMgGa</t>
        </is>
      </c>
      <c r="L92" s="17" t="inlineStr">
        <is>
          <t>https://iris.unito.it/retrieve/handle/2318/122839/18808/COST_OA.pdf</t>
        </is>
      </c>
      <c r="M92" s="20" t="inlineStr">
        <is>
          <t>催化剂要对应 PdMgGa，而不是 PdZnAl</t>
        </is>
      </c>
      <c r="N92" s="20" t="inlineStr">
        <is>
          <t>Y-经原文核对数值（含注明的单位换算）</t>
        </is>
      </c>
      <c r="O92" s="20" t="inlineStr">
        <is>
          <t>=</t>
        </is>
      </c>
      <c r="P92" s="20" t="inlineStr">
        <is>
          <t>低（人工复签）</t>
        </is>
      </c>
      <c r="Q92" s="20" t="inlineStr">
        <is>
          <t>（未人工核对）</t>
        </is>
      </c>
      <c r="R92" s="20" t="inlineStr">
        <is>
          <t>独立检索证据；未填写人工核验栏</t>
        </is>
      </c>
    </row>
    <row r="93" ht="38" customHeight="1">
      <c r="A93" s="21" t="n">
        <v>92</v>
      </c>
      <c r="B93" s="22" t="inlineStr">
        <is>
          <t>Ota 2012</t>
        </is>
      </c>
      <c r="C93" s="22" t="inlineStr">
        <is>
          <t>10.1016/j.jcat.2012.05.020</t>
        </is>
      </c>
      <c r="D93" s="22" t="inlineStr">
        <is>
          <t>PdMgAl</t>
        </is>
      </c>
      <c r="E93" s="22" t="inlineStr">
        <is>
          <t>CO2 conversion</t>
        </is>
      </c>
      <c r="F93" s="22" t="inlineStr">
        <is>
          <t>0.3</t>
        </is>
      </c>
      <c r="G93" s="22" t="inlineStr">
        <is>
          <t>%</t>
        </is>
      </c>
      <c r="H93" s="22" t="inlineStr">
        <is>
          <t>Table 2</t>
        </is>
      </c>
      <c r="I93" s="24" t="inlineStr">
        <is>
          <t>A｜逐项可核</t>
        </is>
      </c>
      <c r="J93" s="23" t="inlineStr">
        <is>
          <t>0.3%</t>
        </is>
      </c>
      <c r="K93" s="23" t="inlineStr">
        <is>
          <t>Ota 2012, accepted manuscript Table 2, PdMgAl</t>
        </is>
      </c>
      <c r="L93" s="21" t="inlineStr">
        <is>
          <t>https://iris.unito.it/retrieve/handle/2318/122839/18808/COST_OA.pdf</t>
        </is>
      </c>
      <c r="M93" s="23" t="inlineStr">
        <is>
          <t>CO₂ conversion 0.3%</t>
        </is>
      </c>
      <c r="N93" s="23" t="inlineStr">
        <is>
          <t>Y-经原文核对数值（含注明的单位换算）</t>
        </is>
      </c>
      <c r="O93" s="23" t="inlineStr">
        <is>
          <t>=</t>
        </is>
      </c>
      <c r="P93" s="23" t="inlineStr">
        <is>
          <t>低（人工复签）</t>
        </is>
      </c>
      <c r="Q93" s="23" t="inlineStr">
        <is>
          <t>（未人工核对）</t>
        </is>
      </c>
      <c r="R93" s="23" t="inlineStr">
        <is>
          <t>独立检索证据；未填写人工核验栏</t>
        </is>
      </c>
    </row>
    <row r="94" ht="38" customHeight="1">
      <c r="A94" s="17" t="n">
        <v>93</v>
      </c>
      <c r="B94" s="18" t="inlineStr">
        <is>
          <t>Ota 2012</t>
        </is>
      </c>
      <c r="C94" s="18" t="inlineStr">
        <is>
          <t>10.1016/j.jcat.2012.05.020</t>
        </is>
      </c>
      <c r="D94" s="18" t="inlineStr">
        <is>
          <t>PdZnAl</t>
        </is>
      </c>
      <c r="E94" s="18" t="inlineStr">
        <is>
          <t>CH4 selectivity</t>
        </is>
      </c>
      <c r="F94" s="18" t="inlineStr">
        <is>
          <t>0.1</t>
        </is>
      </c>
      <c r="G94" s="18" t="inlineStr">
        <is>
          <t>%</t>
        </is>
      </c>
      <c r="H94" s="18" t="inlineStr">
        <is>
          <t>Table 2</t>
        </is>
      </c>
      <c r="I94" s="26" t="inlineStr">
        <is>
          <t>C｜需修正规则/引文</t>
        </is>
      </c>
      <c r="J94" s="20" t="inlineStr">
        <is>
          <t>&lt;0.1% (source CSV qualifier is “&lt;”)</t>
        </is>
      </c>
      <c r="K94" s="20" t="inlineStr">
        <is>
          <t>原始抽样 CSV 记录 qualifier=“&lt;”；原期刊 Table 2 未列 CH₄ selectivity</t>
        </is>
      </c>
      <c r="L94" s="17" t="inlineStr">
        <is>
          <t>https://iris.unito.it/retrieve/handle/2318/122839/18808/COST_OA.pdf</t>
        </is>
      </c>
      <c r="M94" s="27" t="inlineStr">
        <is>
          <t>Excel仅显示0.1%，遗漏“小于”限定符；不能将 0.1% 作为实测点。作者学位论文提到CH₄ traces &lt;0.1%，但需确认是否对应本催化剂/本实验条件</t>
        </is>
      </c>
      <c r="N94" s="20" t="inlineStr">
        <is>
          <t>小于号限定，期刊Table2不含该字段</t>
        </is>
      </c>
      <c r="O94" s="20" t="inlineStr">
        <is>
          <t>&lt;</t>
        </is>
      </c>
      <c r="P94" s="20" t="inlineStr">
        <is>
          <t>高（先修规则）</t>
        </is>
      </c>
      <c r="Q94" s="20" t="inlineStr">
        <is>
          <t>（未人工核对）</t>
        </is>
      </c>
      <c r="R94" s="20" t="inlineStr">
        <is>
          <t>独立检索证据；未填写人工核验栏</t>
        </is>
      </c>
    </row>
    <row r="95" ht="38" customHeight="1">
      <c r="A95" s="21" t="n">
        <v>94</v>
      </c>
      <c r="B95" s="22" t="inlineStr">
        <is>
          <t>Ota 2012</t>
        </is>
      </c>
      <c r="C95" s="22" t="inlineStr">
        <is>
          <t>10.1016/j.jcat.2012.05.020</t>
        </is>
      </c>
      <c r="D95" s="22" t="inlineStr">
        <is>
          <t>PdZnAl</t>
        </is>
      </c>
      <c r="E95" s="22" t="inlineStr">
        <is>
          <t>temperature</t>
        </is>
      </c>
      <c r="F95" s="22" t="inlineStr">
        <is>
          <t>249.85</t>
        </is>
      </c>
      <c r="G95" s="22" t="inlineStr">
        <is>
          <t>°C (from K)</t>
        </is>
      </c>
      <c r="H95" s="22" t="inlineStr">
        <is>
          <t>Table 2</t>
        </is>
      </c>
      <c r="I95" s="24" t="inlineStr">
        <is>
          <t>A｜逐项可核</t>
        </is>
      </c>
      <c r="J95" s="23" t="inlineStr">
        <is>
          <t>250 °C (or 523 K)</t>
        </is>
      </c>
      <c r="K95" s="23" t="inlineStr">
        <is>
          <t>Ota 2012, accepted manuscript Table 2 heading</t>
        </is>
      </c>
      <c r="L95" s="21" t="inlineStr">
        <is>
          <t>https://iris.unito.it/retrieve/handle/2318/122839/18808/COST_OA.pdf</t>
        </is>
      </c>
      <c r="M95" s="23" t="inlineStr">
        <is>
          <t>原表写250 °C（期刊排版版写523 K）；Excel249.85 °C=523 K精确换算，是四舍五入差非错误</t>
        </is>
      </c>
      <c r="N95" s="23" t="inlineStr">
        <is>
          <t>原文条件或等价换算</t>
        </is>
      </c>
      <c r="O95" s="23" t="inlineStr">
        <is>
          <t>（工况字段无）</t>
        </is>
      </c>
      <c r="P95" s="23" t="inlineStr">
        <is>
          <t>低（人工复签）</t>
        </is>
      </c>
      <c r="Q95" s="23" t="inlineStr">
        <is>
          <t>（未人工核对）</t>
        </is>
      </c>
      <c r="R95" s="23" t="inlineStr">
        <is>
          <t>独立检索证据；未填写人工核验栏</t>
        </is>
      </c>
    </row>
    <row r="96" ht="38" customHeight="1">
      <c r="A96" s="17" t="n">
        <v>95</v>
      </c>
      <c r="B96" s="18" t="inlineStr">
        <is>
          <t>Ota 2012</t>
        </is>
      </c>
      <c r="C96" s="18" t="inlineStr">
        <is>
          <t>10.1016/j.jcat.2012.05.020</t>
        </is>
      </c>
      <c r="D96" s="18" t="inlineStr">
        <is>
          <t>PdZnAl</t>
        </is>
      </c>
      <c r="E96" s="18" t="inlineStr">
        <is>
          <t>H2/CO2</t>
        </is>
      </c>
      <c r="F96" s="18" t="inlineStr">
        <is>
          <t>3</t>
        </is>
      </c>
      <c r="G96" s="18" t="inlineStr">
        <is>
          <t>mol/mol</t>
        </is>
      </c>
      <c r="H96" s="18" t="inlineStr">
        <is>
          <t>Table 2</t>
        </is>
      </c>
      <c r="I96" s="24" t="inlineStr">
        <is>
          <t>A｜逐项可核</t>
        </is>
      </c>
      <c r="J96" s="20" t="inlineStr">
        <is>
          <t>CO₂:H₂ = 1:3</t>
        </is>
      </c>
      <c r="K96" s="20" t="inlineStr">
        <is>
          <t>Ota 2012, accepted manuscript Table 2 heading</t>
        </is>
      </c>
      <c r="L96" s="17" t="inlineStr">
        <is>
          <t>https://iris.unito.it/retrieve/handle/2318/122839/18808/COST_OA.pdf</t>
        </is>
      </c>
      <c r="M96" s="20" t="inlineStr">
        <is>
          <t>从 CO₂:H₂=1:3 写成 H₂/CO₂=3，属于原文明确比值的倒数表达</t>
        </is>
      </c>
      <c r="N96" s="20" t="inlineStr">
        <is>
          <t>原文条件或等价换算</t>
        </is>
      </c>
      <c r="O96" s="20" t="inlineStr">
        <is>
          <t>（工况字段无）</t>
        </is>
      </c>
      <c r="P96" s="20" t="inlineStr">
        <is>
          <t>低（人工复签）</t>
        </is>
      </c>
      <c r="Q96" s="20" t="inlineStr">
        <is>
          <t>（未人工核对）</t>
        </is>
      </c>
      <c r="R96" s="20" t="inlineStr">
        <is>
          <t>独立检索证据；未填写人工核验栏</t>
        </is>
      </c>
    </row>
    <row r="97" ht="38" customHeight="1">
      <c r="A97" s="21" t="n">
        <v>96</v>
      </c>
      <c r="B97" s="22" t="inlineStr">
        <is>
          <t>Ota 2012</t>
        </is>
      </c>
      <c r="C97" s="22" t="inlineStr">
        <is>
          <t>10.1016/j.jcat.2012.05.020</t>
        </is>
      </c>
      <c r="D97" s="22" t="inlineStr">
        <is>
          <t>PdMgGa</t>
        </is>
      </c>
      <c r="E97" s="22" t="inlineStr">
        <is>
          <t>H2/CO2</t>
        </is>
      </c>
      <c r="F97" s="22" t="inlineStr">
        <is>
          <t>3</t>
        </is>
      </c>
      <c r="G97" s="22" t="inlineStr">
        <is>
          <t>mol/mol</t>
        </is>
      </c>
      <c r="H97" s="22" t="inlineStr">
        <is>
          <t>Table 2</t>
        </is>
      </c>
      <c r="I97" s="24" t="inlineStr">
        <is>
          <t>A｜逐项可核</t>
        </is>
      </c>
      <c r="J97" s="23" t="inlineStr">
        <is>
          <t>CO₂:H₂ = 1:3</t>
        </is>
      </c>
      <c r="K97" s="23" t="inlineStr">
        <is>
          <t>Ota 2012, accepted manuscript Table 2 heading</t>
        </is>
      </c>
      <c r="L97" s="21" t="inlineStr">
        <is>
          <t>https://iris.unito.it/retrieve/handle/2318/122839/18808/COST_OA.pdf</t>
        </is>
      </c>
      <c r="M97" s="23" t="inlineStr">
        <is>
          <t>从 CO₂:H₂=1:3 写成 H₂/CO₂=3，属于原文明确比值的倒数表达</t>
        </is>
      </c>
      <c r="N97" s="23" t="inlineStr">
        <is>
          <t>原文条件或等价换算</t>
        </is>
      </c>
      <c r="O97" s="23" t="inlineStr">
        <is>
          <t>（工况字段无）</t>
        </is>
      </c>
      <c r="P97" s="23" t="inlineStr">
        <is>
          <t>低（人工复签）</t>
        </is>
      </c>
      <c r="Q97" s="23" t="inlineStr">
        <is>
          <t>（未人工核对）</t>
        </is>
      </c>
      <c r="R97" s="23" t="inlineStr">
        <is>
          <t>独立检索证据；未填写人工核验栏</t>
        </is>
      </c>
    </row>
    <row r="98" ht="38" customHeight="1">
      <c r="A98" s="17" t="n">
        <v>97</v>
      </c>
      <c r="B98" s="18" t="inlineStr">
        <is>
          <t>Ota 2012</t>
        </is>
      </c>
      <c r="C98" s="18" t="inlineStr">
        <is>
          <t>10.1016/j.jcat.2012.05.020</t>
        </is>
      </c>
      <c r="D98" s="18" t="inlineStr">
        <is>
          <t>PdMgAl</t>
        </is>
      </c>
      <c r="E98" s="18" t="inlineStr">
        <is>
          <t>temperature</t>
        </is>
      </c>
      <c r="F98" s="18" t="inlineStr">
        <is>
          <t>249.85</t>
        </is>
      </c>
      <c r="G98" s="18" t="inlineStr">
        <is>
          <t>°C (from K)</t>
        </is>
      </c>
      <c r="H98" s="18" t="inlineStr">
        <is>
          <t>Table 2</t>
        </is>
      </c>
      <c r="I98" s="24" t="inlineStr">
        <is>
          <t>A｜逐项可核</t>
        </is>
      </c>
      <c r="J98" s="20" t="inlineStr">
        <is>
          <t>250 °C (or 523 K)</t>
        </is>
      </c>
      <c r="K98" s="20" t="inlineStr">
        <is>
          <t>Ota 2012, accepted manuscript Table 2 heading</t>
        </is>
      </c>
      <c r="L98" s="17" t="inlineStr">
        <is>
          <t>https://iris.unito.it/retrieve/handle/2318/122839/18808/COST_OA.pdf</t>
        </is>
      </c>
      <c r="M98" s="20" t="inlineStr">
        <is>
          <t>原表写250 °C（期刊排版版写523 K）；Excel249.85 °C=523 K精确换算，是四舍五入差非错误</t>
        </is>
      </c>
      <c r="N98" s="20" t="inlineStr">
        <is>
          <t>原文条件或等价换算</t>
        </is>
      </c>
      <c r="O98" s="20" t="inlineStr">
        <is>
          <t>（工况字段无）</t>
        </is>
      </c>
      <c r="P98" s="20" t="inlineStr">
        <is>
          <t>低（人工复签）</t>
        </is>
      </c>
      <c r="Q98" s="20" t="inlineStr">
        <is>
          <t>（未人工核对）</t>
        </is>
      </c>
      <c r="R98" s="20" t="inlineStr">
        <is>
          <t>独立检索证据；未填写人工核验栏</t>
        </is>
      </c>
    </row>
    <row r="99" ht="38" customHeight="1">
      <c r="A99" s="21" t="n">
        <v>98</v>
      </c>
      <c r="B99" s="22" t="inlineStr">
        <is>
          <t>Ota 2012</t>
        </is>
      </c>
      <c r="C99" s="22" t="inlineStr">
        <is>
          <t>10.1016/j.jcat.2012.05.020</t>
        </is>
      </c>
      <c r="D99" s="22" t="inlineStr">
        <is>
          <t>PdMgGa</t>
        </is>
      </c>
      <c r="E99" s="22" t="inlineStr">
        <is>
          <t>temperature</t>
        </is>
      </c>
      <c r="F99" s="22" t="inlineStr">
        <is>
          <t>249.85</t>
        </is>
      </c>
      <c r="G99" s="22" t="inlineStr">
        <is>
          <t>°C (from K)</t>
        </is>
      </c>
      <c r="H99" s="22" t="inlineStr">
        <is>
          <t>Table 2</t>
        </is>
      </c>
      <c r="I99" s="24" t="inlineStr">
        <is>
          <t>A｜逐项可核</t>
        </is>
      </c>
      <c r="J99" s="23" t="inlineStr">
        <is>
          <t>250 °C (or 523 K)</t>
        </is>
      </c>
      <c r="K99" s="23" t="inlineStr">
        <is>
          <t>Ota 2012, accepted manuscript Table 2 heading</t>
        </is>
      </c>
      <c r="L99" s="21" t="inlineStr">
        <is>
          <t>https://iris.unito.it/retrieve/handle/2318/122839/18808/COST_OA.pdf</t>
        </is>
      </c>
      <c r="M99" s="23" t="inlineStr">
        <is>
          <t>原表写250 °C（期刊排版版写523 K）；Excel249.85 °C=523 K精确换算，是四舍五入差非错误</t>
        </is>
      </c>
      <c r="N99" s="23" t="inlineStr">
        <is>
          <t>原文条件或等价换算</t>
        </is>
      </c>
      <c r="O99" s="23" t="inlineStr">
        <is>
          <t>（工况字段无）</t>
        </is>
      </c>
      <c r="P99" s="23" t="inlineStr">
        <is>
          <t>低（人工复签）</t>
        </is>
      </c>
      <c r="Q99" s="23" t="inlineStr">
        <is>
          <t>（未人工核对）</t>
        </is>
      </c>
      <c r="R99" s="23" t="inlineStr">
        <is>
          <t>独立检索证据；未填写人工核验栏</t>
        </is>
      </c>
    </row>
    <row r="100" ht="38" customHeight="1">
      <c r="A100" s="17" t="n">
        <v>99</v>
      </c>
      <c r="B100" s="18" t="inlineStr">
        <is>
          <t>Ota 2012</t>
        </is>
      </c>
      <c r="C100" s="18" t="inlineStr">
        <is>
          <t>10.1016/j.jcat.2012.05.020</t>
        </is>
      </c>
      <c r="D100" s="18" t="inlineStr">
        <is>
          <t>PdMgAl</t>
        </is>
      </c>
      <c r="E100" s="18" t="inlineStr">
        <is>
          <t>STY (printed)</t>
        </is>
      </c>
      <c r="F100" s="18" t="inlineStr">
        <is>
          <t>0.3 µmol/min gcat</t>
        </is>
      </c>
      <c r="G100" s="18" t="inlineStr">
        <is>
          <t>as printed</t>
        </is>
      </c>
      <c r="H100" s="18" t="inlineStr">
        <is>
          <t>Table 2</t>
        </is>
      </c>
      <c r="I100" s="24" t="inlineStr">
        <is>
          <t>A｜逐项可核</t>
        </is>
      </c>
      <c r="J100" s="20" t="inlineStr">
        <is>
          <t>0.3 μmol min⁻¹ gcat⁻¹</t>
        </is>
      </c>
      <c r="K100" s="20" t="inlineStr">
        <is>
          <t>Ota 2012, accepted manuscript Table 2, PdMgAl, MeOH rate column</t>
        </is>
      </c>
      <c r="L100" s="17" t="inlineStr">
        <is>
          <t>https://iris.unito.it/retrieve/handle/2318/122839/18808/COST_OA.pdf</t>
        </is>
      </c>
      <c r="M100" s="20" t="inlineStr">
        <is>
          <t>表中是甲醇形成速率、摩尔单位；命名为“STY (printed)”虽沿用模型字段，论文需明确不等同于 g MeOH/gcat/h</t>
        </is>
      </c>
      <c r="N100" s="20" t="inlineStr">
        <is>
          <t>Y-经原文核对数值（含注明的单位换算）</t>
        </is>
      </c>
      <c r="O100" s="20" t="inlineStr">
        <is>
          <t>=</t>
        </is>
      </c>
      <c r="P100" s="20" t="inlineStr">
        <is>
          <t>低（人工复签）</t>
        </is>
      </c>
      <c r="Q100" s="20" t="inlineStr">
        <is>
          <t>（未人工核对）</t>
        </is>
      </c>
      <c r="R100" s="20" t="inlineStr">
        <is>
          <t>独立检索证据；未填写人工核验栏</t>
        </is>
      </c>
    </row>
    <row r="101" ht="38" customHeight="1">
      <c r="A101" s="21" t="n">
        <v>100</v>
      </c>
      <c r="B101" s="22" t="inlineStr">
        <is>
          <t>Ota 2012</t>
        </is>
      </c>
      <c r="C101" s="22" t="inlineStr">
        <is>
          <t>10.1016/j.jcat.2012.05.020</t>
        </is>
      </c>
      <c r="D101" s="22" t="inlineStr">
        <is>
          <t>PdZnAl</t>
        </is>
      </c>
      <c r="E101" s="22" t="inlineStr">
        <is>
          <t>CO2 conversion</t>
        </is>
      </c>
      <c r="F101" s="22" t="inlineStr">
        <is>
          <t>0.6</t>
        </is>
      </c>
      <c r="G101" s="22" t="inlineStr">
        <is>
          <t>%</t>
        </is>
      </c>
      <c r="H101" s="22" t="inlineStr">
        <is>
          <t>Table 2</t>
        </is>
      </c>
      <c r="I101" s="24" t="inlineStr">
        <is>
          <t>A｜逐项可核</t>
        </is>
      </c>
      <c r="J101" s="23" t="inlineStr">
        <is>
          <t>0.6%</t>
        </is>
      </c>
      <c r="K101" s="23" t="inlineStr">
        <is>
          <t>Ota 2012, accepted manuscript Table 2, PdZnAl</t>
        </is>
      </c>
      <c r="L101" s="21" t="inlineStr">
        <is>
          <t>https://iris.unito.it/retrieve/handle/2318/122839/18808/COST_OA.pdf</t>
        </is>
      </c>
      <c r="M101" s="23" t="inlineStr">
        <is>
          <t>原表 0.6%</t>
        </is>
      </c>
      <c r="N101" s="23" t="inlineStr">
        <is>
          <t>Y-经原文核对数值（含注明的单位换算）</t>
        </is>
      </c>
      <c r="O101" s="23" t="inlineStr">
        <is>
          <t>=</t>
        </is>
      </c>
      <c r="P101" s="23" t="inlineStr">
        <is>
          <t>低（人工复签）</t>
        </is>
      </c>
      <c r="Q101" s="23" t="inlineStr">
        <is>
          <t>（未人工核对）</t>
        </is>
      </c>
      <c r="R101" s="23" t="inlineStr">
        <is>
          <t>独立检索证据；未填写人工核验栏</t>
        </is>
      </c>
    </row>
  </sheetData>
  <autoFilter ref="A1:R1"/>
  <hyperlinks>
    <hyperlink xmlns:r="http://schemas.openxmlformats.org/officeDocument/2006/relationships" ref="A2" r:id="rId1"/>
    <hyperlink xmlns:r="http://schemas.openxmlformats.org/officeDocument/2006/relationships" ref="L2" r:id="rId2"/>
    <hyperlink xmlns:r="http://schemas.openxmlformats.org/officeDocument/2006/relationships" ref="A3" r:id="rId3"/>
    <hyperlink xmlns:r="http://schemas.openxmlformats.org/officeDocument/2006/relationships" ref="L3" r:id="rId4"/>
    <hyperlink xmlns:r="http://schemas.openxmlformats.org/officeDocument/2006/relationships" ref="A4" r:id="rId5"/>
    <hyperlink xmlns:r="http://schemas.openxmlformats.org/officeDocument/2006/relationships" ref="L4" r:id="rId6"/>
    <hyperlink xmlns:r="http://schemas.openxmlformats.org/officeDocument/2006/relationships" ref="A5" r:id="rId7"/>
    <hyperlink xmlns:r="http://schemas.openxmlformats.org/officeDocument/2006/relationships" ref="L5" r:id="rId8"/>
    <hyperlink xmlns:r="http://schemas.openxmlformats.org/officeDocument/2006/relationships" ref="A6" r:id="rId9"/>
    <hyperlink xmlns:r="http://schemas.openxmlformats.org/officeDocument/2006/relationships" ref="L6" r:id="rId10"/>
    <hyperlink xmlns:r="http://schemas.openxmlformats.org/officeDocument/2006/relationships" ref="A7" r:id="rId11"/>
    <hyperlink xmlns:r="http://schemas.openxmlformats.org/officeDocument/2006/relationships" ref="L7" r:id="rId12"/>
    <hyperlink xmlns:r="http://schemas.openxmlformats.org/officeDocument/2006/relationships" ref="A8" r:id="rId13"/>
    <hyperlink xmlns:r="http://schemas.openxmlformats.org/officeDocument/2006/relationships" ref="L8" r:id="rId14"/>
    <hyperlink xmlns:r="http://schemas.openxmlformats.org/officeDocument/2006/relationships" ref="A9" r:id="rId15"/>
    <hyperlink xmlns:r="http://schemas.openxmlformats.org/officeDocument/2006/relationships" ref="L9" r:id="rId16"/>
    <hyperlink xmlns:r="http://schemas.openxmlformats.org/officeDocument/2006/relationships" ref="A10" r:id="rId17"/>
    <hyperlink xmlns:r="http://schemas.openxmlformats.org/officeDocument/2006/relationships" ref="L10" r:id="rId18"/>
    <hyperlink xmlns:r="http://schemas.openxmlformats.org/officeDocument/2006/relationships" ref="A11" r:id="rId19"/>
    <hyperlink xmlns:r="http://schemas.openxmlformats.org/officeDocument/2006/relationships" ref="L11" r:id="rId20"/>
    <hyperlink xmlns:r="http://schemas.openxmlformats.org/officeDocument/2006/relationships" ref="A12" r:id="rId21"/>
    <hyperlink xmlns:r="http://schemas.openxmlformats.org/officeDocument/2006/relationships" ref="L12" r:id="rId22"/>
    <hyperlink xmlns:r="http://schemas.openxmlformats.org/officeDocument/2006/relationships" ref="A13" r:id="rId23"/>
    <hyperlink xmlns:r="http://schemas.openxmlformats.org/officeDocument/2006/relationships" ref="L13" r:id="rId24"/>
    <hyperlink xmlns:r="http://schemas.openxmlformats.org/officeDocument/2006/relationships" ref="A14" r:id="rId25"/>
    <hyperlink xmlns:r="http://schemas.openxmlformats.org/officeDocument/2006/relationships" ref="L14" r:id="rId26"/>
    <hyperlink xmlns:r="http://schemas.openxmlformats.org/officeDocument/2006/relationships" ref="A15" r:id="rId27"/>
    <hyperlink xmlns:r="http://schemas.openxmlformats.org/officeDocument/2006/relationships" ref="L15" r:id="rId28"/>
    <hyperlink xmlns:r="http://schemas.openxmlformats.org/officeDocument/2006/relationships" ref="A16" r:id="rId29"/>
    <hyperlink xmlns:r="http://schemas.openxmlformats.org/officeDocument/2006/relationships" ref="L16" r:id="rId30"/>
    <hyperlink xmlns:r="http://schemas.openxmlformats.org/officeDocument/2006/relationships" ref="A17" r:id="rId31"/>
    <hyperlink xmlns:r="http://schemas.openxmlformats.org/officeDocument/2006/relationships" ref="L17" r:id="rId32"/>
    <hyperlink xmlns:r="http://schemas.openxmlformats.org/officeDocument/2006/relationships" ref="A18" r:id="rId33"/>
    <hyperlink xmlns:r="http://schemas.openxmlformats.org/officeDocument/2006/relationships" ref="L18" r:id="rId34"/>
    <hyperlink xmlns:r="http://schemas.openxmlformats.org/officeDocument/2006/relationships" ref="A19" r:id="rId35"/>
    <hyperlink xmlns:r="http://schemas.openxmlformats.org/officeDocument/2006/relationships" ref="L19" r:id="rId36"/>
    <hyperlink xmlns:r="http://schemas.openxmlformats.org/officeDocument/2006/relationships" ref="A20" r:id="rId37"/>
    <hyperlink xmlns:r="http://schemas.openxmlformats.org/officeDocument/2006/relationships" ref="L20" r:id="rId38"/>
    <hyperlink xmlns:r="http://schemas.openxmlformats.org/officeDocument/2006/relationships" ref="A21" r:id="rId39"/>
    <hyperlink xmlns:r="http://schemas.openxmlformats.org/officeDocument/2006/relationships" ref="L21" r:id="rId40"/>
    <hyperlink xmlns:r="http://schemas.openxmlformats.org/officeDocument/2006/relationships" ref="A22" r:id="rId41"/>
    <hyperlink xmlns:r="http://schemas.openxmlformats.org/officeDocument/2006/relationships" ref="L22" r:id="rId42"/>
    <hyperlink xmlns:r="http://schemas.openxmlformats.org/officeDocument/2006/relationships" ref="A23" r:id="rId43"/>
    <hyperlink xmlns:r="http://schemas.openxmlformats.org/officeDocument/2006/relationships" ref="L23" r:id="rId44"/>
    <hyperlink xmlns:r="http://schemas.openxmlformats.org/officeDocument/2006/relationships" ref="A24" r:id="rId45"/>
    <hyperlink xmlns:r="http://schemas.openxmlformats.org/officeDocument/2006/relationships" ref="L24" r:id="rId46"/>
    <hyperlink xmlns:r="http://schemas.openxmlformats.org/officeDocument/2006/relationships" ref="A25" r:id="rId47"/>
    <hyperlink xmlns:r="http://schemas.openxmlformats.org/officeDocument/2006/relationships" ref="L25" r:id="rId48"/>
    <hyperlink xmlns:r="http://schemas.openxmlformats.org/officeDocument/2006/relationships" ref="A26" r:id="rId49"/>
    <hyperlink xmlns:r="http://schemas.openxmlformats.org/officeDocument/2006/relationships" ref="L26" r:id="rId50"/>
    <hyperlink xmlns:r="http://schemas.openxmlformats.org/officeDocument/2006/relationships" ref="A27" r:id="rId51"/>
    <hyperlink xmlns:r="http://schemas.openxmlformats.org/officeDocument/2006/relationships" ref="L27" r:id="rId52"/>
    <hyperlink xmlns:r="http://schemas.openxmlformats.org/officeDocument/2006/relationships" ref="A28" r:id="rId53"/>
    <hyperlink xmlns:r="http://schemas.openxmlformats.org/officeDocument/2006/relationships" ref="L28" r:id="rId54"/>
    <hyperlink xmlns:r="http://schemas.openxmlformats.org/officeDocument/2006/relationships" ref="A29" r:id="rId55"/>
    <hyperlink xmlns:r="http://schemas.openxmlformats.org/officeDocument/2006/relationships" ref="L29" r:id="rId56"/>
    <hyperlink xmlns:r="http://schemas.openxmlformats.org/officeDocument/2006/relationships" ref="A30" r:id="rId57"/>
    <hyperlink xmlns:r="http://schemas.openxmlformats.org/officeDocument/2006/relationships" ref="L30" r:id="rId58"/>
    <hyperlink xmlns:r="http://schemas.openxmlformats.org/officeDocument/2006/relationships" ref="A31" r:id="rId59"/>
    <hyperlink xmlns:r="http://schemas.openxmlformats.org/officeDocument/2006/relationships" ref="L31" r:id="rId60"/>
    <hyperlink xmlns:r="http://schemas.openxmlformats.org/officeDocument/2006/relationships" ref="A32" r:id="rId61"/>
    <hyperlink xmlns:r="http://schemas.openxmlformats.org/officeDocument/2006/relationships" ref="L32" r:id="rId62"/>
    <hyperlink xmlns:r="http://schemas.openxmlformats.org/officeDocument/2006/relationships" ref="A33" r:id="rId63"/>
    <hyperlink xmlns:r="http://schemas.openxmlformats.org/officeDocument/2006/relationships" ref="L33" r:id="rId64"/>
    <hyperlink xmlns:r="http://schemas.openxmlformats.org/officeDocument/2006/relationships" ref="A34" r:id="rId65"/>
    <hyperlink xmlns:r="http://schemas.openxmlformats.org/officeDocument/2006/relationships" ref="L34" r:id="rId66"/>
    <hyperlink xmlns:r="http://schemas.openxmlformats.org/officeDocument/2006/relationships" ref="A35" r:id="rId67"/>
    <hyperlink xmlns:r="http://schemas.openxmlformats.org/officeDocument/2006/relationships" ref="L35" r:id="rId68"/>
    <hyperlink xmlns:r="http://schemas.openxmlformats.org/officeDocument/2006/relationships" ref="A36" r:id="rId69"/>
    <hyperlink xmlns:r="http://schemas.openxmlformats.org/officeDocument/2006/relationships" ref="L36" r:id="rId70"/>
    <hyperlink xmlns:r="http://schemas.openxmlformats.org/officeDocument/2006/relationships" ref="A37" r:id="rId71"/>
    <hyperlink xmlns:r="http://schemas.openxmlformats.org/officeDocument/2006/relationships" ref="L37" r:id="rId72"/>
    <hyperlink xmlns:r="http://schemas.openxmlformats.org/officeDocument/2006/relationships" ref="A38" r:id="rId73"/>
    <hyperlink xmlns:r="http://schemas.openxmlformats.org/officeDocument/2006/relationships" ref="L38" r:id="rId74"/>
    <hyperlink xmlns:r="http://schemas.openxmlformats.org/officeDocument/2006/relationships" ref="A39" r:id="rId75"/>
    <hyperlink xmlns:r="http://schemas.openxmlformats.org/officeDocument/2006/relationships" ref="L39" r:id="rId76"/>
    <hyperlink xmlns:r="http://schemas.openxmlformats.org/officeDocument/2006/relationships" ref="A40" r:id="rId77"/>
    <hyperlink xmlns:r="http://schemas.openxmlformats.org/officeDocument/2006/relationships" ref="L40" r:id="rId78"/>
    <hyperlink xmlns:r="http://schemas.openxmlformats.org/officeDocument/2006/relationships" ref="A41" r:id="rId79"/>
    <hyperlink xmlns:r="http://schemas.openxmlformats.org/officeDocument/2006/relationships" ref="L41" r:id="rId80"/>
    <hyperlink xmlns:r="http://schemas.openxmlformats.org/officeDocument/2006/relationships" ref="A42" r:id="rId81"/>
    <hyperlink xmlns:r="http://schemas.openxmlformats.org/officeDocument/2006/relationships" ref="L42" r:id="rId82"/>
    <hyperlink xmlns:r="http://schemas.openxmlformats.org/officeDocument/2006/relationships" ref="A43" r:id="rId83"/>
    <hyperlink xmlns:r="http://schemas.openxmlformats.org/officeDocument/2006/relationships" ref="L43" r:id="rId84"/>
    <hyperlink xmlns:r="http://schemas.openxmlformats.org/officeDocument/2006/relationships" ref="A44" r:id="rId85"/>
    <hyperlink xmlns:r="http://schemas.openxmlformats.org/officeDocument/2006/relationships" ref="L44" r:id="rId86"/>
    <hyperlink xmlns:r="http://schemas.openxmlformats.org/officeDocument/2006/relationships" ref="A45" r:id="rId87"/>
    <hyperlink xmlns:r="http://schemas.openxmlformats.org/officeDocument/2006/relationships" ref="L45" r:id="rId88"/>
    <hyperlink xmlns:r="http://schemas.openxmlformats.org/officeDocument/2006/relationships" ref="A46" r:id="rId89"/>
    <hyperlink xmlns:r="http://schemas.openxmlformats.org/officeDocument/2006/relationships" ref="L46" r:id="rId90"/>
    <hyperlink xmlns:r="http://schemas.openxmlformats.org/officeDocument/2006/relationships" ref="A47" r:id="rId91"/>
    <hyperlink xmlns:r="http://schemas.openxmlformats.org/officeDocument/2006/relationships" ref="L47" r:id="rId92"/>
    <hyperlink xmlns:r="http://schemas.openxmlformats.org/officeDocument/2006/relationships" ref="A48" r:id="rId93"/>
    <hyperlink xmlns:r="http://schemas.openxmlformats.org/officeDocument/2006/relationships" ref="L48" r:id="rId94"/>
    <hyperlink xmlns:r="http://schemas.openxmlformats.org/officeDocument/2006/relationships" ref="A49" r:id="rId95"/>
    <hyperlink xmlns:r="http://schemas.openxmlformats.org/officeDocument/2006/relationships" ref="L49" r:id="rId96"/>
    <hyperlink xmlns:r="http://schemas.openxmlformats.org/officeDocument/2006/relationships" ref="A50" r:id="rId97"/>
    <hyperlink xmlns:r="http://schemas.openxmlformats.org/officeDocument/2006/relationships" ref="L50" r:id="rId98"/>
    <hyperlink xmlns:r="http://schemas.openxmlformats.org/officeDocument/2006/relationships" ref="A51" r:id="rId99"/>
    <hyperlink xmlns:r="http://schemas.openxmlformats.org/officeDocument/2006/relationships" ref="L51" r:id="rId100"/>
    <hyperlink xmlns:r="http://schemas.openxmlformats.org/officeDocument/2006/relationships" ref="A52" r:id="rId101"/>
    <hyperlink xmlns:r="http://schemas.openxmlformats.org/officeDocument/2006/relationships" ref="L52" r:id="rId102"/>
    <hyperlink xmlns:r="http://schemas.openxmlformats.org/officeDocument/2006/relationships" ref="A53" r:id="rId103"/>
    <hyperlink xmlns:r="http://schemas.openxmlformats.org/officeDocument/2006/relationships" ref="L53" r:id="rId104"/>
    <hyperlink xmlns:r="http://schemas.openxmlformats.org/officeDocument/2006/relationships" ref="A54" r:id="rId105"/>
    <hyperlink xmlns:r="http://schemas.openxmlformats.org/officeDocument/2006/relationships" ref="L54" r:id="rId106"/>
    <hyperlink xmlns:r="http://schemas.openxmlformats.org/officeDocument/2006/relationships" ref="A55" r:id="rId107"/>
    <hyperlink xmlns:r="http://schemas.openxmlformats.org/officeDocument/2006/relationships" ref="L55" r:id="rId108"/>
    <hyperlink xmlns:r="http://schemas.openxmlformats.org/officeDocument/2006/relationships" ref="A56" r:id="rId109"/>
    <hyperlink xmlns:r="http://schemas.openxmlformats.org/officeDocument/2006/relationships" ref="L56" r:id="rId110"/>
    <hyperlink xmlns:r="http://schemas.openxmlformats.org/officeDocument/2006/relationships" ref="A57" r:id="rId111"/>
    <hyperlink xmlns:r="http://schemas.openxmlformats.org/officeDocument/2006/relationships" ref="L57" r:id="rId112"/>
    <hyperlink xmlns:r="http://schemas.openxmlformats.org/officeDocument/2006/relationships" ref="A58" r:id="rId113"/>
    <hyperlink xmlns:r="http://schemas.openxmlformats.org/officeDocument/2006/relationships" ref="L58" r:id="rId114"/>
    <hyperlink xmlns:r="http://schemas.openxmlformats.org/officeDocument/2006/relationships" ref="A59" r:id="rId115"/>
    <hyperlink xmlns:r="http://schemas.openxmlformats.org/officeDocument/2006/relationships" ref="L59" r:id="rId116"/>
    <hyperlink xmlns:r="http://schemas.openxmlformats.org/officeDocument/2006/relationships" ref="A60" r:id="rId117"/>
    <hyperlink xmlns:r="http://schemas.openxmlformats.org/officeDocument/2006/relationships" ref="L60" r:id="rId118"/>
    <hyperlink xmlns:r="http://schemas.openxmlformats.org/officeDocument/2006/relationships" ref="A61" r:id="rId119"/>
    <hyperlink xmlns:r="http://schemas.openxmlformats.org/officeDocument/2006/relationships" ref="L61" r:id="rId120"/>
    <hyperlink xmlns:r="http://schemas.openxmlformats.org/officeDocument/2006/relationships" ref="A62" r:id="rId121"/>
    <hyperlink xmlns:r="http://schemas.openxmlformats.org/officeDocument/2006/relationships" ref="L62" r:id="rId122"/>
    <hyperlink xmlns:r="http://schemas.openxmlformats.org/officeDocument/2006/relationships" ref="A63" r:id="rId123"/>
    <hyperlink xmlns:r="http://schemas.openxmlformats.org/officeDocument/2006/relationships" ref="L63" r:id="rId124"/>
    <hyperlink xmlns:r="http://schemas.openxmlformats.org/officeDocument/2006/relationships" ref="A64" r:id="rId125"/>
    <hyperlink xmlns:r="http://schemas.openxmlformats.org/officeDocument/2006/relationships" ref="L64" r:id="rId126"/>
    <hyperlink xmlns:r="http://schemas.openxmlformats.org/officeDocument/2006/relationships" ref="A65" r:id="rId127"/>
    <hyperlink xmlns:r="http://schemas.openxmlformats.org/officeDocument/2006/relationships" ref="L65" r:id="rId128"/>
    <hyperlink xmlns:r="http://schemas.openxmlformats.org/officeDocument/2006/relationships" ref="A66" r:id="rId129"/>
    <hyperlink xmlns:r="http://schemas.openxmlformats.org/officeDocument/2006/relationships" ref="L66" r:id="rId130"/>
    <hyperlink xmlns:r="http://schemas.openxmlformats.org/officeDocument/2006/relationships" ref="A67" r:id="rId131"/>
    <hyperlink xmlns:r="http://schemas.openxmlformats.org/officeDocument/2006/relationships" ref="L67" r:id="rId132"/>
    <hyperlink xmlns:r="http://schemas.openxmlformats.org/officeDocument/2006/relationships" ref="A68" r:id="rId133"/>
    <hyperlink xmlns:r="http://schemas.openxmlformats.org/officeDocument/2006/relationships" ref="L68" r:id="rId134"/>
    <hyperlink xmlns:r="http://schemas.openxmlformats.org/officeDocument/2006/relationships" ref="A69" r:id="rId135"/>
    <hyperlink xmlns:r="http://schemas.openxmlformats.org/officeDocument/2006/relationships" ref="L69" r:id="rId136"/>
    <hyperlink xmlns:r="http://schemas.openxmlformats.org/officeDocument/2006/relationships" ref="A70" r:id="rId137"/>
    <hyperlink xmlns:r="http://schemas.openxmlformats.org/officeDocument/2006/relationships" ref="L70" r:id="rId138"/>
    <hyperlink xmlns:r="http://schemas.openxmlformats.org/officeDocument/2006/relationships" ref="A71" r:id="rId139"/>
    <hyperlink xmlns:r="http://schemas.openxmlformats.org/officeDocument/2006/relationships" ref="L71" r:id="rId140"/>
    <hyperlink xmlns:r="http://schemas.openxmlformats.org/officeDocument/2006/relationships" ref="A72" r:id="rId141"/>
    <hyperlink xmlns:r="http://schemas.openxmlformats.org/officeDocument/2006/relationships" ref="L72" r:id="rId142"/>
    <hyperlink xmlns:r="http://schemas.openxmlformats.org/officeDocument/2006/relationships" ref="A73" r:id="rId143"/>
    <hyperlink xmlns:r="http://schemas.openxmlformats.org/officeDocument/2006/relationships" ref="L73" r:id="rId144"/>
    <hyperlink xmlns:r="http://schemas.openxmlformats.org/officeDocument/2006/relationships" ref="A74" r:id="rId145"/>
    <hyperlink xmlns:r="http://schemas.openxmlformats.org/officeDocument/2006/relationships" ref="L74" r:id="rId146"/>
    <hyperlink xmlns:r="http://schemas.openxmlformats.org/officeDocument/2006/relationships" ref="A75" r:id="rId147"/>
    <hyperlink xmlns:r="http://schemas.openxmlformats.org/officeDocument/2006/relationships" ref="L75" r:id="rId148"/>
    <hyperlink xmlns:r="http://schemas.openxmlformats.org/officeDocument/2006/relationships" ref="A76" r:id="rId149"/>
    <hyperlink xmlns:r="http://schemas.openxmlformats.org/officeDocument/2006/relationships" ref="L76" r:id="rId150"/>
    <hyperlink xmlns:r="http://schemas.openxmlformats.org/officeDocument/2006/relationships" ref="A77" r:id="rId151"/>
    <hyperlink xmlns:r="http://schemas.openxmlformats.org/officeDocument/2006/relationships" ref="L77" r:id="rId152"/>
    <hyperlink xmlns:r="http://schemas.openxmlformats.org/officeDocument/2006/relationships" ref="A78" r:id="rId153"/>
    <hyperlink xmlns:r="http://schemas.openxmlformats.org/officeDocument/2006/relationships" ref="L78" r:id="rId154"/>
    <hyperlink xmlns:r="http://schemas.openxmlformats.org/officeDocument/2006/relationships" ref="A79" r:id="rId155"/>
    <hyperlink xmlns:r="http://schemas.openxmlformats.org/officeDocument/2006/relationships" ref="L79" r:id="rId156"/>
    <hyperlink xmlns:r="http://schemas.openxmlformats.org/officeDocument/2006/relationships" ref="A80" r:id="rId157"/>
    <hyperlink xmlns:r="http://schemas.openxmlformats.org/officeDocument/2006/relationships" ref="L80" r:id="rId158"/>
    <hyperlink xmlns:r="http://schemas.openxmlformats.org/officeDocument/2006/relationships" ref="A81" r:id="rId159"/>
    <hyperlink xmlns:r="http://schemas.openxmlformats.org/officeDocument/2006/relationships" ref="L81" r:id="rId160"/>
    <hyperlink xmlns:r="http://schemas.openxmlformats.org/officeDocument/2006/relationships" ref="A82" r:id="rId161"/>
    <hyperlink xmlns:r="http://schemas.openxmlformats.org/officeDocument/2006/relationships" ref="L82" r:id="rId162"/>
    <hyperlink xmlns:r="http://schemas.openxmlformats.org/officeDocument/2006/relationships" ref="A83" r:id="rId163"/>
    <hyperlink xmlns:r="http://schemas.openxmlformats.org/officeDocument/2006/relationships" ref="L83" r:id="rId164"/>
    <hyperlink xmlns:r="http://schemas.openxmlformats.org/officeDocument/2006/relationships" ref="A84" r:id="rId165"/>
    <hyperlink xmlns:r="http://schemas.openxmlformats.org/officeDocument/2006/relationships" ref="L84" r:id="rId166"/>
    <hyperlink xmlns:r="http://schemas.openxmlformats.org/officeDocument/2006/relationships" ref="A85" r:id="rId167"/>
    <hyperlink xmlns:r="http://schemas.openxmlformats.org/officeDocument/2006/relationships" ref="L85" r:id="rId168"/>
    <hyperlink xmlns:r="http://schemas.openxmlformats.org/officeDocument/2006/relationships" ref="A86" r:id="rId169"/>
    <hyperlink xmlns:r="http://schemas.openxmlformats.org/officeDocument/2006/relationships" ref="L86" r:id="rId170"/>
    <hyperlink xmlns:r="http://schemas.openxmlformats.org/officeDocument/2006/relationships" ref="A87" r:id="rId171"/>
    <hyperlink xmlns:r="http://schemas.openxmlformats.org/officeDocument/2006/relationships" ref="L87" r:id="rId172"/>
    <hyperlink xmlns:r="http://schemas.openxmlformats.org/officeDocument/2006/relationships" ref="A88" r:id="rId173"/>
    <hyperlink xmlns:r="http://schemas.openxmlformats.org/officeDocument/2006/relationships" ref="L88" r:id="rId174"/>
    <hyperlink xmlns:r="http://schemas.openxmlformats.org/officeDocument/2006/relationships" ref="A89" r:id="rId175"/>
    <hyperlink xmlns:r="http://schemas.openxmlformats.org/officeDocument/2006/relationships" ref="L89" r:id="rId176"/>
    <hyperlink xmlns:r="http://schemas.openxmlformats.org/officeDocument/2006/relationships" ref="A90" r:id="rId177"/>
    <hyperlink xmlns:r="http://schemas.openxmlformats.org/officeDocument/2006/relationships" ref="L90" r:id="rId178"/>
    <hyperlink xmlns:r="http://schemas.openxmlformats.org/officeDocument/2006/relationships" ref="A91" r:id="rId179"/>
    <hyperlink xmlns:r="http://schemas.openxmlformats.org/officeDocument/2006/relationships" ref="L91" r:id="rId180"/>
    <hyperlink xmlns:r="http://schemas.openxmlformats.org/officeDocument/2006/relationships" ref="A92" r:id="rId181"/>
    <hyperlink xmlns:r="http://schemas.openxmlformats.org/officeDocument/2006/relationships" ref="L92" r:id="rId182"/>
    <hyperlink xmlns:r="http://schemas.openxmlformats.org/officeDocument/2006/relationships" ref="A93" r:id="rId183"/>
    <hyperlink xmlns:r="http://schemas.openxmlformats.org/officeDocument/2006/relationships" ref="L93" r:id="rId184"/>
    <hyperlink xmlns:r="http://schemas.openxmlformats.org/officeDocument/2006/relationships" ref="A94" r:id="rId185"/>
    <hyperlink xmlns:r="http://schemas.openxmlformats.org/officeDocument/2006/relationships" ref="L94" r:id="rId186"/>
    <hyperlink xmlns:r="http://schemas.openxmlformats.org/officeDocument/2006/relationships" ref="A95" r:id="rId187"/>
    <hyperlink xmlns:r="http://schemas.openxmlformats.org/officeDocument/2006/relationships" ref="L95" r:id="rId188"/>
    <hyperlink xmlns:r="http://schemas.openxmlformats.org/officeDocument/2006/relationships" ref="A96" r:id="rId189"/>
    <hyperlink xmlns:r="http://schemas.openxmlformats.org/officeDocument/2006/relationships" ref="L96" r:id="rId190"/>
    <hyperlink xmlns:r="http://schemas.openxmlformats.org/officeDocument/2006/relationships" ref="A97" r:id="rId191"/>
    <hyperlink xmlns:r="http://schemas.openxmlformats.org/officeDocument/2006/relationships" ref="L97" r:id="rId192"/>
    <hyperlink xmlns:r="http://schemas.openxmlformats.org/officeDocument/2006/relationships" ref="A98" r:id="rId193"/>
    <hyperlink xmlns:r="http://schemas.openxmlformats.org/officeDocument/2006/relationships" ref="L98" r:id="rId194"/>
    <hyperlink xmlns:r="http://schemas.openxmlformats.org/officeDocument/2006/relationships" ref="A99" r:id="rId195"/>
    <hyperlink xmlns:r="http://schemas.openxmlformats.org/officeDocument/2006/relationships" ref="L99" r:id="rId196"/>
    <hyperlink xmlns:r="http://schemas.openxmlformats.org/officeDocument/2006/relationships" ref="A100" r:id="rId197"/>
    <hyperlink xmlns:r="http://schemas.openxmlformats.org/officeDocument/2006/relationships" ref="L100" r:id="rId198"/>
    <hyperlink xmlns:r="http://schemas.openxmlformats.org/officeDocument/2006/relationships" ref="A101" r:id="rId199"/>
    <hyperlink xmlns:r="http://schemas.openxmlformats.org/officeDocument/2006/relationships" ref="L101" r:id="rId20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30" customWidth="1" min="2" max="2"/>
    <col width="12" customWidth="1" min="3" max="3"/>
    <col width="22" customWidth="1" min="4" max="4"/>
    <col width="60" customWidth="1" min="5" max="5"/>
    <col width="70" customWidth="1" min="6" max="6"/>
    <col width="67" customWidth="1" min="7" max="7"/>
  </cols>
  <sheetData>
    <row r="1" ht="36" customHeight="1">
      <c r="A1" s="16" t="inlineStr">
        <is>
          <t>文献/样本行</t>
        </is>
      </c>
      <c r="B1" s="16" t="inlineStr">
        <is>
          <t>DOI</t>
        </is>
      </c>
      <c r="C1" s="16" t="inlineStr">
        <is>
          <t>抽中数值</t>
        </is>
      </c>
      <c r="D1" s="16" t="inlineStr">
        <is>
          <t>原始证据可用性</t>
        </is>
      </c>
      <c r="E1" s="16" t="inlineStr">
        <is>
          <t>已核得的原文位置</t>
        </is>
      </c>
      <c r="F1" s="16" t="inlineStr">
        <is>
          <t>关键限制</t>
        </is>
      </c>
      <c r="G1" s="16" t="inlineStr">
        <is>
          <t>链接/获取方式</t>
        </is>
      </c>
    </row>
    <row r="2" ht="74" customHeight="1">
      <c r="A2" s="28" t="inlineStr">
        <is>
          <t>Malik 2018（#01–#10）</t>
        </is>
      </c>
      <c r="B2" s="28" t="inlineStr">
        <is>
          <t>10.1016/j.apcata.2018.04.036</t>
        </is>
      </c>
      <c r="C2" s="28" t="n">
        <v>10</v>
      </c>
      <c r="D2" s="28" t="inlineStr">
        <is>
          <t>尚未取得完整逐行SI</t>
        </is>
      </c>
      <c r="E2" s="28" t="inlineStr">
        <is>
          <t>按表中 entry、record_location、record_page 定位</t>
        </is>
      </c>
      <c r="F2" s="28" t="inlineStr">
        <is>
          <t>不能把出版摘要/项目自身抽取视为独立的表格核验，需补PDF与SI原始页</t>
        </is>
      </c>
      <c r="G2" s="29" t="inlineStr">
        <is>
          <t>https://doi.org/10.1016/j.apcata.2018.04.036</t>
        </is>
      </c>
    </row>
    <row r="3" ht="74" customHeight="1">
      <c r="A3" s="30" t="inlineStr">
        <is>
          <t>Meng 2021（#11–#20）</t>
        </is>
      </c>
      <c r="B3" s="30" t="inlineStr">
        <is>
          <t>10.1126/sciadv.abi6012</t>
        </is>
      </c>
      <c r="C3" s="30" t="n">
        <v>10</v>
      </c>
      <c r="D3" s="30" t="inlineStr">
        <is>
          <t>正文公开，SI未逐行</t>
        </is>
      </c>
      <c r="E3" s="30" t="inlineStr">
        <is>
          <t>Science Advances Fig.2与正文，报告 0.30、H₂/CO₂=3、300°C工况</t>
        </is>
      </c>
      <c r="F3" s="30" t="inlineStr">
        <is>
          <t>载体特定的SI Table S2/S7所有性能数字未逐行核；避免以一般条件替代催化剂行</t>
        </is>
      </c>
      <c r="G3" s="31" t="inlineStr">
        <is>
          <t>https://pmc.ncbi.nlm.nih.gov/articles/PMC8336954/</t>
        </is>
      </c>
    </row>
    <row r="4" ht="74" customHeight="1">
      <c r="A4" s="28" t="inlineStr">
        <is>
          <t>Bansode 2013（#21–#30）</t>
        </is>
      </c>
      <c r="B4" s="28" t="inlineStr">
        <is>
          <t>10.1039/c2cy20604h</t>
        </is>
      </c>
      <c r="C4" s="28" t="n">
        <v>10</v>
      </c>
      <c r="D4" s="28" t="inlineStr">
        <is>
          <t>已取得原始 SI 表</t>
        </is>
      </c>
      <c r="E4" s="28" t="inlineStr">
        <is>
          <t>RSC Electronic Supplementary Information：S1、S2、S3（PDF第2–4页）</t>
        </is>
      </c>
      <c r="F4" s="28" t="inlineStr">
        <is>
          <t>10/10已核数值；包括温标换算、CO/MeOH selectivity、甲醇产率；SI原表直接证据</t>
        </is>
      </c>
      <c r="G4" s="29" t="inlineStr">
        <is>
          <t>https://www.rsc.org/suppdata/cy/c2/c2cy20604h/c2cy20604h.pdf</t>
        </is>
      </c>
    </row>
    <row r="5" ht="74" customHeight="1">
      <c r="A5" s="30" t="inlineStr">
        <is>
          <t>Frei 2019（#31–#40）</t>
        </is>
      </c>
      <c r="B5" s="30" t="inlineStr">
        <is>
          <t>10.1038/s41467-019-11349-9</t>
        </is>
      </c>
      <c r="C5" s="30" t="n">
        <v>10</v>
      </c>
      <c r="D5" s="30" t="inlineStr">
        <is>
          <t>已取得出版社正文</t>
        </is>
      </c>
      <c r="E5" s="30" t="inlineStr">
        <is>
          <t>Nature Communications 正文 Fig.6 附近段落、图注与实验条件</t>
        </is>
      </c>
      <c r="F5" s="30" t="inlineStr">
        <is>
          <t>9行逐项数值可核；#40 数值正确但原“Table 2”定位应改为 Fig.6 正文</t>
        </is>
      </c>
      <c r="G5" s="31" t="inlineStr">
        <is>
          <t>https://www.nature.com/articles/s41467-019-11349-9</t>
        </is>
      </c>
    </row>
    <row r="6" ht="74" customHeight="1">
      <c r="A6" s="28" t="inlineStr">
        <is>
          <t>Dang 2020（#41–#50）</t>
        </is>
      </c>
      <c r="B6" s="28" t="inlineStr">
        <is>
          <t>10.1126/sciadv.aaz2060</t>
        </is>
      </c>
      <c r="C6" s="28" t="n">
        <v>10</v>
      </c>
      <c r="D6" s="28" t="inlineStr">
        <is>
          <t>正文公开，部分图需图上核</t>
        </is>
      </c>
      <c r="E6" s="28" t="inlineStr">
        <is>
          <t>Science Advances Fig.5与方法进料 H₂:CO₂:N₂=73:24:3</t>
        </is>
      </c>
      <c r="F6" s="28" t="inlineStr">
        <is>
          <t>#45 的 73/24 属精确计算值，不是原文印刷小数；#42、#49 图上读取值待判印刷资格</t>
        </is>
      </c>
      <c r="G6" s="29" t="inlineStr">
        <is>
          <t>https://pmc.ncbi.nlm.nih.gov/articles/PMC7299618/</t>
        </is>
      </c>
    </row>
    <row r="7" ht="74" customHeight="1">
      <c r="A7" s="30" t="inlineStr">
        <is>
          <t>Gao 2015（#51–#60）</t>
        </is>
      </c>
      <c r="B7" s="30" t="inlineStr">
        <is>
          <t>10.1039/c5cy00372e</t>
        </is>
      </c>
      <c r="C7" s="30" t="n">
        <v>10</v>
      </c>
      <c r="D7" s="30" t="inlineStr">
        <is>
          <t>尚未取得完整逐行SI</t>
        </is>
      </c>
      <c r="E7" s="30" t="inlineStr">
        <is>
          <t>按表中 entry、record_location、record_page 定位</t>
        </is>
      </c>
      <c r="F7" s="30" t="inlineStr">
        <is>
          <t>不能把出版摘要/项目自身抽取视为独立的表格核验，需补PDF与SI原始页</t>
        </is>
      </c>
      <c r="G7" s="31" t="inlineStr">
        <is>
          <t>https://doi.org/10.1039/c5cy00372e</t>
        </is>
      </c>
    </row>
    <row r="8" ht="74" customHeight="1">
      <c r="A8" s="28" t="inlineStr">
        <is>
          <t>Rui 2017（#61–#70）</t>
        </is>
      </c>
      <c r="B8" s="28" t="inlineStr">
        <is>
          <t>10.1016/j.apcatb.2017.06.069</t>
        </is>
      </c>
      <c r="C8" s="28" t="n">
        <v>10</v>
      </c>
      <c r="D8" s="28" t="inlineStr">
        <is>
          <t>尚未取得完整逐行SI</t>
        </is>
      </c>
      <c r="E8" s="28" t="inlineStr">
        <is>
          <t>按表中 entry、record_location、record_page 定位</t>
        </is>
      </c>
      <c r="F8" s="28" t="inlineStr">
        <is>
          <t>不能把出版摘要/项目自身抽取视为独立的表格核验，需补PDF与SI原始页</t>
        </is>
      </c>
      <c r="G8" s="29" t="inlineStr">
        <is>
          <t>https://doi.org/10.1016/j.apcatb.2017.06.069</t>
        </is>
      </c>
    </row>
    <row r="9" ht="74" customHeight="1">
      <c r="A9" s="30" t="inlineStr">
        <is>
          <t>Energy Technol 2018（#71–#80）</t>
        </is>
      </c>
      <c r="B9" s="30" t="inlineStr">
        <is>
          <t>10.1002/ente.201800747</t>
        </is>
      </c>
      <c r="C9" s="30" t="n">
        <v>10</v>
      </c>
      <c r="D9" s="30" t="inlineStr">
        <is>
          <t>尚未取得完整逐行SI</t>
        </is>
      </c>
      <c r="E9" s="30" t="inlineStr">
        <is>
          <t>按表中 entry、record_location、record_page 定位</t>
        </is>
      </c>
      <c r="F9" s="30" t="inlineStr">
        <is>
          <t>不能把出版摘要/项目自身抽取视为独立的表格核验，需补PDF与SI原始页</t>
        </is>
      </c>
      <c r="G9" s="31" t="inlineStr">
        <is>
          <t>https://doi.org/10.1002/ente.201800747</t>
        </is>
      </c>
    </row>
    <row r="10" ht="74" customHeight="1">
      <c r="A10" s="28" t="inlineStr">
        <is>
          <t>Ruiz Esquius 2020（#81–#90）</t>
        </is>
      </c>
      <c r="B10" s="28" t="inlineStr">
        <is>
          <t>10.1002/cctc.202000974</t>
        </is>
      </c>
      <c r="C10" s="28" t="n">
        <v>10</v>
      </c>
      <c r="D10" s="28" t="inlineStr">
        <is>
          <t>出版社条目/论文正文线索</t>
        </is>
      </c>
      <c r="E10" s="28" t="inlineStr">
        <is>
          <t>ChemCatChem Table 1及实验进料(60% H₂,20% CO₂,20% N₂)</t>
        </is>
      </c>
      <c r="F10" s="28" t="inlineStr">
        <is>
          <t>多数SI Table S2/S3具体催化剂数据待获取；#85/#90是60/20派生比例</t>
        </is>
      </c>
      <c r="G10" s="29" t="inlineStr">
        <is>
          <t>https://orca.cardiff.ac.uk/id/eprint/135088/</t>
        </is>
      </c>
    </row>
    <row r="11" ht="74" customHeight="1">
      <c r="A11" s="30" t="inlineStr">
        <is>
          <t>Ota 2012（#91–#100）</t>
        </is>
      </c>
      <c r="B11" s="30" t="inlineStr">
        <is>
          <t>10.1016/j.jcat.2012.05.020</t>
        </is>
      </c>
      <c r="C11" s="30" t="n">
        <v>10</v>
      </c>
      <c r="D11" s="30" t="inlineStr">
        <is>
          <t>已取得作者接受稿表</t>
        </is>
      </c>
      <c r="E11" s="30" t="inlineStr">
        <is>
          <t>接受稿 Table 2 (CO₂:H₂=1:3，30 bar，250°C)</t>
        </is>
      </c>
      <c r="F11" s="30" t="inlineStr">
        <is>
          <t>9行可核；#93 是&lt;0.1%的上界，期刊 Table 2 未列CH₄选择性，应补原文来源</t>
        </is>
      </c>
      <c r="G11" s="31" t="inlineStr">
        <is>
          <t>https://iris.unito.it/retrieve/handle/2318/122839/18808/COST_OA.pdf</t>
        </is>
      </c>
    </row>
  </sheetData>
  <autoFilter ref="A1:G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2" customWidth="1" min="2" max="2"/>
  </cols>
  <sheetData>
    <row r="1" ht="29" customHeight="1">
      <c r="A1" s="16" t="inlineStr">
        <is>
          <t>操作</t>
        </is>
      </c>
      <c r="B1" s="16" t="inlineStr">
        <is>
          <t>统一判定口径</t>
        </is>
      </c>
    </row>
    <row r="2" ht="47" customHeight="1">
      <c r="A2" s="32" t="inlineStr">
        <is>
          <t>身份隔离</t>
        </is>
      </c>
      <c r="B2" s="33" t="inlineStr">
        <is>
          <t>「独立证据核验」属于AI+公开来源的第二意见；严格意义的人手金标准只填写原始「核对表」N–R 5列，二者不得互相复制判定。</t>
        </is>
      </c>
    </row>
    <row r="3" ht="47" customHeight="1">
      <c r="A3" s="32" t="inlineStr">
        <is>
          <t>锁定抽样总体</t>
        </is>
      </c>
      <c r="B3" s="33" t="inlineStr">
        <is>
          <t>先重建 freeze-s5-printed-2026-10-12 的310条比较候选，再按固定种子/预注册抽样规定确认旧100值可否沿用；必要时重新抽样并保留版本。</t>
        </is>
      </c>
    </row>
    <row r="4" ht="47" customHeight="1">
      <c r="A4" s="32" t="inlineStr">
        <is>
          <t>逐条核验</t>
        </is>
      </c>
      <c r="B4" s="33" t="inlineStr">
        <is>
          <t>按 DOI → catalyst → entry → T/P/GHSV → 数据字段五步定位；将文章页面或SI图表与数值原单位记录在 N/O。</t>
        </is>
      </c>
    </row>
    <row r="5" ht="47" customHeight="1">
      <c r="A5" s="32" t="inlineStr">
        <is>
          <t>印刷数字判定</t>
        </is>
      </c>
      <c r="B5" s="33" t="inlineStr">
        <is>
          <t>Table/正文写明的数字=Y；图像曲线视觉读出的数=N；实验进料“73:24:3”算出73/24，单独标注 derived，不算原文直接印刷3.041666...。</t>
        </is>
      </c>
    </row>
    <row r="6" ht="47" customHeight="1">
      <c r="A6" s="32" t="inlineStr">
        <is>
          <t>单位规则</t>
        </is>
      </c>
      <c r="B6" s="33" t="inlineStr">
        <is>
          <t>1 MPa = 10 bar；T(°C)=T(K)-273.15；g/h与mg/h差1000倍；μmol/min/gcat不可误写成g/h/gcat。</t>
        </is>
      </c>
    </row>
    <row r="7" ht="47" customHeight="1">
      <c r="A7" s="32" t="inlineStr">
        <is>
          <t>符号与检出限</t>
        </is>
      </c>
      <c r="B7" s="33" t="inlineStr">
        <is>
          <t>“&lt;0.1%”不等同于“0.1%”；0.1%在电子表中必须与原来的“&lt;”一起呈现，且记录模型对低于检出限的处理。</t>
        </is>
      </c>
    </row>
    <row r="8" ht="47" customHeight="1">
      <c r="A8" s="32" t="inlineStr">
        <is>
          <t>确切相符 vs 舍入</t>
        </is>
      </c>
      <c r="B8" s="33" t="inlineStr">
        <is>
          <t>与原文及单位换算准确相符用 correct；只差展示位数用 rounding；相同实验点但数值实质冲突用 wrong；无法核证保持空白。</t>
        </is>
      </c>
    </row>
    <row r="9" ht="47" customHeight="1">
      <c r="A9" s="32" t="inlineStr">
        <is>
          <t>复核后的精度</t>
        </is>
      </c>
      <c r="B9" s="33" t="inlineStr">
        <is>
          <t>不要在没有100个人工判定和版本一致性之前计算准确率；如计算应分paper cluster、性能/工况，以及实测/派生三个维度。</t>
        </is>
      </c>
    </row>
    <row r="10" ht="47" customHeight="1">
      <c r="A10" s="32" t="inlineStr">
        <is>
          <t>报告局限</t>
        </is>
      </c>
      <c r="B10" s="33" t="inlineStr">
        <is>
          <t>本轮只验证公开可读的一部分记录；部分SI（尤其#1–10, #51–80）未逐条独立取得，标D而非默认正确。</t>
        </is>
      </c>
    </row>
    <row r="11" ht="47" customHeight="1">
      <c r="A11" s="32" t="inlineStr">
        <is>
          <t>回链路径</t>
        </is>
      </c>
      <c r="B11" s="33" t="inlineStr">
        <is>
          <t>原始表「核对表」N–R 仍全为空；AI结果在「独立证据核验」M列备注、K列证据位置、L列URL。</t>
        </is>
      </c>
    </row>
  </sheetData>
  <autoFilter ref="A1:B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甲醇文献抽取：人工金标准核对表</t>
        </is>
      </c>
    </row>
    <row r="2">
      <c r="A2" s="2" t="inlineStr"/>
    </row>
    <row r="3">
      <c r="A3" s="2" t="inlineStr">
        <is>
          <t>抽样规则（抽样前固定，见 analysis/verify_2026_10_08/gold_standard_sample.py）：</t>
        </is>
      </c>
    </row>
    <row r="4">
      <c r="A4" s="2" t="inlineStr">
        <is>
          <t>总体 = 只用印刷值时进入甲醇主结果的全部数值：2222 个数，307 个条目，28 篇论文。</t>
        </is>
      </c>
    </row>
    <row r="5">
      <c r="A5" s="2" t="inlineStr">
        <is>
          <t>随机种子 20261008：先随机抽 10 篇论文，每篇随机抽 10 个数，共 100 个数。</t>
        </is>
      </c>
    </row>
    <row r="6">
      <c r="A6" s="2" t="inlineStr"/>
    </row>
    <row r="7">
      <c r="A7" s="2" t="inlineStr">
        <is>
          <t>核对方法（必须本人对照原文或 SI 完成，不用任何程序或模型判断）：</t>
        </is>
      </c>
    </row>
    <row r="8">
      <c r="A8" s="2" t="inlineStr">
        <is>
          <t>1. 打开 pdf / si 列给出的文件（位于 agent/extraction/ 下，已下载的工作目录中），按 entry、record_location、record_page 找到该条目。</t>
        </is>
      </c>
    </row>
    <row r="9">
      <c r="A9" s="2" t="inlineStr">
        <is>
          <t>2. found_where：写出这个数在原文印刷的位置（如 'Table 2, p.5' 或 'SI Table S3'）。</t>
        </is>
      </c>
    </row>
    <row r="10">
      <c r="A10" s="2" t="inlineStr">
        <is>
          <t>3. value_in_paper：抄下原文印刷的数（原单位）。</t>
        </is>
      </c>
    </row>
    <row r="11">
      <c r="A11" s="2" t="inlineStr">
        <is>
          <t>4. printed_number：原文是印刷的数字填 Y；只能从图上读填 N。</t>
        </is>
      </c>
    </row>
    <row r="12">
      <c r="A12" s="2" t="inlineStr">
        <is>
          <t>5. judgment：correct = 换算单位后与原文一致；rounding = 只在原文印刷位数之外有差；wrong = 不一致。</t>
        </is>
      </c>
    </row>
    <row r="13">
      <c r="A13" s="2" t="inlineStr">
        <is>
          <t>6. note：其他说明（如单位换算、原文自相矛盾）。</t>
        </is>
      </c>
    </row>
    <row r="14">
      <c r="A14" s="2" t="inlineStr"/>
    </row>
    <row r="15">
      <c r="A15" s="2" t="inlineStr">
        <is>
          <t>字段说明：temperature 已从 K 换算成 °C；pressure 单位 bar（1 MPa = 10 bar）；</t>
        </is>
      </c>
    </row>
    <row r="16">
      <c r="A16" s="2" t="inlineStr">
        <is>
          <t>STY (printed) 和 space velocity 给的是原文写法（as printed）。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8" customWidth="1" min="3" max="3"/>
    <col width="40" customWidth="1" min="4" max="4"/>
    <col width="18" customWidth="1" min="5" max="5"/>
    <col width="12" customWidth="1" min="6" max="6"/>
    <col width="12" customWidth="1" min="7" max="7"/>
    <col width="28" customWidth="1" min="8" max="8"/>
    <col width="8" customWidth="1" min="9" max="9"/>
    <col width="10" customWidth="1" min="10" max="10"/>
    <col width="18" customWidth="1" min="11" max="11"/>
    <col width="30" customWidth="1" min="12" max="12"/>
    <col width="30" customWidth="1" min="13" max="13"/>
    <col width="22" customWidth="1" min="14" max="14"/>
    <col width="14" customWidth="1" min="15" max="15"/>
    <col width="10" customWidth="1" min="16" max="16"/>
    <col width="12" customWidth="1" min="17" max="17"/>
    <col width="30" customWidth="1" min="18" max="18"/>
  </cols>
  <sheetData>
    <row r="1">
      <c r="A1" s="3" t="inlineStr">
        <is>
          <t>id</t>
        </is>
      </c>
      <c r="B1" s="3" t="inlineStr">
        <is>
          <t>doi</t>
        </is>
      </c>
      <c r="C1" s="3" t="inlineStr">
        <is>
          <t>catalyst</t>
        </is>
      </c>
      <c r="D1" s="3" t="inlineStr">
        <is>
          <t>entry</t>
        </is>
      </c>
      <c r="E1" s="3" t="inlineStr">
        <is>
          <t>field</t>
        </is>
      </c>
      <c r="F1" s="3" t="inlineStr">
        <is>
          <t>extracted</t>
        </is>
      </c>
      <c r="G1" s="3" t="inlineStr">
        <is>
          <t>unit</t>
        </is>
      </c>
      <c r="H1" s="3" t="inlineStr">
        <is>
          <t>record_location</t>
        </is>
      </c>
      <c r="I1" s="3" t="inlineStr">
        <is>
          <t>record_page</t>
        </is>
      </c>
      <c r="J1" s="3" t="inlineStr">
        <is>
          <t>value_source</t>
        </is>
      </c>
      <c r="K1" s="3" t="inlineStr">
        <is>
          <t>filled</t>
        </is>
      </c>
      <c r="L1" s="3" t="inlineStr">
        <is>
          <t>pdf</t>
        </is>
      </c>
      <c r="M1" s="3" t="inlineStr">
        <is>
          <t>si</t>
        </is>
      </c>
      <c r="N1" s="4" t="inlineStr">
        <is>
          <t>found_where</t>
        </is>
      </c>
      <c r="O1" s="4" t="inlineStr">
        <is>
          <t>value_in_paper</t>
        </is>
      </c>
      <c r="P1" s="4" t="inlineStr">
        <is>
          <t>printed_number</t>
        </is>
      </c>
      <c r="Q1" s="4" t="inlineStr">
        <is>
          <t>judgment</t>
        </is>
      </c>
      <c r="R1" s="4" t="inlineStr">
        <is>
          <t>note</t>
        </is>
      </c>
    </row>
    <row r="2">
      <c r="A2" s="5" t="n">
        <v>1</v>
      </c>
      <c r="B2" s="5" t="inlineStr">
        <is>
          <t>10.1016/j.apcata.2018.04.036</t>
        </is>
      </c>
      <c r="C2" s="5" t="inlineStr">
        <is>
          <t>0.5Ca5P5ZC</t>
        </is>
      </c>
      <c r="D2" s="5" t="inlineStr">
        <is>
          <t>Fig 10a,b/text, 0.5Ca5P5ZC, 270 °C</t>
        </is>
      </c>
      <c r="E2" s="5" t="inlineStr">
        <is>
          <t>H2/CO2</t>
        </is>
      </c>
      <c r="F2" s="5" t="n">
        <v>3</v>
      </c>
      <c r="G2" s="5" t="inlineStr">
        <is>
          <t>mol/mol</t>
        </is>
      </c>
      <c r="H2" s="5" t="inlineStr">
        <is>
          <t>Text Section 4 and Figure 10a,b</t>
        </is>
      </c>
      <c r="I2" s="5" t="n">
        <v>8</v>
      </c>
      <c r="J2" s="5" t="n"/>
      <c r="K2" s="5" t="inlineStr"/>
      <c r="L2" s="5" t="inlineStr">
        <is>
          <t>pdf/Malik_2018_Development of highly selective PdZnCeO2 and Ca-doped PdZnCeO2 catalysts for met.pdf</t>
        </is>
      </c>
      <c r="M2" s="5" t="inlineStr">
        <is>
          <t>si/10_1016_j_apcata_2018_04_036__mmc1.docx</t>
        </is>
      </c>
      <c r="N2" s="6" t="inlineStr"/>
      <c r="O2" s="6" t="inlineStr"/>
      <c r="P2" s="6" t="inlineStr"/>
      <c r="Q2" s="6" t="inlineStr"/>
      <c r="R2" s="6" t="inlineStr"/>
    </row>
    <row r="3">
      <c r="A3" s="5" t="n">
        <v>2</v>
      </c>
      <c r="B3" s="5" t="inlineStr">
        <is>
          <t>10.1016/j.apcata.2018.04.036</t>
        </is>
      </c>
      <c r="C3" s="5" t="inlineStr">
        <is>
          <t>5P5ZC</t>
        </is>
      </c>
      <c r="D3" s="5" t="inlineStr">
        <is>
          <t>Table 6, 5P5ZC, 220 °C</t>
        </is>
      </c>
      <c r="E3" s="5" t="inlineStr">
        <is>
          <t>CO selectivity</t>
        </is>
      </c>
      <c r="F3" s="5" t="n">
        <v>0</v>
      </c>
      <c r="G3" s="5" t="inlineStr">
        <is>
          <t>%</t>
        </is>
      </c>
      <c r="H3" s="5" t="inlineStr">
        <is>
          <t>Table 6</t>
        </is>
      </c>
      <c r="I3" s="5" t="n">
        <v>8</v>
      </c>
      <c r="J3" s="5" t="inlineStr">
        <is>
          <t>table</t>
        </is>
      </c>
      <c r="K3" s="5" t="inlineStr"/>
      <c r="L3" s="5" t="inlineStr">
        <is>
          <t>pdf/Malik_2018_Development of highly selective PdZnCeO2 and Ca-doped PdZnCeO2 catalysts for met.pdf</t>
        </is>
      </c>
      <c r="M3" s="5" t="inlineStr">
        <is>
          <t>si/10_1016_j_apcata_2018_04_036__mmc1.docx</t>
        </is>
      </c>
      <c r="N3" s="6" t="inlineStr"/>
      <c r="O3" s="6" t="inlineStr"/>
      <c r="P3" s="6" t="inlineStr"/>
      <c r="Q3" s="6" t="inlineStr"/>
      <c r="R3" s="6" t="inlineStr"/>
    </row>
    <row r="4">
      <c r="A4" s="5" t="n">
        <v>3</v>
      </c>
      <c r="B4" s="5" t="inlineStr">
        <is>
          <t>10.1016/j.apcata.2018.04.036</t>
        </is>
      </c>
      <c r="C4" s="5" t="inlineStr">
        <is>
          <t>5P5ZC</t>
        </is>
      </c>
      <c r="D4" s="5" t="inlineStr">
        <is>
          <t>Table 6, 5P5ZC, 220 °C</t>
        </is>
      </c>
      <c r="E4" s="5" t="inlineStr">
        <is>
          <t>pressure</t>
        </is>
      </c>
      <c r="F4" s="5" t="n">
        <v>30</v>
      </c>
      <c r="G4" s="5" t="inlineStr">
        <is>
          <t>bar</t>
        </is>
      </c>
      <c r="H4" s="5" t="inlineStr">
        <is>
          <t>Table 6</t>
        </is>
      </c>
      <c r="I4" s="5" t="n">
        <v>8</v>
      </c>
      <c r="J4" s="5" t="n"/>
      <c r="K4" s="5" t="inlineStr"/>
      <c r="L4" s="5" t="inlineStr">
        <is>
          <t>pdf/Malik_2018_Development of highly selective PdZnCeO2 and Ca-doped PdZnCeO2 catalysts for met.pdf</t>
        </is>
      </c>
      <c r="M4" s="5" t="inlineStr">
        <is>
          <t>si/10_1016_j_apcata_2018_04_036__mmc1.docx</t>
        </is>
      </c>
      <c r="N4" s="6" t="inlineStr"/>
      <c r="O4" s="6" t="inlineStr"/>
      <c r="P4" s="6" t="inlineStr"/>
      <c r="Q4" s="6" t="inlineStr"/>
      <c r="R4" s="6" t="inlineStr"/>
    </row>
    <row r="5">
      <c r="A5" s="5" t="n">
        <v>4</v>
      </c>
      <c r="B5" s="5" t="inlineStr">
        <is>
          <t>10.1016/j.apcata.2018.04.036</t>
        </is>
      </c>
      <c r="C5" s="5" t="inlineStr">
        <is>
          <t>5PC</t>
        </is>
      </c>
      <c r="D5" s="5" t="inlineStr">
        <is>
          <t>Table 6, 5PC, 220 °C</t>
        </is>
      </c>
      <c r="E5" s="5" t="inlineStr">
        <is>
          <t>CH3OH selectivity</t>
        </is>
      </c>
      <c r="F5" s="5" t="n">
        <v>70.09999999999999</v>
      </c>
      <c r="G5" s="5" t="inlineStr">
        <is>
          <t>%</t>
        </is>
      </c>
      <c r="H5" s="5" t="inlineStr">
        <is>
          <t>Table 6</t>
        </is>
      </c>
      <c r="I5" s="5" t="n">
        <v>8</v>
      </c>
      <c r="J5" s="5" t="inlineStr">
        <is>
          <t>table</t>
        </is>
      </c>
      <c r="K5" s="5" t="inlineStr"/>
      <c r="L5" s="5" t="inlineStr">
        <is>
          <t>pdf/Malik_2018_Development of highly selective PdZnCeO2 and Ca-doped PdZnCeO2 catalysts for met.pdf</t>
        </is>
      </c>
      <c r="M5" s="5" t="inlineStr">
        <is>
          <t>si/10_1016_j_apcata_2018_04_036__mmc1.docx</t>
        </is>
      </c>
      <c r="N5" s="6" t="inlineStr"/>
      <c r="O5" s="6" t="inlineStr"/>
      <c r="P5" s="6" t="inlineStr"/>
      <c r="Q5" s="6" t="inlineStr"/>
      <c r="R5" s="6" t="inlineStr"/>
    </row>
    <row r="6">
      <c r="A6" s="5" t="n">
        <v>5</v>
      </c>
      <c r="B6" s="5" t="inlineStr">
        <is>
          <t>10.1016/j.apcata.2018.04.036</t>
        </is>
      </c>
      <c r="C6" s="5" t="inlineStr">
        <is>
          <t>0.5Ca5P5ZC</t>
        </is>
      </c>
      <c r="D6" s="5" t="inlineStr">
        <is>
          <t>Table 6, 0.5Ca5P5ZC, 220 °C</t>
        </is>
      </c>
      <c r="E6" s="5" t="inlineStr">
        <is>
          <t>CH4 selectivity</t>
        </is>
      </c>
      <c r="F6" s="5" t="n">
        <v>0</v>
      </c>
      <c r="G6" s="5" t="inlineStr">
        <is>
          <t>%</t>
        </is>
      </c>
      <c r="H6" s="5" t="inlineStr">
        <is>
          <t>Table 6</t>
        </is>
      </c>
      <c r="I6" s="5" t="n">
        <v>8</v>
      </c>
      <c r="J6" s="5" t="inlineStr">
        <is>
          <t>table</t>
        </is>
      </c>
      <c r="K6" s="5" t="inlineStr"/>
      <c r="L6" s="5" t="inlineStr">
        <is>
          <t>pdf/Malik_2018_Development of highly selective PdZnCeO2 and Ca-doped PdZnCeO2 catalysts for met.pdf</t>
        </is>
      </c>
      <c r="M6" s="5" t="inlineStr">
        <is>
          <t>si/10_1016_j_apcata_2018_04_036__mmc1.docx</t>
        </is>
      </c>
      <c r="N6" s="6" t="inlineStr"/>
      <c r="O6" s="6" t="inlineStr"/>
      <c r="P6" s="6" t="inlineStr"/>
      <c r="Q6" s="6" t="inlineStr"/>
      <c r="R6" s="6" t="inlineStr"/>
    </row>
    <row r="7">
      <c r="A7" s="5" t="n">
        <v>6</v>
      </c>
      <c r="B7" s="5" t="inlineStr">
        <is>
          <t>10.1016/j.apcata.2018.04.036</t>
        </is>
      </c>
      <c r="C7" s="5" t="inlineStr">
        <is>
          <t>5PC</t>
        </is>
      </c>
      <c r="D7" s="5" t="inlineStr">
        <is>
          <t>Table 6, 5PC, 220 °C</t>
        </is>
      </c>
      <c r="E7" s="5" t="inlineStr">
        <is>
          <t>H2/CO2</t>
        </is>
      </c>
      <c r="F7" s="5" t="n">
        <v>3</v>
      </c>
      <c r="G7" s="5" t="inlineStr">
        <is>
          <t>mol/mol</t>
        </is>
      </c>
      <c r="H7" s="5" t="inlineStr">
        <is>
          <t>Table 6</t>
        </is>
      </c>
      <c r="I7" s="5" t="n">
        <v>8</v>
      </c>
      <c r="J7" s="5" t="n"/>
      <c r="K7" s="5" t="inlineStr"/>
      <c r="L7" s="5" t="inlineStr">
        <is>
          <t>pdf/Malik_2018_Development of highly selective PdZnCeO2 and Ca-doped PdZnCeO2 catalysts for met.pdf</t>
        </is>
      </c>
      <c r="M7" s="5" t="inlineStr">
        <is>
          <t>si/10_1016_j_apcata_2018_04_036__mmc1.docx</t>
        </is>
      </c>
      <c r="N7" s="6" t="inlineStr"/>
      <c r="O7" s="6" t="inlineStr"/>
      <c r="P7" s="6" t="inlineStr"/>
      <c r="Q7" s="6" t="inlineStr"/>
      <c r="R7" s="6" t="inlineStr"/>
    </row>
    <row r="8">
      <c r="A8" s="5" t="n">
        <v>7</v>
      </c>
      <c r="B8" s="5" t="inlineStr">
        <is>
          <t>10.1016/j.apcata.2018.04.036</t>
        </is>
      </c>
      <c r="C8" s="5" t="inlineStr">
        <is>
          <t>5PC</t>
        </is>
      </c>
      <c r="D8" s="5" t="inlineStr">
        <is>
          <t>Table 6, 5PC, 220 °C</t>
        </is>
      </c>
      <c r="E8" s="5" t="inlineStr">
        <is>
          <t>CH4 selectivity</t>
        </is>
      </c>
      <c r="F8" s="5" t="n">
        <v>2.3</v>
      </c>
      <c r="G8" s="5" t="inlineStr">
        <is>
          <t>%</t>
        </is>
      </c>
      <c r="H8" s="5" t="inlineStr">
        <is>
          <t>Table 6</t>
        </is>
      </c>
      <c r="I8" s="5" t="n">
        <v>8</v>
      </c>
      <c r="J8" s="5" t="inlineStr">
        <is>
          <t>table</t>
        </is>
      </c>
      <c r="K8" s="5" t="inlineStr"/>
      <c r="L8" s="5" t="inlineStr">
        <is>
          <t>pdf/Malik_2018_Development of highly selective PdZnCeO2 and Ca-doped PdZnCeO2 catalysts for met.pdf</t>
        </is>
      </c>
      <c r="M8" s="5" t="inlineStr">
        <is>
          <t>si/10_1016_j_apcata_2018_04_036__mmc1.docx</t>
        </is>
      </c>
      <c r="N8" s="6" t="inlineStr"/>
      <c r="O8" s="6" t="inlineStr"/>
      <c r="P8" s="6" t="inlineStr"/>
      <c r="Q8" s="6" t="inlineStr"/>
      <c r="R8" s="6" t="inlineStr"/>
    </row>
    <row r="9">
      <c r="A9" s="5" t="n">
        <v>8</v>
      </c>
      <c r="B9" s="5" t="inlineStr">
        <is>
          <t>10.1016/j.apcata.2018.04.036</t>
        </is>
      </c>
      <c r="C9" s="5" t="inlineStr">
        <is>
          <t>5PC</t>
        </is>
      </c>
      <c r="D9" s="5" t="inlineStr">
        <is>
          <t>Table 6, 5PC, 220 °C</t>
        </is>
      </c>
      <c r="E9" s="5" t="inlineStr">
        <is>
          <t>CO2 conversion</t>
        </is>
      </c>
      <c r="F9" s="5" t="n">
        <v>1.7</v>
      </c>
      <c r="G9" s="5" t="inlineStr">
        <is>
          <t>%</t>
        </is>
      </c>
      <c r="H9" s="5" t="inlineStr">
        <is>
          <t>Table 6</t>
        </is>
      </c>
      <c r="I9" s="5" t="n">
        <v>8</v>
      </c>
      <c r="J9" s="5" t="inlineStr">
        <is>
          <t>table</t>
        </is>
      </c>
      <c r="K9" s="5" t="inlineStr"/>
      <c r="L9" s="5" t="inlineStr">
        <is>
          <t>pdf/Malik_2018_Development of highly selective PdZnCeO2 and Ca-doped PdZnCeO2 catalysts for met.pdf</t>
        </is>
      </c>
      <c r="M9" s="5" t="inlineStr">
        <is>
          <t>si/10_1016_j_apcata_2018_04_036__mmc1.docx</t>
        </is>
      </c>
      <c r="N9" s="6" t="inlineStr"/>
      <c r="O9" s="6" t="inlineStr"/>
      <c r="P9" s="6" t="inlineStr"/>
      <c r="Q9" s="6" t="inlineStr"/>
      <c r="R9" s="6" t="inlineStr"/>
    </row>
    <row r="10">
      <c r="A10" s="5" t="n">
        <v>9</v>
      </c>
      <c r="B10" s="5" t="inlineStr">
        <is>
          <t>10.1016/j.apcata.2018.04.036</t>
        </is>
      </c>
      <c r="C10" s="5" t="inlineStr">
        <is>
          <t>5P5ZC</t>
        </is>
      </c>
      <c r="D10" s="5" t="inlineStr">
        <is>
          <t>Table 6, 5P5ZC, 220 °C</t>
        </is>
      </c>
      <c r="E10" s="5" t="inlineStr">
        <is>
          <t>H2/CO2</t>
        </is>
      </c>
      <c r="F10" s="5" t="n">
        <v>3</v>
      </c>
      <c r="G10" s="5" t="inlineStr">
        <is>
          <t>mol/mol</t>
        </is>
      </c>
      <c r="H10" s="5" t="inlineStr">
        <is>
          <t>Table 6</t>
        </is>
      </c>
      <c r="I10" s="5" t="n">
        <v>8</v>
      </c>
      <c r="J10" s="5" t="n"/>
      <c r="K10" s="5" t="inlineStr"/>
      <c r="L10" s="5" t="inlineStr">
        <is>
          <t>pdf/Malik_2018_Development of highly selective PdZnCeO2 and Ca-doped PdZnCeO2 catalysts for met.pdf</t>
        </is>
      </c>
      <c r="M10" s="5" t="inlineStr">
        <is>
          <t>si/10_1016_j_apcata_2018_04_036__mmc1.docx</t>
        </is>
      </c>
      <c r="N10" s="6" t="inlineStr"/>
      <c r="O10" s="6" t="inlineStr"/>
      <c r="P10" s="6" t="inlineStr"/>
      <c r="Q10" s="6" t="inlineStr"/>
      <c r="R10" s="6" t="inlineStr"/>
    </row>
    <row r="11">
      <c r="A11" s="5" t="n">
        <v>10</v>
      </c>
      <c r="B11" s="5" t="inlineStr">
        <is>
          <t>10.1016/j.apcata.2018.04.036</t>
        </is>
      </c>
      <c r="C11" s="5" t="inlineStr">
        <is>
          <t>0.5Ca5P5ZC</t>
        </is>
      </c>
      <c r="D11" s="5" t="inlineStr">
        <is>
          <t>Table 6, 0.5Ca5P5ZC, 220 °C</t>
        </is>
      </c>
      <c r="E11" s="5" t="inlineStr">
        <is>
          <t>CO selectivity</t>
        </is>
      </c>
      <c r="F11" s="5" t="n">
        <v>0</v>
      </c>
      <c r="G11" s="5" t="inlineStr">
        <is>
          <t>%</t>
        </is>
      </c>
      <c r="H11" s="5" t="inlineStr">
        <is>
          <t>Table 6</t>
        </is>
      </c>
      <c r="I11" s="5" t="n">
        <v>8</v>
      </c>
      <c r="J11" s="5" t="inlineStr">
        <is>
          <t>table</t>
        </is>
      </c>
      <c r="K11" s="5" t="inlineStr"/>
      <c r="L11" s="5" t="inlineStr">
        <is>
          <t>pdf/Malik_2018_Development of highly selective PdZnCeO2 and Ca-doped PdZnCeO2 catalysts for met.pdf</t>
        </is>
      </c>
      <c r="M11" s="5" t="inlineStr">
        <is>
          <t>si/10_1016_j_apcata_2018_04_036__mmc1.docx</t>
        </is>
      </c>
      <c r="N11" s="6" t="inlineStr"/>
      <c r="O11" s="6" t="inlineStr"/>
      <c r="P11" s="6" t="inlineStr"/>
      <c r="Q11" s="6" t="inlineStr"/>
      <c r="R11" s="6" t="inlineStr"/>
    </row>
    <row r="12">
      <c r="A12" s="5" t="n">
        <v>11</v>
      </c>
      <c r="B12" s="5" t="inlineStr">
        <is>
          <t>10.1126/sciadv.abi6012</t>
        </is>
      </c>
      <c r="C12" s="5" t="inlineStr">
        <is>
          <t>a-ZrO2</t>
        </is>
      </c>
      <c r="D12" s="5" t="inlineStr">
        <is>
          <t>SI Table S2 row a-ZrO2</t>
        </is>
      </c>
      <c r="E12" s="5" t="inlineStr">
        <is>
          <t>CO selectivity</t>
        </is>
      </c>
      <c r="F12" s="5" t="n">
        <v>26.8</v>
      </c>
      <c r="G12" s="5" t="inlineStr">
        <is>
          <t>%</t>
        </is>
      </c>
      <c r="H12" s="5" t="inlineStr">
        <is>
          <t>SI Table S2</t>
        </is>
      </c>
      <c r="I12" s="5" t="n">
        <v>19</v>
      </c>
      <c r="J12" s="5" t="inlineStr">
        <is>
          <t>SI</t>
        </is>
      </c>
      <c r="K12" s="5" t="inlineStr">
        <is>
          <t>cat_mass_g&lt;-figures</t>
        </is>
      </c>
      <c r="L12" s="5" t="inlineStr">
        <is>
          <t>pdf/Meng_2021_Oxygen-deficient metal oxides supported nano-intermetallic InNi 3 C 05 toward ef.pdf</t>
        </is>
      </c>
      <c r="M12" s="5" t="inlineStr">
        <is>
          <t>si/10_1126_sciadv_abi6012__si1.pdf</t>
        </is>
      </c>
      <c r="N12" s="6" t="inlineStr"/>
      <c r="O12" s="6" t="inlineStr"/>
      <c r="P12" s="6" t="inlineStr"/>
      <c r="Q12" s="6" t="inlineStr"/>
      <c r="R12" s="6" t="inlineStr"/>
    </row>
    <row r="13">
      <c r="A13" s="5" t="n">
        <v>12</v>
      </c>
      <c r="B13" s="5" t="inlineStr">
        <is>
          <t>10.1126/sciadv.abi6012</t>
        </is>
      </c>
      <c r="C13" s="5" t="inlineStr">
        <is>
          <t>InNi3C0.5/t-ZrO2</t>
        </is>
      </c>
      <c r="D13" s="5" t="inlineStr">
        <is>
          <t>Fig. 2B, InNi3C0.5/t-ZrO2, 24000 ml gcat-1 hour-1</t>
        </is>
      </c>
      <c r="E13" s="5" t="inlineStr">
        <is>
          <t>STY (printed)</t>
        </is>
      </c>
      <c r="F13" s="5" t="inlineStr">
        <is>
          <t>0.3 gMeOH gcat−1 hour−1</t>
        </is>
      </c>
      <c r="G13" s="5" t="inlineStr">
        <is>
          <t>as printed</t>
        </is>
      </c>
      <c r="H13" s="5" t="inlineStr">
        <is>
          <t>Fig. 2B and Results text</t>
        </is>
      </c>
      <c r="I13" s="5" t="n">
        <v>3</v>
      </c>
      <c r="J13" s="5" t="inlineStr">
        <is>
          <t>mixed</t>
        </is>
      </c>
      <c r="K13" s="5" t="inlineStr">
        <is>
          <t>X_CO2&lt;-si;S_MeOH&lt;-si;S_CO&lt;-si;S_CH4&lt;-si</t>
        </is>
      </c>
      <c r="L13" s="5" t="inlineStr">
        <is>
          <t>pdf/Meng_2021_Oxygen-deficient metal oxides supported nano-intermetallic InNi 3 C 05 toward ef.pdf</t>
        </is>
      </c>
      <c r="M13" s="5" t="inlineStr">
        <is>
          <t>si/10_1126_sciadv_abi6012__si1.pdf</t>
        </is>
      </c>
      <c r="N13" s="6" t="inlineStr"/>
      <c r="O13" s="6" t="inlineStr"/>
      <c r="P13" s="6" t="inlineStr"/>
      <c r="Q13" s="6" t="inlineStr"/>
      <c r="R13" s="6" t="inlineStr"/>
    </row>
    <row r="14">
      <c r="A14" s="5" t="n">
        <v>13</v>
      </c>
      <c r="B14" s="5" t="inlineStr">
        <is>
          <t>10.1126/sciadv.abi6012</t>
        </is>
      </c>
      <c r="C14" s="5" t="inlineStr">
        <is>
          <t>SiO2</t>
        </is>
      </c>
      <c r="D14" s="5" t="inlineStr">
        <is>
          <t>SI Table S2 row SiO2</t>
        </is>
      </c>
      <c r="E14" s="5" t="inlineStr">
        <is>
          <t>H2/CO2</t>
        </is>
      </c>
      <c r="F14" s="5" t="n">
        <v>3</v>
      </c>
      <c r="G14" s="5" t="inlineStr">
        <is>
          <t>mol/mol</t>
        </is>
      </c>
      <c r="H14" s="5" t="inlineStr">
        <is>
          <t>SI Table S2</t>
        </is>
      </c>
      <c r="I14" s="5" t="n">
        <v>19</v>
      </c>
      <c r="J14" s="5" t="n"/>
      <c r="K14" s="5" t="inlineStr"/>
      <c r="L14" s="5" t="inlineStr">
        <is>
          <t>pdf/Meng_2021_Oxygen-deficient metal oxides supported nano-intermetallic InNi 3 C 05 toward ef.pdf</t>
        </is>
      </c>
      <c r="M14" s="5" t="inlineStr">
        <is>
          <t>si/10_1126_sciadv_abi6012__si1.pdf</t>
        </is>
      </c>
      <c r="N14" s="6" t="inlineStr"/>
      <c r="O14" s="6" t="inlineStr"/>
      <c r="P14" s="6" t="inlineStr"/>
      <c r="Q14" s="6" t="inlineStr"/>
      <c r="R14" s="6" t="inlineStr"/>
    </row>
    <row r="15">
      <c r="A15" s="5" t="n">
        <v>14</v>
      </c>
      <c r="B15" s="5" t="inlineStr">
        <is>
          <t>10.1126/sciadv.abi6012</t>
        </is>
      </c>
      <c r="C15" s="5" t="inlineStr">
        <is>
          <t>InNi3C0.5/ZnO</t>
        </is>
      </c>
      <c r="D15" s="5" t="inlineStr">
        <is>
          <t>SI Table S2 row InNi3C0.5/ZnO</t>
        </is>
      </c>
      <c r="E15" s="5" t="inlineStr">
        <is>
          <t>CO2 conversion</t>
        </is>
      </c>
      <c r="F15" s="5" t="n">
        <v>7.8</v>
      </c>
      <c r="G15" s="5" t="inlineStr">
        <is>
          <t>%</t>
        </is>
      </c>
      <c r="H15" s="5" t="inlineStr">
        <is>
          <t>SI Table S2</t>
        </is>
      </c>
      <c r="I15" s="5" t="n">
        <v>19</v>
      </c>
      <c r="J15" s="5" t="inlineStr">
        <is>
          <t>SI</t>
        </is>
      </c>
      <c r="K15" s="5" t="inlineStr"/>
      <c r="L15" s="5" t="inlineStr">
        <is>
          <t>pdf/Meng_2021_Oxygen-deficient metal oxides supported nano-intermetallic InNi 3 C 05 toward ef.pdf</t>
        </is>
      </c>
      <c r="M15" s="5" t="inlineStr">
        <is>
          <t>si/10_1126_sciadv_abi6012__si1.pdf</t>
        </is>
      </c>
      <c r="N15" s="6" t="inlineStr"/>
      <c r="O15" s="6" t="inlineStr"/>
      <c r="P15" s="6" t="inlineStr"/>
      <c r="Q15" s="6" t="inlineStr"/>
      <c r="R15" s="6" t="inlineStr"/>
    </row>
    <row r="16">
      <c r="A16" s="5" t="n">
        <v>15</v>
      </c>
      <c r="B16" s="5" t="inlineStr">
        <is>
          <t>10.1126/sciadv.abi6012</t>
        </is>
      </c>
      <c r="C16" s="5" t="inlineStr">
        <is>
          <t>InNi3C0.5/TiO2</t>
        </is>
      </c>
      <c r="D16" s="5" t="inlineStr">
        <is>
          <t>SI Table S2 row InNi3C0.5/TiO2</t>
        </is>
      </c>
      <c r="E16" s="5" t="inlineStr">
        <is>
          <t>CH3OH selectivity</t>
        </is>
      </c>
      <c r="F16" s="5" t="n">
        <v>66.3</v>
      </c>
      <c r="G16" s="5" t="inlineStr">
        <is>
          <t>%</t>
        </is>
      </c>
      <c r="H16" s="5" t="inlineStr">
        <is>
          <t>SI Table S2</t>
        </is>
      </c>
      <c r="I16" s="5" t="n">
        <v>19</v>
      </c>
      <c r="J16" s="5" t="inlineStr">
        <is>
          <t>SI</t>
        </is>
      </c>
      <c r="K16" s="5" t="inlineStr"/>
      <c r="L16" s="5" t="inlineStr">
        <is>
          <t>pdf/Meng_2021_Oxygen-deficient metal oxides supported nano-intermetallic InNi 3 C 05 toward ef.pdf</t>
        </is>
      </c>
      <c r="M16" s="5" t="inlineStr">
        <is>
          <t>si/10_1126_sciadv_abi6012__si1.pdf</t>
        </is>
      </c>
      <c r="N16" s="6" t="inlineStr"/>
      <c r="O16" s="6" t="inlineStr"/>
      <c r="P16" s="6" t="inlineStr"/>
      <c r="Q16" s="6" t="inlineStr"/>
      <c r="R16" s="6" t="inlineStr"/>
    </row>
    <row r="17">
      <c r="A17" s="5" t="n">
        <v>16</v>
      </c>
      <c r="B17" s="5" t="inlineStr">
        <is>
          <t>10.1126/sciadv.abi6012</t>
        </is>
      </c>
      <c r="C17" s="5" t="inlineStr">
        <is>
          <t>m-ZrO2</t>
        </is>
      </c>
      <c r="D17" s="5" t="inlineStr">
        <is>
          <t>SI Table S2 row m-ZrO2</t>
        </is>
      </c>
      <c r="E17" s="5" t="inlineStr">
        <is>
          <t>space velocity</t>
        </is>
      </c>
      <c r="F17" s="5" t="inlineStr">
        <is>
          <t>12000 mL gcat−1 h−1</t>
        </is>
      </c>
      <c r="G17" s="5" t="inlineStr">
        <is>
          <t>as printed</t>
        </is>
      </c>
      <c r="H17" s="5" t="inlineStr">
        <is>
          <t>SI Table S2</t>
        </is>
      </c>
      <c r="I17" s="5" t="n">
        <v>19</v>
      </c>
      <c r="J17" s="5" t="inlineStr">
        <is>
          <t>SI</t>
        </is>
      </c>
      <c r="K17" s="5" t="inlineStr">
        <is>
          <t>cat_mass_g&lt;-figures</t>
        </is>
      </c>
      <c r="L17" s="5" t="inlineStr">
        <is>
          <t>pdf/Meng_2021_Oxygen-deficient metal oxides supported nano-intermetallic InNi 3 C 05 toward ef.pdf</t>
        </is>
      </c>
      <c r="M17" s="5" t="inlineStr">
        <is>
          <t>si/10_1126_sciadv_abi6012__si1.pdf</t>
        </is>
      </c>
      <c r="N17" s="6" t="inlineStr"/>
      <c r="O17" s="6" t="inlineStr"/>
      <c r="P17" s="6" t="inlineStr"/>
      <c r="Q17" s="6" t="inlineStr"/>
      <c r="R17" s="6" t="inlineStr"/>
    </row>
    <row r="18">
      <c r="A18" s="5" t="n">
        <v>17</v>
      </c>
      <c r="B18" s="5" t="inlineStr">
        <is>
          <t>10.1126/sciadv.abi6012</t>
        </is>
      </c>
      <c r="C18" s="5" t="inlineStr">
        <is>
          <t>InNi3C0.5/a-ZrO2</t>
        </is>
      </c>
      <c r="D18" s="5" t="inlineStr">
        <is>
          <t>Fig. 2A, InNi3C0.5/a-ZrO2, 12000 ml gcat-1 hour-1</t>
        </is>
      </c>
      <c r="E18" s="5" t="inlineStr">
        <is>
          <t>CH4 selectivity</t>
        </is>
      </c>
      <c r="F18" s="5" t="n">
        <v>0.4</v>
      </c>
      <c r="G18" s="5" t="inlineStr">
        <is>
          <t>%</t>
        </is>
      </c>
      <c r="H18" s="5" t="inlineStr">
        <is>
          <t>Fig. 2A</t>
        </is>
      </c>
      <c r="I18" s="5" t="n">
        <v>3</v>
      </c>
      <c r="J18" s="5" t="inlineStr">
        <is>
          <t>SI</t>
        </is>
      </c>
      <c r="K18" s="5" t="inlineStr">
        <is>
          <t>X_CO2&lt;-si;S_MeOH&lt;-si;S_CO&lt;-si;S_CH4&lt;-si;GHSV&lt;-si;H2_CO2&lt;-si</t>
        </is>
      </c>
      <c r="L18" s="5" t="inlineStr">
        <is>
          <t>pdf/Meng_2021_Oxygen-deficient metal oxides supported nano-intermetallic InNi 3 C 05 toward ef.pdf</t>
        </is>
      </c>
      <c r="M18" s="5" t="inlineStr">
        <is>
          <t>si/10_1126_sciadv_abi6012__si1.pdf</t>
        </is>
      </c>
      <c r="N18" s="6" t="inlineStr"/>
      <c r="O18" s="6" t="inlineStr"/>
      <c r="P18" s="6" t="inlineStr"/>
      <c r="Q18" s="6" t="inlineStr"/>
      <c r="R18" s="6" t="inlineStr"/>
    </row>
    <row r="19">
      <c r="A19" s="5" t="n">
        <v>18</v>
      </c>
      <c r="B19" s="5" t="inlineStr">
        <is>
          <t>10.1126/sciadv.abi6012</t>
        </is>
      </c>
      <c r="C19" s="5" t="inlineStr">
        <is>
          <t>InNi3C0.5/m-ZrO2</t>
        </is>
      </c>
      <c r="D19" s="5" t="inlineStr">
        <is>
          <t>Fig. 2A, InNi3C0.5/m-ZrO2, 12000 ml gcat-1 hour-1</t>
        </is>
      </c>
      <c r="E19" s="5" t="inlineStr">
        <is>
          <t>H2/CO2</t>
        </is>
      </c>
      <c r="F19" s="5" t="n">
        <v>3</v>
      </c>
      <c r="G19" s="5" t="inlineStr">
        <is>
          <t>mol/mol</t>
        </is>
      </c>
      <c r="H19" s="5" t="inlineStr">
        <is>
          <t>Fig. 2A and Results text</t>
        </is>
      </c>
      <c r="I19" s="5" t="n">
        <v>3</v>
      </c>
      <c r="J19" s="5" t="n"/>
      <c r="K19" s="5" t="inlineStr">
        <is>
          <t>S_CO&lt;-si;S_CH4&lt;-si</t>
        </is>
      </c>
      <c r="L19" s="5" t="inlineStr">
        <is>
          <t>pdf/Meng_2021_Oxygen-deficient metal oxides supported nano-intermetallic InNi 3 C 05 toward ef.pdf</t>
        </is>
      </c>
      <c r="M19" s="5" t="inlineStr">
        <is>
          <t>si/10_1126_sciadv_abi6012__si1.pdf</t>
        </is>
      </c>
      <c r="N19" s="6" t="inlineStr"/>
      <c r="O19" s="6" t="inlineStr"/>
      <c r="P19" s="6" t="inlineStr"/>
      <c r="Q19" s="6" t="inlineStr"/>
      <c r="R19" s="6" t="inlineStr"/>
    </row>
    <row r="20">
      <c r="A20" s="5" t="n">
        <v>19</v>
      </c>
      <c r="B20" s="5" t="inlineStr">
        <is>
          <t>10.1126/sciadv.abi6012</t>
        </is>
      </c>
      <c r="C20" s="5" t="inlineStr">
        <is>
          <t>m-ZrO2</t>
        </is>
      </c>
      <c r="D20" s="5" t="inlineStr">
        <is>
          <t>SI Table S2 row m-ZrO2</t>
        </is>
      </c>
      <c r="E20" s="5" t="inlineStr">
        <is>
          <t>temperature</t>
        </is>
      </c>
      <c r="F20" s="5" t="n">
        <v>300</v>
      </c>
      <c r="G20" s="5" t="inlineStr">
        <is>
          <t>°C (from K)</t>
        </is>
      </c>
      <c r="H20" s="5" t="inlineStr">
        <is>
          <t>SI Table S2</t>
        </is>
      </c>
      <c r="I20" s="5" t="n">
        <v>19</v>
      </c>
      <c r="J20" s="5" t="n"/>
      <c r="K20" s="5" t="inlineStr">
        <is>
          <t>cat_mass_g&lt;-figures</t>
        </is>
      </c>
      <c r="L20" s="5" t="inlineStr">
        <is>
          <t>pdf/Meng_2021_Oxygen-deficient metal oxides supported nano-intermetallic InNi 3 C 05 toward ef.pdf</t>
        </is>
      </c>
      <c r="M20" s="5" t="inlineStr">
        <is>
          <t>si/10_1126_sciadv_abi6012__si1.pdf</t>
        </is>
      </c>
      <c r="N20" s="6" t="inlineStr"/>
      <c r="O20" s="6" t="inlineStr"/>
      <c r="P20" s="6" t="inlineStr"/>
      <c r="Q20" s="6" t="inlineStr"/>
      <c r="R20" s="6" t="inlineStr"/>
    </row>
    <row r="21">
      <c r="A21" s="5" t="n">
        <v>20</v>
      </c>
      <c r="B21" s="5" t="inlineStr">
        <is>
          <t>10.1126/sciadv.abi6012</t>
        </is>
      </c>
      <c r="C21" s="5" t="inlineStr">
        <is>
          <t>InNi3C0.5/Fe3O4</t>
        </is>
      </c>
      <c r="D21" s="5" t="inlineStr">
        <is>
          <t>Text/Table S7, InNi3C0.5/Fe3O4, 325C, 4.0 MPa, H2/CO2 8:1, GHSV 30000</t>
        </is>
      </c>
      <c r="E21" s="5" t="inlineStr">
        <is>
          <t>pressure</t>
        </is>
      </c>
      <c r="F21" s="5" t="n">
        <v>40</v>
      </c>
      <c r="G21" s="5" t="inlineStr">
        <is>
          <t>bar</t>
        </is>
      </c>
      <c r="H21" s="5" t="inlineStr">
        <is>
          <t>Results text, Tailoring more advanced InNi3C0.5 catalyst</t>
        </is>
      </c>
      <c r="I21" s="5" t="n">
        <v>6</v>
      </c>
      <c r="J21" s="5" t="n"/>
      <c r="K21" s="5" t="inlineStr">
        <is>
          <t>S_CO&lt;-si;STY&lt;-si</t>
        </is>
      </c>
      <c r="L21" s="5" t="inlineStr">
        <is>
          <t>pdf/Meng_2021_Oxygen-deficient metal oxides supported nano-intermetallic InNi 3 C 05 toward ef.pdf</t>
        </is>
      </c>
      <c r="M21" s="5" t="inlineStr">
        <is>
          <t>si/10_1126_sciadv_abi6012__si1.pdf</t>
        </is>
      </c>
      <c r="N21" s="6" t="inlineStr"/>
      <c r="O21" s="6" t="inlineStr"/>
      <c r="P21" s="6" t="inlineStr"/>
      <c r="Q21" s="6" t="inlineStr"/>
      <c r="R21" s="6" t="inlineStr"/>
    </row>
    <row r="22">
      <c r="A22" s="5" t="n">
        <v>21</v>
      </c>
      <c r="B22" s="5" t="inlineStr">
        <is>
          <t>10.1039/c2cy20604h</t>
        </is>
      </c>
      <c r="C22" s="5" t="inlineStr">
        <is>
          <t>Cu–Ba/Al2O3</t>
        </is>
      </c>
      <c r="D22" s="5" t="inlineStr">
        <is>
          <t>Text, Cu-Ba/Al2O3, 443 K, 36 MPa</t>
        </is>
      </c>
      <c r="E22" s="5" t="inlineStr">
        <is>
          <t>temperature</t>
        </is>
      </c>
      <c r="F22" s="5" t="n">
        <v>169.85</v>
      </c>
      <c r="G22" s="5" t="inlineStr">
        <is>
          <t>°C (from K)</t>
        </is>
      </c>
      <c r="H22" s="5" t="inlineStr">
        <is>
          <t>Text discussing methyl formate formation</t>
        </is>
      </c>
      <c r="I22" s="5" t="n">
        <v>7</v>
      </c>
      <c r="J22" s="5" t="n"/>
      <c r="K22" s="5" t="inlineStr">
        <is>
          <t>X_CO2&lt;-si;S_MeOH&lt;-si;S_CO&lt;-si;STY&lt;-si</t>
        </is>
      </c>
      <c r="L22" s="5" t="inlineStr">
        <is>
          <t>pdf/Bansode_2013_Impact of K and Ba promoters on CO 2 hydrogenation over CuAl 2 O 3 catalysts at.pdf</t>
        </is>
      </c>
      <c r="M22" s="5" t="inlineStr">
        <is>
          <t>si/10_1039_c2cy20604h__si1.pdf</t>
        </is>
      </c>
      <c r="N22" s="6" t="inlineStr"/>
      <c r="O22" s="6" t="inlineStr"/>
      <c r="P22" s="6" t="inlineStr"/>
      <c r="Q22" s="6" t="inlineStr"/>
      <c r="R22" s="6" t="inlineStr"/>
    </row>
    <row r="23">
      <c r="A23" s="5" t="n">
        <v>22</v>
      </c>
      <c r="B23" s="5" t="inlineStr">
        <is>
          <t>10.1039/c2cy20604h</t>
        </is>
      </c>
      <c r="C23" s="5" t="inlineStr">
        <is>
          <t>Cu–Ba/Al2O3</t>
        </is>
      </c>
      <c r="D23" s="5" t="inlineStr">
        <is>
          <t>SI Table 3, 503 K, 36 MPa</t>
        </is>
      </c>
      <c r="E23" s="5" t="inlineStr">
        <is>
          <t>STY (printed)</t>
        </is>
      </c>
      <c r="F23" s="5" t="inlineStr">
        <is>
          <t>56.5 mg gcat-1 h-1</t>
        </is>
      </c>
      <c r="G23" s="5" t="inlineStr">
        <is>
          <t>as printed</t>
        </is>
      </c>
      <c r="H23" s="5" t="inlineStr">
        <is>
          <t>SI Table 3</t>
        </is>
      </c>
      <c r="I23" s="5" t="n">
        <v>4</v>
      </c>
      <c r="J23" s="5" t="inlineStr">
        <is>
          <t>SI</t>
        </is>
      </c>
      <c r="K23" s="5" t="inlineStr"/>
      <c r="L23" s="5" t="inlineStr">
        <is>
          <t>pdf/Bansode_2013_Impact of K and Ba promoters on CO 2 hydrogenation over CuAl 2 O 3 catalysts at.pdf</t>
        </is>
      </c>
      <c r="M23" s="5" t="inlineStr">
        <is>
          <t>si/10_1039_c2cy20604h__si1.pdf</t>
        </is>
      </c>
      <c r="N23" s="6" t="inlineStr"/>
      <c r="O23" s="6" t="inlineStr"/>
      <c r="P23" s="6" t="inlineStr"/>
      <c r="Q23" s="6" t="inlineStr"/>
      <c r="R23" s="6" t="inlineStr"/>
    </row>
    <row r="24">
      <c r="A24" s="5" t="n">
        <v>23</v>
      </c>
      <c r="B24" s="5" t="inlineStr">
        <is>
          <t>10.1039/c2cy20604h</t>
        </is>
      </c>
      <c r="C24" s="5" t="inlineStr">
        <is>
          <t>Cu–Ba/Al2O3</t>
        </is>
      </c>
      <c r="D24" s="5" t="inlineStr">
        <is>
          <t>SI Table 3, 533 K, 0.4 MPa</t>
        </is>
      </c>
      <c r="E24" s="5" t="inlineStr">
        <is>
          <t>CH3OH selectivity</t>
        </is>
      </c>
      <c r="F24" s="5" t="n">
        <v>4.4</v>
      </c>
      <c r="G24" s="5" t="inlineStr">
        <is>
          <t>%</t>
        </is>
      </c>
      <c r="H24" s="5" t="inlineStr">
        <is>
          <t>SI Table 3</t>
        </is>
      </c>
      <c r="I24" s="5" t="n">
        <v>4</v>
      </c>
      <c r="J24" s="5" t="inlineStr">
        <is>
          <t>SI</t>
        </is>
      </c>
      <c r="K24" s="5" t="inlineStr"/>
      <c r="L24" s="5" t="inlineStr">
        <is>
          <t>pdf/Bansode_2013_Impact of K and Ba promoters on CO 2 hydrogenation over CuAl 2 O 3 catalysts at.pdf</t>
        </is>
      </c>
      <c r="M24" s="5" t="inlineStr">
        <is>
          <t>si/10_1039_c2cy20604h__si1.pdf</t>
        </is>
      </c>
      <c r="N24" s="6" t="inlineStr"/>
      <c r="O24" s="6" t="inlineStr"/>
      <c r="P24" s="6" t="inlineStr"/>
      <c r="Q24" s="6" t="inlineStr"/>
      <c r="R24" s="6" t="inlineStr"/>
    </row>
    <row r="25">
      <c r="A25" s="5" t="n">
        <v>24</v>
      </c>
      <c r="B25" s="5" t="inlineStr">
        <is>
          <t>10.1039/c2cy20604h</t>
        </is>
      </c>
      <c r="C25" s="5" t="inlineStr">
        <is>
          <t>Cu/Al2O3</t>
        </is>
      </c>
      <c r="D25" s="5" t="inlineStr">
        <is>
          <t>Fig 5/Fig 6, Cu/Al2O3, 443 K, 10 MPa</t>
        </is>
      </c>
      <c r="E25" s="5" t="inlineStr">
        <is>
          <t>CH3OH selectivity</t>
        </is>
      </c>
      <c r="F25" s="5" t="n">
        <v>80</v>
      </c>
      <c r="G25" s="5" t="inlineStr">
        <is>
          <t>%</t>
        </is>
      </c>
      <c r="H25" s="5" t="inlineStr">
        <is>
          <t>Figure 5 and text on page 7</t>
        </is>
      </c>
      <c r="I25" s="5" t="n">
        <v>6</v>
      </c>
      <c r="J25" s="5" t="inlineStr">
        <is>
          <t>mixed</t>
        </is>
      </c>
      <c r="K25" s="5" t="inlineStr">
        <is>
          <t>X_CO2&lt;-si;S_CO&lt;-si;STY&lt;-si;GHSV&lt;-figures</t>
        </is>
      </c>
      <c r="L25" s="5" t="inlineStr">
        <is>
          <t>pdf/Bansode_2013_Impact of K and Ba promoters on CO 2 hydrogenation over CuAl 2 O 3 catalysts at.pdf</t>
        </is>
      </c>
      <c r="M25" s="5" t="inlineStr">
        <is>
          <t>si/10_1039_c2cy20604h__si1.pdf</t>
        </is>
      </c>
      <c r="N25" s="6" t="inlineStr"/>
      <c r="O25" s="6" t="inlineStr"/>
      <c r="P25" s="6" t="inlineStr"/>
      <c r="Q25" s="6" t="inlineStr"/>
      <c r="R25" s="6" t="inlineStr"/>
    </row>
    <row r="26">
      <c r="A26" s="5" t="n">
        <v>25</v>
      </c>
      <c r="B26" s="5" t="inlineStr">
        <is>
          <t>10.1039/c2cy20604h</t>
        </is>
      </c>
      <c r="C26" s="5" t="inlineStr">
        <is>
          <t>Cu–K/Al2O3</t>
        </is>
      </c>
      <c r="D26" s="5" t="inlineStr">
        <is>
          <t>Fig 7, Cu-K/Al2O3, 533 K, 36 MPa</t>
        </is>
      </c>
      <c r="E26" s="5" t="inlineStr">
        <is>
          <t>STY (printed)</t>
        </is>
      </c>
      <c r="F26" s="5" t="inlineStr">
        <is>
          <t>10.6 mg gcat-1 h-1</t>
        </is>
      </c>
      <c r="G26" s="5" t="inlineStr">
        <is>
          <t>as printed</t>
        </is>
      </c>
      <c r="H26" s="5" t="inlineStr">
        <is>
          <t>Figure 7</t>
        </is>
      </c>
      <c r="I26" s="5" t="n">
        <v>7</v>
      </c>
      <c r="J26" s="5" t="inlineStr">
        <is>
          <t>SI</t>
        </is>
      </c>
      <c r="K26" s="5" t="inlineStr">
        <is>
          <t>X_CO2&lt;-si;S_MeOH&lt;-si;S_CO&lt;-si;STY&lt;-si;H2_CO2&lt;-si;GHSV&lt;-figures</t>
        </is>
      </c>
      <c r="L26" s="5" t="inlineStr">
        <is>
          <t>pdf/Bansode_2013_Impact of K and Ba promoters on CO 2 hydrogenation over CuAl 2 O 3 catalysts at.pdf</t>
        </is>
      </c>
      <c r="M26" s="5" t="inlineStr">
        <is>
          <t>si/10_1039_c2cy20604h__si1.pdf</t>
        </is>
      </c>
      <c r="N26" s="6" t="inlineStr"/>
      <c r="O26" s="6" t="inlineStr"/>
      <c r="P26" s="6" t="inlineStr"/>
      <c r="Q26" s="6" t="inlineStr"/>
      <c r="R26" s="6" t="inlineStr"/>
    </row>
    <row r="27">
      <c r="A27" s="5" t="n">
        <v>26</v>
      </c>
      <c r="B27" s="5" t="inlineStr">
        <is>
          <t>10.1039/c2cy20604h</t>
        </is>
      </c>
      <c r="C27" s="5" t="inlineStr">
        <is>
          <t>Cu–Ba/Al2O3</t>
        </is>
      </c>
      <c r="D27" s="5" t="inlineStr">
        <is>
          <t>SI Table 3, 553 K, 0.4 MPa</t>
        </is>
      </c>
      <c r="E27" s="5" t="inlineStr">
        <is>
          <t>CO selectivity</t>
        </is>
      </c>
      <c r="F27" s="5" t="n">
        <v>98.09999999999999</v>
      </c>
      <c r="G27" s="5" t="inlineStr">
        <is>
          <t>%</t>
        </is>
      </c>
      <c r="H27" s="5" t="inlineStr">
        <is>
          <t>SI Table 3</t>
        </is>
      </c>
      <c r="I27" s="5" t="n">
        <v>4</v>
      </c>
      <c r="J27" s="5" t="inlineStr">
        <is>
          <t>SI</t>
        </is>
      </c>
      <c r="K27" s="5" t="inlineStr"/>
      <c r="L27" s="5" t="inlineStr">
        <is>
          <t>pdf/Bansode_2013_Impact of K and Ba promoters on CO 2 hydrogenation over CuAl 2 O 3 catalysts at.pdf</t>
        </is>
      </c>
      <c r="M27" s="5" t="inlineStr">
        <is>
          <t>si/10_1039_c2cy20604h__si1.pdf</t>
        </is>
      </c>
      <c r="N27" s="6" t="inlineStr"/>
      <c r="O27" s="6" t="inlineStr"/>
      <c r="P27" s="6" t="inlineStr"/>
      <c r="Q27" s="6" t="inlineStr"/>
      <c r="R27" s="6" t="inlineStr"/>
    </row>
    <row r="28">
      <c r="A28" s="5" t="n">
        <v>27</v>
      </c>
      <c r="B28" s="5" t="inlineStr">
        <is>
          <t>10.1039/c2cy20604h</t>
        </is>
      </c>
      <c r="C28" s="5" t="inlineStr">
        <is>
          <t>Cu–Ba/Al2O3</t>
        </is>
      </c>
      <c r="D28" s="5" t="inlineStr">
        <is>
          <t>SI Table 3, 443 K, 0.4 MPa</t>
        </is>
      </c>
      <c r="E28" s="5" t="inlineStr">
        <is>
          <t>CO selectivity</t>
        </is>
      </c>
      <c r="F28" s="5" t="n">
        <v>72.5</v>
      </c>
      <c r="G28" s="5" t="inlineStr">
        <is>
          <t>%</t>
        </is>
      </c>
      <c r="H28" s="5" t="inlineStr">
        <is>
          <t>SI Table 3</t>
        </is>
      </c>
      <c r="I28" s="5" t="n">
        <v>4</v>
      </c>
      <c r="J28" s="5" t="inlineStr">
        <is>
          <t>SI</t>
        </is>
      </c>
      <c r="K28" s="5" t="inlineStr"/>
      <c r="L28" s="5" t="inlineStr">
        <is>
          <t>pdf/Bansode_2013_Impact of K and Ba promoters on CO 2 hydrogenation over CuAl 2 O 3 catalysts at.pdf</t>
        </is>
      </c>
      <c r="M28" s="5" t="inlineStr">
        <is>
          <t>si/10_1039_c2cy20604h__si1.pdf</t>
        </is>
      </c>
      <c r="N28" s="6" t="inlineStr"/>
      <c r="O28" s="6" t="inlineStr"/>
      <c r="P28" s="6" t="inlineStr"/>
      <c r="Q28" s="6" t="inlineStr"/>
      <c r="R28" s="6" t="inlineStr"/>
    </row>
    <row r="29">
      <c r="A29" s="5" t="n">
        <v>28</v>
      </c>
      <c r="B29" s="5" t="inlineStr">
        <is>
          <t>10.1039/c2cy20604h</t>
        </is>
      </c>
      <c r="C29" s="5" t="inlineStr">
        <is>
          <t>Cu–Ba/Al2O3</t>
        </is>
      </c>
      <c r="D29" s="5" t="inlineStr">
        <is>
          <t>Fig 8, Cu-Ba/Al2O3, 473 K, 10 MPa</t>
        </is>
      </c>
      <c r="E29" s="5" t="inlineStr">
        <is>
          <t>temperature</t>
        </is>
      </c>
      <c r="F29" s="5" t="n">
        <v>199.85</v>
      </c>
      <c r="G29" s="5" t="inlineStr">
        <is>
          <t>°C (from K)</t>
        </is>
      </c>
      <c r="H29" s="5" t="inlineStr">
        <is>
          <t>Figure 8 and abstract</t>
        </is>
      </c>
      <c r="I29" s="5" t="n">
        <v>7</v>
      </c>
      <c r="J29" s="5" t="n"/>
      <c r="K29" s="5" t="inlineStr">
        <is>
          <t>X_CO2&lt;-si;S_CO&lt;-si;STY&lt;-si;GHSV&lt;-figures</t>
        </is>
      </c>
      <c r="L29" s="5" t="inlineStr">
        <is>
          <t>pdf/Bansode_2013_Impact of K and Ba promoters on CO 2 hydrogenation over CuAl 2 O 3 catalysts at.pdf</t>
        </is>
      </c>
      <c r="M29" s="5" t="inlineStr">
        <is>
          <t>si/10_1039_c2cy20604h__si1.pdf</t>
        </is>
      </c>
      <c r="N29" s="6" t="inlineStr"/>
      <c r="O29" s="6" t="inlineStr"/>
      <c r="P29" s="6" t="inlineStr"/>
      <c r="Q29" s="6" t="inlineStr"/>
      <c r="R29" s="6" t="inlineStr"/>
    </row>
    <row r="30">
      <c r="A30" s="5" t="n">
        <v>29</v>
      </c>
      <c r="B30" s="5" t="inlineStr">
        <is>
          <t>10.1039/c2cy20604h</t>
        </is>
      </c>
      <c r="C30" s="5" t="inlineStr">
        <is>
          <t>Cu–K/Al2O3</t>
        </is>
      </c>
      <c r="D30" s="5" t="inlineStr">
        <is>
          <t>Fig 7/Fig 8, Cu-K/Al2O3, 473 K, 36 MPa</t>
        </is>
      </c>
      <c r="E30" s="5" t="inlineStr">
        <is>
          <t>CO2 conversion</t>
        </is>
      </c>
      <c r="F30" s="5" t="n">
        <v>8.9</v>
      </c>
      <c r="G30" s="5" t="inlineStr">
        <is>
          <t>%</t>
        </is>
      </c>
      <c r="H30" s="5" t="inlineStr">
        <is>
          <t>Figure 7 and Figure 8</t>
        </is>
      </c>
      <c r="I30" s="5" t="n">
        <v>7</v>
      </c>
      <c r="J30" s="5" t="inlineStr">
        <is>
          <t>SI</t>
        </is>
      </c>
      <c r="K30" s="5" t="inlineStr">
        <is>
          <t>X_CO2&lt;-si;S_MeOH&lt;-si;S_CO&lt;-si;STY&lt;-si;H2_CO2&lt;-si;GHSV&lt;-figures</t>
        </is>
      </c>
      <c r="L30" s="5" t="inlineStr">
        <is>
          <t>pdf/Bansode_2013_Impact of K and Ba promoters on CO 2 hydrogenation over CuAl 2 O 3 catalysts at.pdf</t>
        </is>
      </c>
      <c r="M30" s="5" t="inlineStr">
        <is>
          <t>si/10_1039_c2cy20604h__si1.pdf</t>
        </is>
      </c>
      <c r="N30" s="6" t="inlineStr"/>
      <c r="O30" s="6" t="inlineStr"/>
      <c r="P30" s="6" t="inlineStr"/>
      <c r="Q30" s="6" t="inlineStr"/>
      <c r="R30" s="6" t="inlineStr"/>
    </row>
    <row r="31">
      <c r="A31" s="5" t="n">
        <v>30</v>
      </c>
      <c r="B31" s="5" t="inlineStr">
        <is>
          <t>10.1039/c2cy20604h</t>
        </is>
      </c>
      <c r="C31" s="5" t="inlineStr">
        <is>
          <t>Cu–K/Al2O3</t>
        </is>
      </c>
      <c r="D31" s="5" t="inlineStr">
        <is>
          <t>Fig 7, Cu-K/Al2O3, 533 K, 3 MPa</t>
        </is>
      </c>
      <c r="E31" s="5" t="inlineStr">
        <is>
          <t>CO selectivity</t>
        </is>
      </c>
      <c r="F31" s="5" t="n">
        <v>98.09999999999999</v>
      </c>
      <c r="G31" s="5" t="inlineStr">
        <is>
          <t>%</t>
        </is>
      </c>
      <c r="H31" s="5" t="inlineStr">
        <is>
          <t>Figure 7</t>
        </is>
      </c>
      <c r="I31" s="5" t="n">
        <v>7</v>
      </c>
      <c r="J31" s="5" t="inlineStr">
        <is>
          <t>SI</t>
        </is>
      </c>
      <c r="K31" s="5" t="inlineStr">
        <is>
          <t>X_CO2&lt;-si;S_MeOH&lt;-si;S_CO&lt;-si;STY&lt;-si;H2_CO2&lt;-si;GHSV&lt;-figures</t>
        </is>
      </c>
      <c r="L31" s="5" t="inlineStr">
        <is>
          <t>pdf/Bansode_2013_Impact of K and Ba promoters on CO 2 hydrogenation over CuAl 2 O 3 catalysts at.pdf</t>
        </is>
      </c>
      <c r="M31" s="5" t="inlineStr">
        <is>
          <t>si/10_1039_c2cy20604h__si1.pdf</t>
        </is>
      </c>
      <c r="N31" s="6" t="inlineStr"/>
      <c r="O31" s="6" t="inlineStr"/>
      <c r="P31" s="6" t="inlineStr"/>
      <c r="Q31" s="6" t="inlineStr"/>
      <c r="R31" s="6" t="inlineStr"/>
    </row>
    <row r="32">
      <c r="A32" s="5" t="n">
        <v>31</v>
      </c>
      <c r="B32" s="5" t="inlineStr">
        <is>
          <t>10.1038/s41467-019-11349-9</t>
        </is>
      </c>
      <c r="C32" s="5" t="inlineStr">
        <is>
          <t>Pd–In2O3 CP</t>
        </is>
      </c>
      <c r="D32" s="5" t="inlineStr">
        <is>
          <t>Table 2 Pd–In2O3 CP, WHSV 48,000 initial</t>
        </is>
      </c>
      <c r="E32" s="5" t="inlineStr">
        <is>
          <t>pressure</t>
        </is>
      </c>
      <c r="F32" s="5" t="n">
        <v>50</v>
      </c>
      <c r="G32" s="5" t="inlineStr">
        <is>
          <t>bar</t>
        </is>
      </c>
      <c r="H32" s="5" t="inlineStr">
        <is>
          <t>Table 2</t>
        </is>
      </c>
      <c r="I32" s="5" t="n">
        <v>9</v>
      </c>
      <c r="J32" s="5" t="n"/>
      <c r="K32" s="5" t="inlineStr"/>
      <c r="L32" s="5" t="inlineStr">
        <is>
          <t>pdf/Frei_2019_Atomic-scale engineering of indium oxide promotion by palladium for methanol pro.pdf</t>
        </is>
      </c>
      <c r="M32" s="5" t="inlineStr">
        <is>
          <t>si/10_1038_s41467_019_11349_9__si1.pdf; si/10_1038_s41467_019_11349_9__si2.pdf</t>
        </is>
      </c>
      <c r="N32" s="6" t="inlineStr"/>
      <c r="O32" s="6" t="inlineStr"/>
      <c r="P32" s="6" t="inlineStr"/>
      <c r="Q32" s="6" t="inlineStr"/>
      <c r="R32" s="6" t="inlineStr"/>
    </row>
    <row r="33">
      <c r="A33" s="5" t="n">
        <v>32</v>
      </c>
      <c r="B33" s="5" t="inlineStr">
        <is>
          <t>10.1038/s41467-019-11349-9</t>
        </is>
      </c>
      <c r="C33" s="5" t="inlineStr">
        <is>
          <t>CP</t>
        </is>
      </c>
      <c r="D33" s="5" t="inlineStr">
        <is>
          <t>Fig. 6/text Pd–In2O3 CP stability, start</t>
        </is>
      </c>
      <c r="E33" s="5" t="inlineStr">
        <is>
          <t>CH3OH selectivity</t>
        </is>
      </c>
      <c r="F33" s="5" t="n">
        <v>75</v>
      </c>
      <c r="G33" s="5" t="inlineStr">
        <is>
          <t>%</t>
        </is>
      </c>
      <c r="H33" s="5" t="inlineStr">
        <is>
          <t>Fig. 6 and Results text</t>
        </is>
      </c>
      <c r="I33" s="5" t="n">
        <v>8</v>
      </c>
      <c r="J33" s="5" t="inlineStr">
        <is>
          <t>mixed</t>
        </is>
      </c>
      <c r="K33" s="5" t="inlineStr"/>
      <c r="L33" s="5" t="inlineStr">
        <is>
          <t>pdf/Frei_2019_Atomic-scale engineering of indium oxide promotion by palladium for methanol pro.pdf</t>
        </is>
      </c>
      <c r="M33" s="5" t="inlineStr">
        <is>
          <t>si/10_1038_s41467_019_11349_9__si1.pdf; si/10_1038_s41467_019_11349_9__si2.pdf</t>
        </is>
      </c>
      <c r="N33" s="6" t="inlineStr"/>
      <c r="O33" s="6" t="inlineStr"/>
      <c r="P33" s="6" t="inlineStr"/>
      <c r="Q33" s="6" t="inlineStr"/>
      <c r="R33" s="6" t="inlineStr"/>
    </row>
    <row r="34">
      <c r="A34" s="5" t="n">
        <v>33</v>
      </c>
      <c r="B34" s="5" t="inlineStr">
        <is>
          <t>10.1038/s41467-019-11349-9</t>
        </is>
      </c>
      <c r="C34" s="5" t="inlineStr">
        <is>
          <t>Pd–In2O3 CP</t>
        </is>
      </c>
      <c r="D34" s="5" t="inlineStr">
        <is>
          <t>Table 2 Pd–In2O3 CP, WHSV 48,000 initial</t>
        </is>
      </c>
      <c r="E34" s="5" t="inlineStr">
        <is>
          <t>temperature</t>
        </is>
      </c>
      <c r="F34" s="5" t="n">
        <v>279.85</v>
      </c>
      <c r="G34" s="5" t="inlineStr">
        <is>
          <t>°C (from K)</t>
        </is>
      </c>
      <c r="H34" s="5" t="inlineStr">
        <is>
          <t>Table 2</t>
        </is>
      </c>
      <c r="I34" s="5" t="n">
        <v>9</v>
      </c>
      <c r="J34" s="5" t="n"/>
      <c r="K34" s="5" t="inlineStr"/>
      <c r="L34" s="5" t="inlineStr">
        <is>
          <t>pdf/Frei_2019_Atomic-scale engineering of indium oxide promotion by palladium for methanol pro.pdf</t>
        </is>
      </c>
      <c r="M34" s="5" t="inlineStr">
        <is>
          <t>si/10_1038_s41467_019_11349_9__si1.pdf; si/10_1038_s41467_019_11349_9__si2.pdf</t>
        </is>
      </c>
      <c r="N34" s="6" t="inlineStr"/>
      <c r="O34" s="6" t="inlineStr"/>
      <c r="P34" s="6" t="inlineStr"/>
      <c r="Q34" s="6" t="inlineStr"/>
      <c r="R34" s="6" t="inlineStr"/>
    </row>
    <row r="35">
      <c r="A35" s="5" t="n">
        <v>34</v>
      </c>
      <c r="B35" s="5" t="inlineStr">
        <is>
          <t>10.1038/s41467-019-11349-9</t>
        </is>
      </c>
      <c r="C35" s="5" t="inlineStr">
        <is>
          <t>CP</t>
        </is>
      </c>
      <c r="D35" s="5" t="inlineStr">
        <is>
          <t>Fig. 6/text Pd–In2O3 CP stability, after 500 h</t>
        </is>
      </c>
      <c r="E35" s="5" t="inlineStr">
        <is>
          <t>temperature</t>
        </is>
      </c>
      <c r="F35" s="5" t="n">
        <v>279.85</v>
      </c>
      <c r="G35" s="5" t="inlineStr">
        <is>
          <t>°C (from K)</t>
        </is>
      </c>
      <c r="H35" s="5" t="inlineStr">
        <is>
          <t>Fig. 6 and Results text</t>
        </is>
      </c>
      <c r="I35" s="5" t="n">
        <v>8</v>
      </c>
      <c r="J35" s="5" t="n"/>
      <c r="K35" s="5" t="inlineStr"/>
      <c r="L35" s="5" t="inlineStr">
        <is>
          <t>pdf/Frei_2019_Atomic-scale engineering of indium oxide promotion by palladium for methanol pro.pdf</t>
        </is>
      </c>
      <c r="M35" s="5" t="inlineStr">
        <is>
          <t>si/10_1038_s41467_019_11349_9__si1.pdf; si/10_1038_s41467_019_11349_9__si2.pdf</t>
        </is>
      </c>
      <c r="N35" s="6" t="inlineStr"/>
      <c r="O35" s="6" t="inlineStr"/>
      <c r="P35" s="6" t="inlineStr"/>
      <c r="Q35" s="6" t="inlineStr"/>
      <c r="R35" s="6" t="inlineStr"/>
    </row>
    <row r="36">
      <c r="A36" s="5" t="n">
        <v>35</v>
      </c>
      <c r="B36" s="5" t="inlineStr">
        <is>
          <t>10.1038/s41467-019-11349-9</t>
        </is>
      </c>
      <c r="C36" s="5" t="inlineStr">
        <is>
          <t>CP</t>
        </is>
      </c>
      <c r="D36" s="5" t="inlineStr">
        <is>
          <t>Fig. 6/text Pd–In2O3 CP stability, start</t>
        </is>
      </c>
      <c r="E36" s="5" t="inlineStr">
        <is>
          <t>CO2 conversion</t>
        </is>
      </c>
      <c r="F36" s="5" t="n">
        <v>9.699999999999999</v>
      </c>
      <c r="G36" s="5" t="inlineStr">
        <is>
          <t>%</t>
        </is>
      </c>
      <c r="H36" s="5" t="inlineStr">
        <is>
          <t>Fig. 6 and Results text</t>
        </is>
      </c>
      <c r="I36" s="5" t="n">
        <v>8</v>
      </c>
      <c r="J36" s="5" t="inlineStr">
        <is>
          <t>mixed</t>
        </is>
      </c>
      <c r="K36" s="5" t="inlineStr"/>
      <c r="L36" s="5" t="inlineStr">
        <is>
          <t>pdf/Frei_2019_Atomic-scale engineering of indium oxide promotion by palladium for methanol pro.pdf</t>
        </is>
      </c>
      <c r="M36" s="5" t="inlineStr">
        <is>
          <t>si/10_1038_s41467_019_11349_9__si1.pdf; si/10_1038_s41467_019_11349_9__si2.pdf</t>
        </is>
      </c>
      <c r="N36" s="6" t="inlineStr"/>
      <c r="O36" s="6" t="inlineStr"/>
      <c r="P36" s="6" t="inlineStr"/>
      <c r="Q36" s="6" t="inlineStr"/>
      <c r="R36" s="6" t="inlineStr"/>
    </row>
    <row r="37">
      <c r="A37" s="5" t="n">
        <v>36</v>
      </c>
      <c r="B37" s="5" t="inlineStr">
        <is>
          <t>10.1038/s41467-019-11349-9</t>
        </is>
      </c>
      <c r="C37" s="5" t="inlineStr">
        <is>
          <t>CP</t>
        </is>
      </c>
      <c r="D37" s="5" t="inlineStr">
        <is>
          <t>Fig. 6/text Pd–In2O3 CP stability, start</t>
        </is>
      </c>
      <c r="E37" s="5" t="inlineStr">
        <is>
          <t>H2/CO2</t>
        </is>
      </c>
      <c r="F37" s="5" t="n">
        <v>4</v>
      </c>
      <c r="G37" s="5" t="inlineStr">
        <is>
          <t>mol/mol</t>
        </is>
      </c>
      <c r="H37" s="5" t="inlineStr">
        <is>
          <t>Fig. 6 and Results text</t>
        </is>
      </c>
      <c r="I37" s="5" t="n">
        <v>8</v>
      </c>
      <c r="J37" s="5" t="n"/>
      <c r="K37" s="5" t="inlineStr"/>
      <c r="L37" s="5" t="inlineStr">
        <is>
          <t>pdf/Frei_2019_Atomic-scale engineering of indium oxide promotion by palladium for methanol pro.pdf</t>
        </is>
      </c>
      <c r="M37" s="5" t="inlineStr">
        <is>
          <t>si/10_1038_s41467_019_11349_9__si1.pdf; si/10_1038_s41467_019_11349_9__si2.pdf</t>
        </is>
      </c>
      <c r="N37" s="6" t="inlineStr"/>
      <c r="O37" s="6" t="inlineStr"/>
      <c r="P37" s="6" t="inlineStr"/>
      <c r="Q37" s="6" t="inlineStr"/>
      <c r="R37" s="6" t="inlineStr"/>
    </row>
    <row r="38">
      <c r="A38" s="5" t="n">
        <v>37</v>
      </c>
      <c r="B38" s="5" t="inlineStr">
        <is>
          <t>10.1038/s41467-019-11349-9</t>
        </is>
      </c>
      <c r="C38" s="5" t="inlineStr">
        <is>
          <t>CP</t>
        </is>
      </c>
      <c r="D38" s="5" t="inlineStr">
        <is>
          <t>Fig. 6/text Pd–In2O3 CP stability, after 500 h</t>
        </is>
      </c>
      <c r="E38" s="5" t="inlineStr">
        <is>
          <t>CO2 conversion</t>
        </is>
      </c>
      <c r="F38" s="5" t="n">
        <v>9.199999999999999</v>
      </c>
      <c r="G38" s="5" t="inlineStr">
        <is>
          <t>%</t>
        </is>
      </c>
      <c r="H38" s="5" t="inlineStr">
        <is>
          <t>Fig. 6 and Results text</t>
        </is>
      </c>
      <c r="I38" s="5" t="n">
        <v>8</v>
      </c>
      <c r="J38" s="5" t="inlineStr">
        <is>
          <t>mixed</t>
        </is>
      </c>
      <c r="K38" s="5" t="inlineStr"/>
      <c r="L38" s="5" t="inlineStr">
        <is>
          <t>pdf/Frei_2019_Atomic-scale engineering of indium oxide promotion by palladium for methanol pro.pdf</t>
        </is>
      </c>
      <c r="M38" s="5" t="inlineStr">
        <is>
          <t>si/10_1038_s41467_019_11349_9__si1.pdf; si/10_1038_s41467_019_11349_9__si2.pdf</t>
        </is>
      </c>
      <c r="N38" s="6" t="inlineStr"/>
      <c r="O38" s="6" t="inlineStr"/>
      <c r="P38" s="6" t="inlineStr"/>
      <c r="Q38" s="6" t="inlineStr"/>
      <c r="R38" s="6" t="inlineStr"/>
    </row>
    <row r="39">
      <c r="A39" s="5" t="n">
        <v>38</v>
      </c>
      <c r="B39" s="5" t="inlineStr">
        <is>
          <t>10.1038/s41467-019-11349-9</t>
        </is>
      </c>
      <c r="C39" s="5" t="inlineStr">
        <is>
          <t>CP</t>
        </is>
      </c>
      <c r="D39" s="5" t="inlineStr">
        <is>
          <t>Fig. 6/text Pd–In2O3 CP stability, start</t>
        </is>
      </c>
      <c r="E39" s="5" t="inlineStr">
        <is>
          <t>temperature</t>
        </is>
      </c>
      <c r="F39" s="5" t="n">
        <v>279.85</v>
      </c>
      <c r="G39" s="5" t="inlineStr">
        <is>
          <t>°C (from K)</t>
        </is>
      </c>
      <c r="H39" s="5" t="inlineStr">
        <is>
          <t>Fig. 6 and Results text</t>
        </is>
      </c>
      <c r="I39" s="5" t="n">
        <v>8</v>
      </c>
      <c r="J39" s="5" t="n"/>
      <c r="K39" s="5" t="inlineStr"/>
      <c r="L39" s="5" t="inlineStr">
        <is>
          <t>pdf/Frei_2019_Atomic-scale engineering of indium oxide promotion by palladium for methanol pro.pdf</t>
        </is>
      </c>
      <c r="M39" s="5" t="inlineStr">
        <is>
          <t>si/10_1038_s41467_019_11349_9__si1.pdf; si/10_1038_s41467_019_11349_9__si2.pdf</t>
        </is>
      </c>
      <c r="N39" s="6" t="inlineStr"/>
      <c r="O39" s="6" t="inlineStr"/>
      <c r="P39" s="6" t="inlineStr"/>
      <c r="Q39" s="6" t="inlineStr"/>
      <c r="R39" s="6" t="inlineStr"/>
    </row>
    <row r="40">
      <c r="A40" s="5" t="n">
        <v>39</v>
      </c>
      <c r="B40" s="5" t="inlineStr">
        <is>
          <t>10.1038/s41467-019-11349-9</t>
        </is>
      </c>
      <c r="C40" s="5" t="inlineStr">
        <is>
          <t>CP</t>
        </is>
      </c>
      <c r="D40" s="5" t="inlineStr">
        <is>
          <t>Fig. 6/text Pd–In2O3 CP stability, start</t>
        </is>
      </c>
      <c r="E40" s="5" t="inlineStr">
        <is>
          <t>pressure</t>
        </is>
      </c>
      <c r="F40" s="5" t="n">
        <v>50</v>
      </c>
      <c r="G40" s="5" t="inlineStr">
        <is>
          <t>bar</t>
        </is>
      </c>
      <c r="H40" s="5" t="inlineStr">
        <is>
          <t>Fig. 6 and Results text</t>
        </is>
      </c>
      <c r="I40" s="5" t="n">
        <v>8</v>
      </c>
      <c r="J40" s="5" t="n"/>
      <c r="K40" s="5" t="inlineStr"/>
      <c r="L40" s="5" t="inlineStr">
        <is>
          <t>pdf/Frei_2019_Atomic-scale engineering of indium oxide promotion by palladium for methanol pro.pdf</t>
        </is>
      </c>
      <c r="M40" s="5" t="inlineStr">
        <is>
          <t>si/10_1038_s41467_019_11349_9__si1.pdf; si/10_1038_s41467_019_11349_9__si2.pdf</t>
        </is>
      </c>
      <c r="N40" s="6" t="inlineStr"/>
      <c r="O40" s="6" t="inlineStr"/>
      <c r="P40" s="6" t="inlineStr"/>
      <c r="Q40" s="6" t="inlineStr"/>
      <c r="R40" s="6" t="inlineStr"/>
    </row>
    <row r="41">
      <c r="A41" s="5" t="n">
        <v>40</v>
      </c>
      <c r="B41" s="5" t="inlineStr">
        <is>
          <t>10.1038/s41467-019-11349-9</t>
        </is>
      </c>
      <c r="C41" s="5" t="inlineStr">
        <is>
          <t>Pd–In2O3 CP</t>
        </is>
      </c>
      <c r="D41" s="5" t="inlineStr">
        <is>
          <t>Table 2 Pd–In2O3 CP, WHSV 48,000 initial</t>
        </is>
      </c>
      <c r="E41" s="5" t="inlineStr">
        <is>
          <t>CO2 conversion</t>
        </is>
      </c>
      <c r="F41" s="5" t="n">
        <v>9.699999999999999</v>
      </c>
      <c r="G41" s="5" t="inlineStr">
        <is>
          <t>%</t>
        </is>
      </c>
      <c r="H41" s="5" t="inlineStr">
        <is>
          <t>Table 2</t>
        </is>
      </c>
      <c r="I41" s="5" t="n">
        <v>9</v>
      </c>
      <c r="J41" s="5" t="inlineStr">
        <is>
          <t>mixed</t>
        </is>
      </c>
      <c r="K41" s="5" t="inlineStr"/>
      <c r="L41" s="5" t="inlineStr">
        <is>
          <t>pdf/Frei_2019_Atomic-scale engineering of indium oxide promotion by palladium for methanol pro.pdf</t>
        </is>
      </c>
      <c r="M41" s="5" t="inlineStr">
        <is>
          <t>si/10_1038_s41467_019_11349_9__si1.pdf; si/10_1038_s41467_019_11349_9__si2.pdf</t>
        </is>
      </c>
      <c r="N41" s="6" t="inlineStr"/>
      <c r="O41" s="6" t="inlineStr"/>
      <c r="P41" s="6" t="inlineStr"/>
      <c r="Q41" s="6" t="inlineStr"/>
      <c r="R41" s="6" t="inlineStr"/>
    </row>
    <row r="42">
      <c r="A42" s="5" t="n">
        <v>41</v>
      </c>
      <c r="B42" s="5" t="inlineStr">
        <is>
          <t>10.1126/sciadv.aaz2060</t>
        </is>
      </c>
      <c r="C42" s="5" t="inlineStr">
        <is>
          <t>h–In2O3-R</t>
        </is>
      </c>
      <c r="D42" s="5" t="inlineStr">
        <is>
          <t>Fig. 5B/C, h–In2O3-R, 240°C, standard feed</t>
        </is>
      </c>
      <c r="E42" s="5" t="inlineStr">
        <is>
          <t>space velocity</t>
        </is>
      </c>
      <c r="F42" s="5" t="inlineStr">
        <is>
          <t>9000 ml gcat−1 hour−1</t>
        </is>
      </c>
      <c r="G42" s="5" t="inlineStr">
        <is>
          <t>as printed</t>
        </is>
      </c>
      <c r="H42" s="5" t="inlineStr">
        <is>
          <t>Figure 5B and Figure 5C</t>
        </is>
      </c>
      <c r="I42" s="5" t="n">
        <v>7</v>
      </c>
      <c r="J42" s="5" t="inlineStr">
        <is>
          <t>mixed</t>
        </is>
      </c>
      <c r="K42" s="5" t="inlineStr"/>
      <c r="L42" s="5" t="inlineStr">
        <is>
          <t>pdf/Dang_2020_Rationally designed indium oxide catalysts for CO 2 hydrogenation to methanol wi.pdf</t>
        </is>
      </c>
      <c r="M42" s="5" t="inlineStr">
        <is>
          <t>si/10_1126_sciadv_aaz2060__si1.pdf</t>
        </is>
      </c>
      <c r="N42" s="6" t="inlineStr"/>
      <c r="O42" s="6" t="inlineStr"/>
      <c r="P42" s="6" t="inlineStr"/>
      <c r="Q42" s="6" t="inlineStr"/>
      <c r="R42" s="6" t="inlineStr"/>
    </row>
    <row r="43">
      <c r="A43" s="5" t="n">
        <v>42</v>
      </c>
      <c r="B43" s="5" t="inlineStr">
        <is>
          <t>10.1126/sciadv.aaz2060</t>
        </is>
      </c>
      <c r="C43" s="5" t="inlineStr">
        <is>
          <t>h–In2O3-R</t>
        </is>
      </c>
      <c r="D43" s="5" t="inlineStr">
        <is>
          <t>Fig. 5E/text, h–In2O3-R stability, initial</t>
        </is>
      </c>
      <c r="E43" s="5" t="inlineStr">
        <is>
          <t>CH3OH selectivity</t>
        </is>
      </c>
      <c r="F43" s="5" t="n">
        <v>71</v>
      </c>
      <c r="G43" s="5" t="inlineStr">
        <is>
          <t>%</t>
        </is>
      </c>
      <c r="H43" s="5" t="inlineStr">
        <is>
          <t>Figure 5E and text on page 6</t>
        </is>
      </c>
      <c r="I43" s="5" t="n">
        <v>7</v>
      </c>
      <c r="J43" s="5" t="inlineStr">
        <is>
          <t>mixed</t>
        </is>
      </c>
      <c r="K43" s="5" t="inlineStr"/>
      <c r="L43" s="5" t="inlineStr">
        <is>
          <t>pdf/Dang_2020_Rationally designed indium oxide catalysts for CO 2 hydrogenation to methanol wi.pdf</t>
        </is>
      </c>
      <c r="M43" s="5" t="inlineStr">
        <is>
          <t>si/10_1126_sciadv_aaz2060__si1.pdf</t>
        </is>
      </c>
      <c r="N43" s="6" t="inlineStr"/>
      <c r="O43" s="6" t="inlineStr"/>
      <c r="P43" s="6" t="inlineStr"/>
      <c r="Q43" s="6" t="inlineStr"/>
      <c r="R43" s="6" t="inlineStr"/>
    </row>
    <row r="44">
      <c r="A44" s="5" t="n">
        <v>43</v>
      </c>
      <c r="B44" s="5" t="inlineStr">
        <is>
          <t>10.1126/sciadv.aaz2060</t>
        </is>
      </c>
      <c r="C44" s="5" t="inlineStr">
        <is>
          <t>h–In2O3-R</t>
        </is>
      </c>
      <c r="D44" s="5" t="inlineStr">
        <is>
          <t>Fig. 5B/C, h–In2O3-R, 240°C, standard feed</t>
        </is>
      </c>
      <c r="E44" s="5" t="inlineStr">
        <is>
          <t>temperature</t>
        </is>
      </c>
      <c r="F44" s="5" t="n">
        <v>240</v>
      </c>
      <c r="G44" s="5" t="inlineStr">
        <is>
          <t>°C (from K)</t>
        </is>
      </c>
      <c r="H44" s="5" t="inlineStr">
        <is>
          <t>Figure 5B and Figure 5C</t>
        </is>
      </c>
      <c r="I44" s="5" t="n">
        <v>7</v>
      </c>
      <c r="J44" s="5" t="n"/>
      <c r="K44" s="5" t="inlineStr"/>
      <c r="L44" s="5" t="inlineStr">
        <is>
          <t>pdf/Dang_2020_Rationally designed indium oxide catalysts for CO 2 hydrogenation to methanol wi.pdf</t>
        </is>
      </c>
      <c r="M44" s="5" t="inlineStr">
        <is>
          <t>si/10_1126_sciadv_aaz2060__si1.pdf</t>
        </is>
      </c>
      <c r="N44" s="6" t="inlineStr"/>
      <c r="O44" s="6" t="inlineStr"/>
      <c r="P44" s="6" t="inlineStr"/>
      <c r="Q44" s="6" t="inlineStr"/>
      <c r="R44" s="6" t="inlineStr"/>
    </row>
    <row r="45">
      <c r="A45" s="5" t="n">
        <v>44</v>
      </c>
      <c r="B45" s="5" t="inlineStr">
        <is>
          <t>10.1126/sciadv.aaz2060</t>
        </is>
      </c>
      <c r="C45" s="5" t="inlineStr">
        <is>
          <t>h–In2O3-R</t>
        </is>
      </c>
      <c r="D45" s="5" t="inlineStr">
        <is>
          <t>Fig. 5E/text, h–In2O3-R stability, 44 h</t>
        </is>
      </c>
      <c r="E45" s="5" t="inlineStr">
        <is>
          <t>pressure</t>
        </is>
      </c>
      <c r="F45" s="5" t="n">
        <v>50</v>
      </c>
      <c r="G45" s="5" t="inlineStr">
        <is>
          <t>bar</t>
        </is>
      </c>
      <c r="H45" s="5" t="inlineStr">
        <is>
          <t>Figure 5E and text on page 6</t>
        </is>
      </c>
      <c r="I45" s="5" t="n">
        <v>7</v>
      </c>
      <c r="J45" s="5" t="n"/>
      <c r="K45" s="5" t="inlineStr"/>
      <c r="L45" s="5" t="inlineStr">
        <is>
          <t>pdf/Dang_2020_Rationally designed indium oxide catalysts for CO 2 hydrogenation to methanol wi.pdf</t>
        </is>
      </c>
      <c r="M45" s="5" t="inlineStr">
        <is>
          <t>si/10_1126_sciadv_aaz2060__si1.pdf</t>
        </is>
      </c>
      <c r="N45" s="6" t="inlineStr"/>
      <c r="O45" s="6" t="inlineStr"/>
      <c r="P45" s="6" t="inlineStr"/>
      <c r="Q45" s="6" t="inlineStr"/>
      <c r="R45" s="6" t="inlineStr"/>
    </row>
    <row r="46">
      <c r="A46" s="5" t="n">
        <v>45</v>
      </c>
      <c r="B46" s="5" t="inlineStr">
        <is>
          <t>10.1126/sciadv.aaz2060</t>
        </is>
      </c>
      <c r="C46" s="5" t="inlineStr">
        <is>
          <t>h–In2O3-R</t>
        </is>
      </c>
      <c r="D46" s="5" t="inlineStr">
        <is>
          <t>Fig. 5E/text, h–In2O3-R stability, initial</t>
        </is>
      </c>
      <c r="E46" s="5" t="inlineStr">
        <is>
          <t>H2/CO2</t>
        </is>
      </c>
      <c r="F46" s="5" t="n">
        <v>3.041666666666667</v>
      </c>
      <c r="G46" s="5" t="inlineStr">
        <is>
          <t>mol/mol</t>
        </is>
      </c>
      <c r="H46" s="5" t="inlineStr">
        <is>
          <t>Figure 5E and text on page 6</t>
        </is>
      </c>
      <c r="I46" s="5" t="n">
        <v>7</v>
      </c>
      <c r="J46" s="5" t="n"/>
      <c r="K46" s="5" t="inlineStr"/>
      <c r="L46" s="5" t="inlineStr">
        <is>
          <t>pdf/Dang_2020_Rationally designed indium oxide catalysts for CO 2 hydrogenation to methanol wi.pdf</t>
        </is>
      </c>
      <c r="M46" s="5" t="inlineStr">
        <is>
          <t>si/10_1126_sciadv_aaz2060__si1.pdf</t>
        </is>
      </c>
      <c r="N46" s="6" t="inlineStr"/>
      <c r="O46" s="6" t="inlineStr"/>
      <c r="P46" s="6" t="inlineStr"/>
      <c r="Q46" s="6" t="inlineStr"/>
      <c r="R46" s="6" t="inlineStr"/>
    </row>
    <row r="47">
      <c r="A47" s="5" t="n">
        <v>46</v>
      </c>
      <c r="B47" s="5" t="inlineStr">
        <is>
          <t>10.1126/sciadv.aaz2060</t>
        </is>
      </c>
      <c r="C47" s="5" t="inlineStr">
        <is>
          <t>h–In2O3-R</t>
        </is>
      </c>
      <c r="D47" s="5" t="inlineStr">
        <is>
          <t>Fig. 5E/text, h–In2O3-R stability, initial</t>
        </is>
      </c>
      <c r="E47" s="5" t="inlineStr">
        <is>
          <t>pressure</t>
        </is>
      </c>
      <c r="F47" s="5" t="n">
        <v>50</v>
      </c>
      <c r="G47" s="5" t="inlineStr">
        <is>
          <t>bar</t>
        </is>
      </c>
      <c r="H47" s="5" t="inlineStr">
        <is>
          <t>Figure 5E and text on page 6</t>
        </is>
      </c>
      <c r="I47" s="5" t="n">
        <v>7</v>
      </c>
      <c r="J47" s="5" t="n"/>
      <c r="K47" s="5" t="inlineStr"/>
      <c r="L47" s="5" t="inlineStr">
        <is>
          <t>pdf/Dang_2020_Rationally designed indium oxide catalysts for CO 2 hydrogenation to methanol wi.pdf</t>
        </is>
      </c>
      <c r="M47" s="5" t="inlineStr">
        <is>
          <t>si/10_1126_sciadv_aaz2060__si1.pdf</t>
        </is>
      </c>
      <c r="N47" s="6" t="inlineStr"/>
      <c r="O47" s="6" t="inlineStr"/>
      <c r="P47" s="6" t="inlineStr"/>
      <c r="Q47" s="6" t="inlineStr"/>
      <c r="R47" s="6" t="inlineStr"/>
    </row>
    <row r="48">
      <c r="A48" s="5" t="n">
        <v>47</v>
      </c>
      <c r="B48" s="5" t="inlineStr">
        <is>
          <t>10.1126/sciadv.aaz2060</t>
        </is>
      </c>
      <c r="C48" s="5" t="inlineStr">
        <is>
          <t>h–In2O3-R</t>
        </is>
      </c>
      <c r="D48" s="5" t="inlineStr">
        <is>
          <t>Fig. 5E/text, h–In2O3-R stability, 44 h</t>
        </is>
      </c>
      <c r="E48" s="5" t="inlineStr">
        <is>
          <t>space velocity</t>
        </is>
      </c>
      <c r="F48" s="5" t="inlineStr">
        <is>
          <t>9000 ml gcat−1 hour−1</t>
        </is>
      </c>
      <c r="G48" s="5" t="inlineStr">
        <is>
          <t>as printed</t>
        </is>
      </c>
      <c r="H48" s="5" t="inlineStr">
        <is>
          <t>Figure 5E and text on page 6</t>
        </is>
      </c>
      <c r="I48" s="5" t="n">
        <v>7</v>
      </c>
      <c r="J48" s="5" t="inlineStr">
        <is>
          <t>mixed</t>
        </is>
      </c>
      <c r="K48" s="5" t="inlineStr"/>
      <c r="L48" s="5" t="inlineStr">
        <is>
          <t>pdf/Dang_2020_Rationally designed indium oxide catalysts for CO 2 hydrogenation to methanol wi.pdf</t>
        </is>
      </c>
      <c r="M48" s="5" t="inlineStr">
        <is>
          <t>si/10_1126_sciadv_aaz2060__si1.pdf</t>
        </is>
      </c>
      <c r="N48" s="6" t="inlineStr"/>
      <c r="O48" s="6" t="inlineStr"/>
      <c r="P48" s="6" t="inlineStr"/>
      <c r="Q48" s="6" t="inlineStr"/>
      <c r="R48" s="6" t="inlineStr"/>
    </row>
    <row r="49">
      <c r="A49" s="5" t="n">
        <v>48</v>
      </c>
      <c r="B49" s="5" t="inlineStr">
        <is>
          <t>10.1126/sciadv.aaz2060</t>
        </is>
      </c>
      <c r="C49" s="5" t="inlineStr">
        <is>
          <t>h–In2O3-R</t>
        </is>
      </c>
      <c r="D49" s="5" t="inlineStr">
        <is>
          <t>Fig. 5B/C, h–In2O3-R, 360°C, standard feed</t>
        </is>
      </c>
      <c r="E49" s="5" t="inlineStr">
        <is>
          <t>temperature</t>
        </is>
      </c>
      <c r="F49" s="5" t="n">
        <v>360</v>
      </c>
      <c r="G49" s="5" t="inlineStr">
        <is>
          <t>°C (from K)</t>
        </is>
      </c>
      <c r="H49" s="5" t="inlineStr">
        <is>
          <t>Figure 5B and Figure 5C</t>
        </is>
      </c>
      <c r="I49" s="5" t="n">
        <v>7</v>
      </c>
      <c r="J49" s="5" t="n"/>
      <c r="K49" s="5" t="inlineStr"/>
      <c r="L49" s="5" t="inlineStr">
        <is>
          <t>pdf/Dang_2020_Rationally designed indium oxide catalysts for CO 2 hydrogenation to methanol wi.pdf</t>
        </is>
      </c>
      <c r="M49" s="5" t="inlineStr">
        <is>
          <t>si/10_1126_sciadv_aaz2060__si1.pdf</t>
        </is>
      </c>
      <c r="N49" s="6" t="inlineStr"/>
      <c r="O49" s="6" t="inlineStr"/>
      <c r="P49" s="6" t="inlineStr"/>
      <c r="Q49" s="6" t="inlineStr"/>
      <c r="R49" s="6" t="inlineStr"/>
    </row>
    <row r="50">
      <c r="A50" s="5" t="n">
        <v>49</v>
      </c>
      <c r="B50" s="5" t="inlineStr">
        <is>
          <t>10.1126/sciadv.aaz2060</t>
        </is>
      </c>
      <c r="C50" s="5" t="inlineStr">
        <is>
          <t>h–In2O3-R</t>
        </is>
      </c>
      <c r="D50" s="5" t="inlineStr">
        <is>
          <t>Fig. 5B/C, h–In2O3-R, 360°C, standard feed</t>
        </is>
      </c>
      <c r="E50" s="5" t="inlineStr">
        <is>
          <t>CO2 conversion</t>
        </is>
      </c>
      <c r="F50" s="5" t="n">
        <v>15.4</v>
      </c>
      <c r="G50" s="5" t="inlineStr">
        <is>
          <t>%</t>
        </is>
      </c>
      <c r="H50" s="5" t="inlineStr">
        <is>
          <t>Figure 5B and Figure 5C</t>
        </is>
      </c>
      <c r="I50" s="5" t="n">
        <v>7</v>
      </c>
      <c r="J50" s="5" t="inlineStr">
        <is>
          <t>mixed</t>
        </is>
      </c>
      <c r="K50" s="5" t="inlineStr"/>
      <c r="L50" s="5" t="inlineStr">
        <is>
          <t>pdf/Dang_2020_Rationally designed indium oxide catalysts for CO 2 hydrogenation to methanol wi.pdf</t>
        </is>
      </c>
      <c r="M50" s="5" t="inlineStr">
        <is>
          <t>si/10_1126_sciadv_aaz2060__si1.pdf</t>
        </is>
      </c>
      <c r="N50" s="6" t="inlineStr"/>
      <c r="O50" s="6" t="inlineStr"/>
      <c r="P50" s="6" t="inlineStr"/>
      <c r="Q50" s="6" t="inlineStr"/>
      <c r="R50" s="6" t="inlineStr"/>
    </row>
    <row r="51">
      <c r="A51" s="5" t="n">
        <v>50</v>
      </c>
      <c r="B51" s="5" t="inlineStr">
        <is>
          <t>10.1126/sciadv.aaz2060</t>
        </is>
      </c>
      <c r="C51" s="5" t="inlineStr">
        <is>
          <t>h–In2O3-R</t>
        </is>
      </c>
      <c r="D51" s="5" t="inlineStr">
        <is>
          <t>Fig. 5B/C, h–In2O3-R, 360°C, standard feed</t>
        </is>
      </c>
      <c r="E51" s="5" t="inlineStr">
        <is>
          <t>pressure</t>
        </is>
      </c>
      <c r="F51" s="5" t="n">
        <v>50</v>
      </c>
      <c r="G51" s="5" t="inlineStr">
        <is>
          <t>bar</t>
        </is>
      </c>
      <c r="H51" s="5" t="inlineStr">
        <is>
          <t>Figure 5B and Figure 5C</t>
        </is>
      </c>
      <c r="I51" s="5" t="n">
        <v>7</v>
      </c>
      <c r="J51" s="5" t="n"/>
      <c r="K51" s="5" t="inlineStr"/>
      <c r="L51" s="5" t="inlineStr">
        <is>
          <t>pdf/Dang_2020_Rationally designed indium oxide catalysts for CO 2 hydrogenation to methanol wi.pdf</t>
        </is>
      </c>
      <c r="M51" s="5" t="inlineStr">
        <is>
          <t>si/10_1126_sciadv_aaz2060__si1.pdf</t>
        </is>
      </c>
      <c r="N51" s="6" t="inlineStr"/>
      <c r="O51" s="6" t="inlineStr"/>
      <c r="P51" s="6" t="inlineStr"/>
      <c r="Q51" s="6" t="inlineStr"/>
      <c r="R51" s="6" t="inlineStr"/>
    </row>
    <row r="52">
      <c r="A52" s="5" t="n">
        <v>51</v>
      </c>
      <c r="B52" s="5" t="inlineStr">
        <is>
          <t>10.1039/c5cy00372e</t>
        </is>
      </c>
      <c r="C52" s="5" t="inlineStr">
        <is>
          <t>CHT-Y0.1</t>
        </is>
      </c>
      <c r="D52" s="5" t="inlineStr">
        <is>
          <t>Table 6 row CHT-Y0.1</t>
        </is>
      </c>
      <c r="E52" s="5" t="inlineStr">
        <is>
          <t>temperature</t>
        </is>
      </c>
      <c r="F52" s="5" t="n">
        <v>229.85</v>
      </c>
      <c r="G52" s="5" t="inlineStr">
        <is>
          <t>°C (from K)</t>
        </is>
      </c>
      <c r="H52" s="5" t="inlineStr">
        <is>
          <t>Table 6</t>
        </is>
      </c>
      <c r="I52" s="5" t="n">
        <v>11</v>
      </c>
      <c r="J52" s="5" t="n"/>
      <c r="K52" s="5" t="inlineStr"/>
      <c r="L52" s="5" t="inlineStr">
        <is>
          <t>pdf/Gao_2015_Yttrium oxide modified CuZnOAl 2 O 3 catalysts via hydrotalcite-like precursors.pdf</t>
        </is>
      </c>
      <c r="M52" s="5" t="inlineStr">
        <is>
          <t>si/10_1039_c5cy00372e__si1.pdf; si/10_1039_c5cy00372e__si2.pdf</t>
        </is>
      </c>
      <c r="N52" s="6" t="inlineStr"/>
      <c r="O52" s="6" t="inlineStr"/>
      <c r="P52" s="6" t="inlineStr"/>
      <c r="Q52" s="6" t="inlineStr"/>
      <c r="R52" s="6" t="inlineStr"/>
    </row>
    <row r="53">
      <c r="A53" s="5" t="n">
        <v>52</v>
      </c>
      <c r="B53" s="5" t="inlineStr">
        <is>
          <t>10.1039/c5cy00372e</t>
        </is>
      </c>
      <c r="C53" s="5" t="inlineStr">
        <is>
          <t>CHT-Y0.5</t>
        </is>
      </c>
      <c r="D53" s="5" t="inlineStr">
        <is>
          <t>Table 6 row CHT-Y0.5</t>
        </is>
      </c>
      <c r="E53" s="5" t="inlineStr">
        <is>
          <t>CO selectivity</t>
        </is>
      </c>
      <c r="F53" s="5" t="n">
        <v>33.1</v>
      </c>
      <c r="G53" s="5" t="inlineStr">
        <is>
          <t>%</t>
        </is>
      </c>
      <c r="H53" s="5" t="inlineStr">
        <is>
          <t>Table 6</t>
        </is>
      </c>
      <c r="I53" s="5" t="n">
        <v>11</v>
      </c>
      <c r="J53" s="5" t="inlineStr">
        <is>
          <t>table</t>
        </is>
      </c>
      <c r="K53" s="5" t="inlineStr"/>
      <c r="L53" s="5" t="inlineStr">
        <is>
          <t>pdf/Gao_2015_Yttrium oxide modified CuZnOAl 2 O 3 catalysts via hydrotalcite-like precursors.pdf</t>
        </is>
      </c>
      <c r="M53" s="5" t="inlineStr">
        <is>
          <t>si/10_1039_c5cy00372e__si1.pdf; si/10_1039_c5cy00372e__si2.pdf</t>
        </is>
      </c>
      <c r="N53" s="6" t="inlineStr"/>
      <c r="O53" s="6" t="inlineStr"/>
      <c r="P53" s="6" t="inlineStr"/>
      <c r="Q53" s="6" t="inlineStr"/>
      <c r="R53" s="6" t="inlineStr"/>
    </row>
    <row r="54">
      <c r="A54" s="5" t="n">
        <v>53</v>
      </c>
      <c r="B54" s="5" t="inlineStr">
        <is>
          <t>10.1039/c5cy00372e</t>
        </is>
      </c>
      <c r="C54" s="5" t="inlineStr">
        <is>
          <t>CHT-Y0.05</t>
        </is>
      </c>
      <c r="D54" s="5" t="inlineStr">
        <is>
          <t>Table 6 row CHT-Y0.05</t>
        </is>
      </c>
      <c r="E54" s="5" t="inlineStr">
        <is>
          <t>CH4 selectivity</t>
        </is>
      </c>
      <c r="F54" s="5" t="n">
        <v>0.2</v>
      </c>
      <c r="G54" s="5" t="inlineStr">
        <is>
          <t>%</t>
        </is>
      </c>
      <c r="H54" s="5" t="inlineStr">
        <is>
          <t>Table 6</t>
        </is>
      </c>
      <c r="I54" s="5" t="n">
        <v>11</v>
      </c>
      <c r="J54" s="5" t="inlineStr">
        <is>
          <t>table</t>
        </is>
      </c>
      <c r="K54" s="5" t="inlineStr"/>
      <c r="L54" s="5" t="inlineStr">
        <is>
          <t>pdf/Gao_2015_Yttrium oxide modified CuZnOAl 2 O 3 catalysts via hydrotalcite-like precursors.pdf</t>
        </is>
      </c>
      <c r="M54" s="5" t="inlineStr">
        <is>
          <t>si/10_1039_c5cy00372e__si1.pdf; si/10_1039_c5cy00372e__si2.pdf</t>
        </is>
      </c>
      <c r="N54" s="6" t="inlineStr"/>
      <c r="O54" s="6" t="inlineStr"/>
      <c r="P54" s="6" t="inlineStr"/>
      <c r="Q54" s="6" t="inlineStr"/>
      <c r="R54" s="6" t="inlineStr"/>
    </row>
    <row r="55">
      <c r="A55" s="5" t="n">
        <v>54</v>
      </c>
      <c r="B55" s="5" t="inlineStr">
        <is>
          <t>10.1039/c5cy00372e</t>
        </is>
      </c>
      <c r="C55" s="5" t="inlineStr">
        <is>
          <t>CHT-Y0</t>
        </is>
      </c>
      <c r="D55" s="5" t="inlineStr">
        <is>
          <t>Table 6 row CHT-Y0</t>
        </is>
      </c>
      <c r="E55" s="5" t="inlineStr">
        <is>
          <t>CO selectivity</t>
        </is>
      </c>
      <c r="F55" s="5" t="n">
        <v>41.6</v>
      </c>
      <c r="G55" s="5" t="inlineStr">
        <is>
          <t>%</t>
        </is>
      </c>
      <c r="H55" s="5" t="inlineStr">
        <is>
          <t>Table 6</t>
        </is>
      </c>
      <c r="I55" s="5" t="n">
        <v>11</v>
      </c>
      <c r="J55" s="5" t="inlineStr">
        <is>
          <t>table</t>
        </is>
      </c>
      <c r="K55" s="5" t="inlineStr"/>
      <c r="L55" s="5" t="inlineStr">
        <is>
          <t>pdf/Gao_2015_Yttrium oxide modified CuZnOAl 2 O 3 catalysts via hydrotalcite-like precursors.pdf</t>
        </is>
      </c>
      <c r="M55" s="5" t="inlineStr">
        <is>
          <t>si/10_1039_c5cy00372e__si1.pdf; si/10_1039_c5cy00372e__si2.pdf</t>
        </is>
      </c>
      <c r="N55" s="6" t="inlineStr"/>
      <c r="O55" s="6" t="inlineStr"/>
      <c r="P55" s="6" t="inlineStr"/>
      <c r="Q55" s="6" t="inlineStr"/>
      <c r="R55" s="6" t="inlineStr"/>
    </row>
    <row r="56">
      <c r="A56" s="5" t="n">
        <v>55</v>
      </c>
      <c r="B56" s="5" t="inlineStr">
        <is>
          <t>10.1039/c5cy00372e</t>
        </is>
      </c>
      <c r="C56" s="5" t="inlineStr">
        <is>
          <t>CHT-Y0.2</t>
        </is>
      </c>
      <c r="D56" s="5" t="inlineStr">
        <is>
          <t>Table 6 row CHT-Y0.2</t>
        </is>
      </c>
      <c r="E56" s="5" t="inlineStr">
        <is>
          <t>CH3OH selectivity</t>
        </is>
      </c>
      <c r="F56" s="5" t="n">
        <v>70.5</v>
      </c>
      <c r="G56" s="5" t="inlineStr">
        <is>
          <t>%</t>
        </is>
      </c>
      <c r="H56" s="5" t="inlineStr">
        <is>
          <t>Table 6</t>
        </is>
      </c>
      <c r="I56" s="5" t="n">
        <v>11</v>
      </c>
      <c r="J56" s="5" t="inlineStr">
        <is>
          <t>table</t>
        </is>
      </c>
      <c r="K56" s="5" t="inlineStr"/>
      <c r="L56" s="5" t="inlineStr">
        <is>
          <t>pdf/Gao_2015_Yttrium oxide modified CuZnOAl 2 O 3 catalysts via hydrotalcite-like precursors.pdf</t>
        </is>
      </c>
      <c r="M56" s="5" t="inlineStr">
        <is>
          <t>si/10_1039_c5cy00372e__si1.pdf; si/10_1039_c5cy00372e__si2.pdf</t>
        </is>
      </c>
      <c r="N56" s="6" t="inlineStr"/>
      <c r="O56" s="6" t="inlineStr"/>
      <c r="P56" s="6" t="inlineStr"/>
      <c r="Q56" s="6" t="inlineStr"/>
      <c r="R56" s="6" t="inlineStr"/>
    </row>
    <row r="57">
      <c r="A57" s="5" t="n">
        <v>56</v>
      </c>
      <c r="B57" s="5" t="inlineStr">
        <is>
          <t>10.1039/c5cy00372e</t>
        </is>
      </c>
      <c r="C57" s="5" t="inlineStr">
        <is>
          <t>CHT-Y0</t>
        </is>
      </c>
      <c r="D57" s="5" t="inlineStr">
        <is>
          <t>Table 6 row CHT-Y0</t>
        </is>
      </c>
      <c r="E57" s="5" t="inlineStr">
        <is>
          <t>CH3OH selectivity</t>
        </is>
      </c>
      <c r="F57" s="5" t="n">
        <v>58.1</v>
      </c>
      <c r="G57" s="5" t="inlineStr">
        <is>
          <t>%</t>
        </is>
      </c>
      <c r="H57" s="5" t="inlineStr">
        <is>
          <t>Table 6</t>
        </is>
      </c>
      <c r="I57" s="5" t="n">
        <v>11</v>
      </c>
      <c r="J57" s="5" t="inlineStr">
        <is>
          <t>table</t>
        </is>
      </c>
      <c r="K57" s="5" t="inlineStr"/>
      <c r="L57" s="5" t="inlineStr">
        <is>
          <t>pdf/Gao_2015_Yttrium oxide modified CuZnOAl 2 O 3 catalysts via hydrotalcite-like precursors.pdf</t>
        </is>
      </c>
      <c r="M57" s="5" t="inlineStr">
        <is>
          <t>si/10_1039_c5cy00372e__si1.pdf; si/10_1039_c5cy00372e__si2.pdf</t>
        </is>
      </c>
      <c r="N57" s="6" t="inlineStr"/>
      <c r="O57" s="6" t="inlineStr"/>
      <c r="P57" s="6" t="inlineStr"/>
      <c r="Q57" s="6" t="inlineStr"/>
      <c r="R57" s="6" t="inlineStr"/>
    </row>
    <row r="58">
      <c r="A58" s="5" t="n">
        <v>57</v>
      </c>
      <c r="B58" s="5" t="inlineStr">
        <is>
          <t>10.1039/c5cy00372e</t>
        </is>
      </c>
      <c r="C58" s="5" t="inlineStr">
        <is>
          <t>CHT-Y0.2</t>
        </is>
      </c>
      <c r="D58" s="5" t="inlineStr">
        <is>
          <t>Table 6 row CHT-Y0.2</t>
        </is>
      </c>
      <c r="E58" s="5" t="inlineStr">
        <is>
          <t>CH4 selectivity</t>
        </is>
      </c>
      <c r="F58" s="5" t="n">
        <v>0.1</v>
      </c>
      <c r="G58" s="5" t="inlineStr">
        <is>
          <t>%</t>
        </is>
      </c>
      <c r="H58" s="5" t="inlineStr">
        <is>
          <t>Table 6</t>
        </is>
      </c>
      <c r="I58" s="5" t="n">
        <v>11</v>
      </c>
      <c r="J58" s="5" t="inlineStr">
        <is>
          <t>table</t>
        </is>
      </c>
      <c r="K58" s="5" t="inlineStr"/>
      <c r="L58" s="5" t="inlineStr">
        <is>
          <t>pdf/Gao_2015_Yttrium oxide modified CuZnOAl 2 O 3 catalysts via hydrotalcite-like precursors.pdf</t>
        </is>
      </c>
      <c r="M58" s="5" t="inlineStr">
        <is>
          <t>si/10_1039_c5cy00372e__si1.pdf; si/10_1039_c5cy00372e__si2.pdf</t>
        </is>
      </c>
      <c r="N58" s="6" t="inlineStr"/>
      <c r="O58" s="6" t="inlineStr"/>
      <c r="P58" s="6" t="inlineStr"/>
      <c r="Q58" s="6" t="inlineStr"/>
      <c r="R58" s="6" t="inlineStr"/>
    </row>
    <row r="59">
      <c r="A59" s="5" t="n">
        <v>58</v>
      </c>
      <c r="B59" s="5" t="inlineStr">
        <is>
          <t>10.1039/c5cy00372e</t>
        </is>
      </c>
      <c r="C59" s="5" t="inlineStr">
        <is>
          <t>CHT-Y0</t>
        </is>
      </c>
      <c r="D59" s="5" t="inlineStr">
        <is>
          <t>Table 6 row CHT-Y0</t>
        </is>
      </c>
      <c r="E59" s="5" t="inlineStr">
        <is>
          <t>CH4 selectivity</t>
        </is>
      </c>
      <c r="F59" s="5" t="n">
        <v>0.3</v>
      </c>
      <c r="G59" s="5" t="inlineStr">
        <is>
          <t>%</t>
        </is>
      </c>
      <c r="H59" s="5" t="inlineStr">
        <is>
          <t>Table 6</t>
        </is>
      </c>
      <c r="I59" s="5" t="n">
        <v>11</v>
      </c>
      <c r="J59" s="5" t="inlineStr">
        <is>
          <t>table</t>
        </is>
      </c>
      <c r="K59" s="5" t="inlineStr"/>
      <c r="L59" s="5" t="inlineStr">
        <is>
          <t>pdf/Gao_2015_Yttrium oxide modified CuZnOAl 2 O 3 catalysts via hydrotalcite-like precursors.pdf</t>
        </is>
      </c>
      <c r="M59" s="5" t="inlineStr">
        <is>
          <t>si/10_1039_c5cy00372e__si1.pdf; si/10_1039_c5cy00372e__si2.pdf</t>
        </is>
      </c>
      <c r="N59" s="6" t="inlineStr"/>
      <c r="O59" s="6" t="inlineStr"/>
      <c r="P59" s="6" t="inlineStr"/>
      <c r="Q59" s="6" t="inlineStr"/>
      <c r="R59" s="6" t="inlineStr"/>
    </row>
    <row r="60">
      <c r="A60" s="5" t="n">
        <v>59</v>
      </c>
      <c r="B60" s="5" t="inlineStr">
        <is>
          <t>10.1039/c5cy00372e</t>
        </is>
      </c>
      <c r="C60" s="5" t="inlineStr">
        <is>
          <t>CHT-Y0.1</t>
        </is>
      </c>
      <c r="D60" s="5" t="inlineStr">
        <is>
          <t>Table 6 row CHT-Y0.1</t>
        </is>
      </c>
      <c r="E60" s="5" t="inlineStr">
        <is>
          <t>STY (printed)</t>
        </is>
      </c>
      <c r="F60" s="5" t="inlineStr">
        <is>
          <t>0.39 g gcat−1 h−1</t>
        </is>
      </c>
      <c r="G60" s="5" t="inlineStr">
        <is>
          <t>as printed</t>
        </is>
      </c>
      <c r="H60" s="5" t="inlineStr">
        <is>
          <t>Table 6</t>
        </is>
      </c>
      <c r="I60" s="5" t="n">
        <v>11</v>
      </c>
      <c r="J60" s="5" t="inlineStr">
        <is>
          <t>table</t>
        </is>
      </c>
      <c r="K60" s="5" t="inlineStr"/>
      <c r="L60" s="5" t="inlineStr">
        <is>
          <t>pdf/Gao_2015_Yttrium oxide modified CuZnOAl 2 O 3 catalysts via hydrotalcite-like precursors.pdf</t>
        </is>
      </c>
      <c r="M60" s="5" t="inlineStr">
        <is>
          <t>si/10_1039_c5cy00372e__si1.pdf; si/10_1039_c5cy00372e__si2.pdf</t>
        </is>
      </c>
      <c r="N60" s="6" t="inlineStr"/>
      <c r="O60" s="6" t="inlineStr"/>
      <c r="P60" s="6" t="inlineStr"/>
      <c r="Q60" s="6" t="inlineStr"/>
      <c r="R60" s="6" t="inlineStr"/>
    </row>
    <row r="61">
      <c r="A61" s="5" t="n">
        <v>60</v>
      </c>
      <c r="B61" s="5" t="inlineStr">
        <is>
          <t>10.1039/c5cy00372e</t>
        </is>
      </c>
      <c r="C61" s="5" t="inlineStr">
        <is>
          <t>CHT-Y0</t>
        </is>
      </c>
      <c r="D61" s="5" t="inlineStr">
        <is>
          <t>Table 6 row CHT-Y0</t>
        </is>
      </c>
      <c r="E61" s="5" t="inlineStr">
        <is>
          <t>pressure</t>
        </is>
      </c>
      <c r="F61" s="5" t="n">
        <v>50</v>
      </c>
      <c r="G61" s="5" t="inlineStr">
        <is>
          <t>bar</t>
        </is>
      </c>
      <c r="H61" s="5" t="inlineStr">
        <is>
          <t>Table 6</t>
        </is>
      </c>
      <c r="I61" s="5" t="n">
        <v>11</v>
      </c>
      <c r="J61" s="5" t="n"/>
      <c r="K61" s="5" t="inlineStr"/>
      <c r="L61" s="5" t="inlineStr">
        <is>
          <t>pdf/Gao_2015_Yttrium oxide modified CuZnOAl 2 O 3 catalysts via hydrotalcite-like precursors.pdf</t>
        </is>
      </c>
      <c r="M61" s="5" t="inlineStr">
        <is>
          <t>si/10_1039_c5cy00372e__si1.pdf; si/10_1039_c5cy00372e__si2.pdf</t>
        </is>
      </c>
      <c r="N61" s="6" t="inlineStr"/>
      <c r="O61" s="6" t="inlineStr"/>
      <c r="P61" s="6" t="inlineStr"/>
      <c r="Q61" s="6" t="inlineStr"/>
      <c r="R61" s="6" t="inlineStr"/>
    </row>
    <row r="62">
      <c r="A62" s="5" t="n">
        <v>61</v>
      </c>
      <c r="B62" s="5" t="inlineStr">
        <is>
          <t>10.1016/j.apcatb.2017.06.069</t>
        </is>
      </c>
      <c r="C62" s="5" t="inlineStr">
        <is>
          <t>In2O3</t>
        </is>
      </c>
      <c r="D62" s="5" t="inlineStr">
        <is>
          <t>SI Table S1, In2O3 This work</t>
        </is>
      </c>
      <c r="E62" s="5" t="inlineStr">
        <is>
          <t>temperature</t>
        </is>
      </c>
      <c r="F62" s="5" t="n">
        <v>300</v>
      </c>
      <c r="G62" s="5" t="inlineStr">
        <is>
          <t>°C (from K)</t>
        </is>
      </c>
      <c r="H62" s="5" t="inlineStr">
        <is>
          <t>SI Table S1</t>
        </is>
      </c>
      <c r="I62" s="5" t="n">
        <v>2</v>
      </c>
      <c r="J62" s="5" t="n"/>
      <c r="K62" s="5" t="inlineStr">
        <is>
          <t>H2_CO2&lt;-figures;cat_mass_g&lt;-figures</t>
        </is>
      </c>
      <c r="L62" s="5" t="inlineStr">
        <is>
          <t>pdf/Rui_2017_CO2 hydrogenation to methanol over PdIn2O3 effects of Pd and oxygen vacancy.pdf</t>
        </is>
      </c>
      <c r="M62" s="5" t="inlineStr">
        <is>
          <t>si/10_1016_j_apcatb_2017_06_069__mmc1.docx</t>
        </is>
      </c>
      <c r="N62" s="6" t="inlineStr"/>
      <c r="O62" s="6" t="inlineStr"/>
      <c r="P62" s="6" t="inlineStr"/>
      <c r="Q62" s="6" t="inlineStr"/>
      <c r="R62" s="6" t="inlineStr"/>
    </row>
    <row r="63">
      <c r="A63" s="5" t="n">
        <v>62</v>
      </c>
      <c r="B63" s="5" t="inlineStr">
        <is>
          <t>10.1016/j.apcatb.2017.06.069</t>
        </is>
      </c>
      <c r="C63" s="5" t="inlineStr">
        <is>
          <t>In2O3</t>
        </is>
      </c>
      <c r="D63" s="5" t="inlineStr">
        <is>
          <t>SI Table S1, In2O3 This work</t>
        </is>
      </c>
      <c r="E63" s="5" t="inlineStr">
        <is>
          <t>STY (printed)</t>
        </is>
      </c>
      <c r="F63" s="5" t="inlineStr">
        <is>
          <t>0.352 gMeOH h-1 gcat-1</t>
        </is>
      </c>
      <c r="G63" s="5" t="inlineStr">
        <is>
          <t>as printed</t>
        </is>
      </c>
      <c r="H63" s="5" t="inlineStr">
        <is>
          <t>SI Table S1</t>
        </is>
      </c>
      <c r="I63" s="5" t="n">
        <v>2</v>
      </c>
      <c r="J63" s="5" t="inlineStr">
        <is>
          <t>SI</t>
        </is>
      </c>
      <c r="K63" s="5" t="inlineStr">
        <is>
          <t>H2_CO2&lt;-figures;cat_mass_g&lt;-figures</t>
        </is>
      </c>
      <c r="L63" s="5" t="inlineStr">
        <is>
          <t>pdf/Rui_2017_CO2 hydrogenation to methanol over PdIn2O3 effects of Pd and oxygen vacancy.pdf</t>
        </is>
      </c>
      <c r="M63" s="5" t="inlineStr">
        <is>
          <t>si/10_1016_j_apcatb_2017_06_069__mmc1.docx</t>
        </is>
      </c>
      <c r="N63" s="6" t="inlineStr"/>
      <c r="O63" s="6" t="inlineStr"/>
      <c r="P63" s="6" t="inlineStr"/>
      <c r="Q63" s="6" t="inlineStr"/>
      <c r="R63" s="6" t="inlineStr"/>
    </row>
    <row r="64">
      <c r="A64" s="5" t="n">
        <v>63</v>
      </c>
      <c r="B64" s="5" t="inlineStr">
        <is>
          <t>10.1016/j.apcatb.2017.06.069</t>
        </is>
      </c>
      <c r="C64" s="5" t="inlineStr">
        <is>
          <t>Pd-I/In2O3</t>
        </is>
      </c>
      <c r="D64" s="5" t="inlineStr">
        <is>
          <t>SI Table S2, Pd-I/In2O3 This work</t>
        </is>
      </c>
      <c r="E64" s="5" t="inlineStr">
        <is>
          <t>CH3OH selectivity</t>
        </is>
      </c>
      <c r="F64" s="5" t="n">
        <v>72.7</v>
      </c>
      <c r="G64" s="5" t="inlineStr">
        <is>
          <t>%</t>
        </is>
      </c>
      <c r="H64" s="5" t="inlineStr">
        <is>
          <t>SI Table S2</t>
        </is>
      </c>
      <c r="I64" s="5" t="n">
        <v>3</v>
      </c>
      <c r="J64" s="5" t="inlineStr">
        <is>
          <t>SI</t>
        </is>
      </c>
      <c r="K64" s="5" t="inlineStr">
        <is>
          <t>H2_CO2&lt;-figures;cat_mass_g&lt;-figures;metal_wt_pct&lt;-figures</t>
        </is>
      </c>
      <c r="L64" s="5" t="inlineStr">
        <is>
          <t>pdf/Rui_2017_CO2 hydrogenation to methanol over PdIn2O3 effects of Pd and oxygen vacancy.pdf</t>
        </is>
      </c>
      <c r="M64" s="5" t="inlineStr">
        <is>
          <t>si/10_1016_j_apcatb_2017_06_069__mmc1.docx</t>
        </is>
      </c>
      <c r="N64" s="6" t="inlineStr"/>
      <c r="O64" s="6" t="inlineStr"/>
      <c r="P64" s="6" t="inlineStr"/>
      <c r="Q64" s="6" t="inlineStr"/>
      <c r="R64" s="6" t="inlineStr"/>
    </row>
    <row r="65">
      <c r="A65" s="5" t="n">
        <v>64</v>
      </c>
      <c r="B65" s="5" t="inlineStr">
        <is>
          <t>10.1016/j.apcatb.2017.06.069</t>
        </is>
      </c>
      <c r="C65" s="5" t="inlineStr">
        <is>
          <t>Pd-I/In2O3</t>
        </is>
      </c>
      <c r="D65" s="5" t="inlineStr">
        <is>
          <t>SI Table S2, Pd-I/In2O3 This work</t>
        </is>
      </c>
      <c r="E65" s="5" t="inlineStr">
        <is>
          <t>pressure</t>
        </is>
      </c>
      <c r="F65" s="5" t="n">
        <v>50</v>
      </c>
      <c r="G65" s="5" t="inlineStr">
        <is>
          <t>bar</t>
        </is>
      </c>
      <c r="H65" s="5" t="inlineStr">
        <is>
          <t>SI Table S2</t>
        </is>
      </c>
      <c r="I65" s="5" t="n">
        <v>3</v>
      </c>
      <c r="J65" s="5" t="n"/>
      <c r="K65" s="5" t="inlineStr">
        <is>
          <t>H2_CO2&lt;-figures;cat_mass_g&lt;-figures;metal_wt_pct&lt;-figures</t>
        </is>
      </c>
      <c r="L65" s="5" t="inlineStr">
        <is>
          <t>pdf/Rui_2017_CO2 hydrogenation to methanol over PdIn2O3 effects of Pd and oxygen vacancy.pdf</t>
        </is>
      </c>
      <c r="M65" s="5" t="inlineStr">
        <is>
          <t>si/10_1016_j_apcatb_2017_06_069__mmc1.docx</t>
        </is>
      </c>
      <c r="N65" s="6" t="inlineStr"/>
      <c r="O65" s="6" t="inlineStr"/>
      <c r="P65" s="6" t="inlineStr"/>
      <c r="Q65" s="6" t="inlineStr"/>
      <c r="R65" s="6" t="inlineStr"/>
    </row>
    <row r="66">
      <c r="A66" s="5" t="n">
        <v>65</v>
      </c>
      <c r="B66" s="5" t="inlineStr">
        <is>
          <t>10.1016/j.apcatb.2017.06.069</t>
        </is>
      </c>
      <c r="C66" s="5" t="inlineStr">
        <is>
          <t>Pd-I/In2O3</t>
        </is>
      </c>
      <c r="D66" s="5" t="inlineStr">
        <is>
          <t>SI Table S2, Pd-I/In2O3 This work</t>
        </is>
      </c>
      <c r="E66" s="5" t="inlineStr">
        <is>
          <t>temperature</t>
        </is>
      </c>
      <c r="F66" s="5" t="n">
        <v>300</v>
      </c>
      <c r="G66" s="5" t="inlineStr">
        <is>
          <t>°C (from K)</t>
        </is>
      </c>
      <c r="H66" s="5" t="inlineStr">
        <is>
          <t>SI Table S2</t>
        </is>
      </c>
      <c r="I66" s="5" t="n">
        <v>3</v>
      </c>
      <c r="J66" s="5" t="n"/>
      <c r="K66" s="5" t="inlineStr">
        <is>
          <t>H2_CO2&lt;-figures;cat_mass_g&lt;-figures;metal_wt_pct&lt;-figures</t>
        </is>
      </c>
      <c r="L66" s="5" t="inlineStr">
        <is>
          <t>pdf/Rui_2017_CO2 hydrogenation to methanol over PdIn2O3 effects of Pd and oxygen vacancy.pdf</t>
        </is>
      </c>
      <c r="M66" s="5" t="inlineStr">
        <is>
          <t>si/10_1016_j_apcatb_2017_06_069__mmc1.docx</t>
        </is>
      </c>
      <c r="N66" s="6" t="inlineStr"/>
      <c r="O66" s="6" t="inlineStr"/>
      <c r="P66" s="6" t="inlineStr"/>
      <c r="Q66" s="6" t="inlineStr"/>
      <c r="R66" s="6" t="inlineStr"/>
    </row>
    <row r="67">
      <c r="A67" s="5" t="n">
        <v>66</v>
      </c>
      <c r="B67" s="5" t="inlineStr">
        <is>
          <t>10.1016/j.apcatb.2017.06.069</t>
        </is>
      </c>
      <c r="C67" s="5" t="inlineStr">
        <is>
          <t>Pd-I/In2O3</t>
        </is>
      </c>
      <c r="D67" s="5" t="inlineStr">
        <is>
          <t>SI Table S2, Pd-I/In2O3 This work</t>
        </is>
      </c>
      <c r="E67" s="5" t="inlineStr">
        <is>
          <t>CO2 conversion</t>
        </is>
      </c>
      <c r="F67" s="5" t="n">
        <v>18.4</v>
      </c>
      <c r="G67" s="5" t="inlineStr">
        <is>
          <t>%</t>
        </is>
      </c>
      <c r="H67" s="5" t="inlineStr">
        <is>
          <t>SI Table S2</t>
        </is>
      </c>
      <c r="I67" s="5" t="n">
        <v>3</v>
      </c>
      <c r="J67" s="5" t="inlineStr">
        <is>
          <t>SI</t>
        </is>
      </c>
      <c r="K67" s="5" t="inlineStr">
        <is>
          <t>H2_CO2&lt;-figures;cat_mass_g&lt;-figures;metal_wt_pct&lt;-figures</t>
        </is>
      </c>
      <c r="L67" s="5" t="inlineStr">
        <is>
          <t>pdf/Rui_2017_CO2 hydrogenation to methanol over PdIn2O3 effects of Pd and oxygen vacancy.pdf</t>
        </is>
      </c>
      <c r="M67" s="5" t="inlineStr">
        <is>
          <t>si/10_1016_j_apcatb_2017_06_069__mmc1.docx</t>
        </is>
      </c>
      <c r="N67" s="6" t="inlineStr"/>
      <c r="O67" s="6" t="inlineStr"/>
      <c r="P67" s="6" t="inlineStr"/>
      <c r="Q67" s="6" t="inlineStr"/>
      <c r="R67" s="6" t="inlineStr"/>
    </row>
    <row r="68">
      <c r="A68" s="5" t="n">
        <v>67</v>
      </c>
      <c r="B68" s="5" t="inlineStr">
        <is>
          <t>10.1016/j.apcatb.2017.06.069</t>
        </is>
      </c>
      <c r="C68" s="5" t="inlineStr">
        <is>
          <t>In2O3</t>
        </is>
      </c>
      <c r="D68" s="5" t="inlineStr">
        <is>
          <t>SI Table S1, In2O3 This work</t>
        </is>
      </c>
      <c r="E68" s="5" t="inlineStr">
        <is>
          <t>pressure</t>
        </is>
      </c>
      <c r="F68" s="5" t="n">
        <v>50</v>
      </c>
      <c r="G68" s="5" t="inlineStr">
        <is>
          <t>bar</t>
        </is>
      </c>
      <c r="H68" s="5" t="inlineStr">
        <is>
          <t>SI Table S1</t>
        </is>
      </c>
      <c r="I68" s="5" t="n">
        <v>2</v>
      </c>
      <c r="J68" s="5" t="n"/>
      <c r="K68" s="5" t="inlineStr">
        <is>
          <t>H2_CO2&lt;-figures;cat_mass_g&lt;-figures</t>
        </is>
      </c>
      <c r="L68" s="5" t="inlineStr">
        <is>
          <t>pdf/Rui_2017_CO2 hydrogenation to methanol over PdIn2O3 effects of Pd and oxygen vacancy.pdf</t>
        </is>
      </c>
      <c r="M68" s="5" t="inlineStr">
        <is>
          <t>si/10_1016_j_apcatb_2017_06_069__mmc1.docx</t>
        </is>
      </c>
      <c r="N68" s="6" t="inlineStr"/>
      <c r="O68" s="6" t="inlineStr"/>
      <c r="P68" s="6" t="inlineStr"/>
      <c r="Q68" s="6" t="inlineStr"/>
      <c r="R68" s="6" t="inlineStr"/>
    </row>
    <row r="69">
      <c r="A69" s="5" t="n">
        <v>68</v>
      </c>
      <c r="B69" s="5" t="inlineStr">
        <is>
          <t>10.1016/j.apcatb.2017.06.069</t>
        </is>
      </c>
      <c r="C69" s="5" t="inlineStr">
        <is>
          <t>Pd-I/In2O3</t>
        </is>
      </c>
      <c r="D69" s="5" t="inlineStr">
        <is>
          <t>SI Table S2, Pd-I/In2O3 This work</t>
        </is>
      </c>
      <c r="E69" s="5" t="inlineStr">
        <is>
          <t>H2/CO2</t>
        </is>
      </c>
      <c r="F69" s="5" t="n">
        <v>4</v>
      </c>
      <c r="G69" s="5" t="inlineStr">
        <is>
          <t>mol/mol</t>
        </is>
      </c>
      <c r="H69" s="5" t="inlineStr">
        <is>
          <t>SI Table S2</t>
        </is>
      </c>
      <c r="I69" s="5" t="n">
        <v>3</v>
      </c>
      <c r="J69" s="5" t="n"/>
      <c r="K69" s="5" t="inlineStr">
        <is>
          <t>H2_CO2&lt;-figures;cat_mass_g&lt;-figures;metal_wt_pct&lt;-figures</t>
        </is>
      </c>
      <c r="L69" s="5" t="inlineStr">
        <is>
          <t>pdf/Rui_2017_CO2 hydrogenation to methanol over PdIn2O3 effects of Pd and oxygen vacancy.pdf</t>
        </is>
      </c>
      <c r="M69" s="5" t="inlineStr">
        <is>
          <t>si/10_1016_j_apcatb_2017_06_069__mmc1.docx</t>
        </is>
      </c>
      <c r="N69" s="6" t="inlineStr"/>
      <c r="O69" s="6" t="inlineStr"/>
      <c r="P69" s="6" t="inlineStr"/>
      <c r="Q69" s="6" t="inlineStr"/>
      <c r="R69" s="6" t="inlineStr"/>
    </row>
    <row r="70">
      <c r="A70" s="5" t="n">
        <v>69</v>
      </c>
      <c r="B70" s="5" t="inlineStr">
        <is>
          <t>10.1016/j.apcatb.2017.06.069</t>
        </is>
      </c>
      <c r="C70" s="5" t="inlineStr">
        <is>
          <t>In2O3</t>
        </is>
      </c>
      <c r="D70" s="5" t="inlineStr">
        <is>
          <t>SI Table S1, In2O3 This work</t>
        </is>
      </c>
      <c r="E70" s="5" t="inlineStr">
        <is>
          <t>H2/CO2</t>
        </is>
      </c>
      <c r="F70" s="5" t="n">
        <v>4</v>
      </c>
      <c r="G70" s="5" t="inlineStr">
        <is>
          <t>mol/mol</t>
        </is>
      </c>
      <c r="H70" s="5" t="inlineStr">
        <is>
          <t>SI Table S1</t>
        </is>
      </c>
      <c r="I70" s="5" t="n">
        <v>2</v>
      </c>
      <c r="J70" s="5" t="n"/>
      <c r="K70" s="5" t="inlineStr">
        <is>
          <t>H2_CO2&lt;-figures;cat_mass_g&lt;-figures</t>
        </is>
      </c>
      <c r="L70" s="5" t="inlineStr">
        <is>
          <t>pdf/Rui_2017_CO2 hydrogenation to methanol over PdIn2O3 effects of Pd and oxygen vacancy.pdf</t>
        </is>
      </c>
      <c r="M70" s="5" t="inlineStr">
        <is>
          <t>si/10_1016_j_apcatb_2017_06_069__mmc1.docx</t>
        </is>
      </c>
      <c r="N70" s="6" t="inlineStr"/>
      <c r="O70" s="6" t="inlineStr"/>
      <c r="P70" s="6" t="inlineStr"/>
      <c r="Q70" s="6" t="inlineStr"/>
      <c r="R70" s="6" t="inlineStr"/>
    </row>
    <row r="71">
      <c r="A71" s="5" t="n">
        <v>70</v>
      </c>
      <c r="B71" s="5" t="inlineStr">
        <is>
          <t>10.1016/j.apcatb.2017.06.069</t>
        </is>
      </c>
      <c r="C71" s="5" t="inlineStr">
        <is>
          <t>In2O3</t>
        </is>
      </c>
      <c r="D71" s="5" t="inlineStr">
        <is>
          <t>SI Table S1, In2O3 This work</t>
        </is>
      </c>
      <c r="E71" s="5" t="inlineStr">
        <is>
          <t>CH3OH selectivity</t>
        </is>
      </c>
      <c r="F71" s="5" t="n">
        <v>71.2</v>
      </c>
      <c r="G71" s="5" t="inlineStr">
        <is>
          <t>%</t>
        </is>
      </c>
      <c r="H71" s="5" t="inlineStr">
        <is>
          <t>SI Table S1</t>
        </is>
      </c>
      <c r="I71" s="5" t="n">
        <v>2</v>
      </c>
      <c r="J71" s="5" t="inlineStr">
        <is>
          <t>SI</t>
        </is>
      </c>
      <c r="K71" s="5" t="inlineStr">
        <is>
          <t>H2_CO2&lt;-figures;cat_mass_g&lt;-figures</t>
        </is>
      </c>
      <c r="L71" s="5" t="inlineStr">
        <is>
          <t>pdf/Rui_2017_CO2 hydrogenation to methanol over PdIn2O3 effects of Pd and oxygen vacancy.pdf</t>
        </is>
      </c>
      <c r="M71" s="5" t="inlineStr">
        <is>
          <t>si/10_1016_j_apcatb_2017_06_069__mmc1.docx</t>
        </is>
      </c>
      <c r="N71" s="6" t="inlineStr"/>
      <c r="O71" s="6" t="inlineStr"/>
      <c r="P71" s="6" t="inlineStr"/>
      <c r="Q71" s="6" t="inlineStr"/>
      <c r="R71" s="6" t="inlineStr"/>
    </row>
    <row r="72">
      <c r="A72" s="5" t="n">
        <v>71</v>
      </c>
      <c r="B72" s="5" t="inlineStr">
        <is>
          <t>10.1002/ente.201800747</t>
        </is>
      </c>
      <c r="C72" s="5" t="inlineStr">
        <is>
          <t>Cat-1.5</t>
        </is>
      </c>
      <c r="D72" s="5" t="inlineStr">
        <is>
          <t>SI Table S1, Cat-1.5, 300 °C</t>
        </is>
      </c>
      <c r="E72" s="5" t="inlineStr">
        <is>
          <t>STY (printed)</t>
        </is>
      </c>
      <c r="F72" s="5" t="inlineStr">
        <is>
          <t>0.074 gMeOH gcat-1 h-1</t>
        </is>
      </c>
      <c r="G72" s="5" t="inlineStr">
        <is>
          <t>as printed</t>
        </is>
      </c>
      <c r="H72" s="5" t="inlineStr">
        <is>
          <t>SI Table S1</t>
        </is>
      </c>
      <c r="I72" s="5" t="n">
        <v>1</v>
      </c>
      <c r="J72" s="5" t="inlineStr">
        <is>
          <t>SI</t>
        </is>
      </c>
      <c r="K72" s="5" t="inlineStr"/>
      <c r="L72" s="5" t="inlineStr">
        <is>
          <t>pdf/Chen_2019_MorphologyControllable HexagonalPhase Indium Oxide In Situ Structured onto a Thi.pdf</t>
        </is>
      </c>
      <c r="M72" s="5" t="inlineStr">
        <is>
          <t>si/10_1002_ente_201800747__si1.pdf</t>
        </is>
      </c>
      <c r="N72" s="6" t="inlineStr"/>
      <c r="O72" s="6" t="inlineStr"/>
      <c r="P72" s="6" t="inlineStr"/>
      <c r="Q72" s="6" t="inlineStr"/>
      <c r="R72" s="6" t="inlineStr"/>
    </row>
    <row r="73">
      <c r="A73" s="5" t="n">
        <v>72</v>
      </c>
      <c r="B73" s="5" t="inlineStr">
        <is>
          <t>10.1002/ente.201800747</t>
        </is>
      </c>
      <c r="C73" s="5" t="inlineStr">
        <is>
          <t>H-In2O3/Al2O3</t>
        </is>
      </c>
      <c r="D73" s="5" t="inlineStr">
        <is>
          <t>SI Table S1, H-In2O3/Al2O3, 325 °C</t>
        </is>
      </c>
      <c r="E73" s="5" t="inlineStr">
        <is>
          <t>pressure</t>
        </is>
      </c>
      <c r="F73" s="5" t="n">
        <v>40</v>
      </c>
      <c r="G73" s="5" t="inlineStr">
        <is>
          <t>bar</t>
        </is>
      </c>
      <c r="H73" s="5" t="inlineStr">
        <is>
          <t>SI Table S1</t>
        </is>
      </c>
      <c r="I73" s="5" t="n">
        <v>1</v>
      </c>
      <c r="J73" s="5" t="n"/>
      <c r="K73" s="5" t="inlineStr"/>
      <c r="L73" s="5" t="inlineStr">
        <is>
          <t>pdf/Chen_2019_MorphologyControllable HexagonalPhase Indium Oxide In Situ Structured onto a Thi.pdf</t>
        </is>
      </c>
      <c r="M73" s="5" t="inlineStr">
        <is>
          <t>si/10_1002_ente_201800747__si1.pdf</t>
        </is>
      </c>
      <c r="N73" s="6" t="inlineStr"/>
      <c r="O73" s="6" t="inlineStr"/>
      <c r="P73" s="6" t="inlineStr"/>
      <c r="Q73" s="6" t="inlineStr"/>
      <c r="R73" s="6" t="inlineStr"/>
    </row>
    <row r="74">
      <c r="A74" s="5" t="n">
        <v>73</v>
      </c>
      <c r="B74" s="5" t="inlineStr">
        <is>
          <t>10.1002/ente.201800747</t>
        </is>
      </c>
      <c r="C74" s="5" t="inlineStr">
        <is>
          <t>Cat-4.5</t>
        </is>
      </c>
      <c r="D74" s="5" t="inlineStr">
        <is>
          <t>Figure 4c/text, Cat-4.5 at 325 °C</t>
        </is>
      </c>
      <c r="E74" s="5" t="inlineStr">
        <is>
          <t>pressure</t>
        </is>
      </c>
      <c r="F74" s="5" t="n">
        <v>40</v>
      </c>
      <c r="G74" s="5" t="inlineStr">
        <is>
          <t>bar</t>
        </is>
      </c>
      <c r="H74" s="5" t="inlineStr">
        <is>
          <t>Figure 4c and text in Section 2.2</t>
        </is>
      </c>
      <c r="I74" s="5" t="n">
        <v>4</v>
      </c>
      <c r="J74" s="5" t="n"/>
      <c r="K74" s="5" t="inlineStr">
        <is>
          <t>S_CO&lt;-si;S_CH4&lt;-si</t>
        </is>
      </c>
      <c r="L74" s="5" t="inlineStr">
        <is>
          <t>pdf/Chen_2019_MorphologyControllable HexagonalPhase Indium Oxide In Situ Structured onto a Thi.pdf</t>
        </is>
      </c>
      <c r="M74" s="5" t="inlineStr">
        <is>
          <t>si/10_1002_ente_201800747__si1.pdf</t>
        </is>
      </c>
      <c r="N74" s="6" t="inlineStr"/>
      <c r="O74" s="6" t="inlineStr"/>
      <c r="P74" s="6" t="inlineStr"/>
      <c r="Q74" s="6" t="inlineStr"/>
      <c r="R74" s="6" t="inlineStr"/>
    </row>
    <row r="75">
      <c r="A75" s="5" t="n">
        <v>74</v>
      </c>
      <c r="B75" s="5" t="inlineStr">
        <is>
          <t>10.1002/ente.201800747</t>
        </is>
      </c>
      <c r="C75" s="5" t="inlineStr">
        <is>
          <t>H-In2O3/Al2O3</t>
        </is>
      </c>
      <c r="D75" s="5" t="inlineStr">
        <is>
          <t>SI Table S1, H-In2O3/Al2O3, 325 °C</t>
        </is>
      </c>
      <c r="E75" s="5" t="inlineStr">
        <is>
          <t>STY (printed)</t>
        </is>
      </c>
      <c r="F75" s="5" t="inlineStr">
        <is>
          <t>0.109 gMeOH gcat-1 h-1</t>
        </is>
      </c>
      <c r="G75" s="5" t="inlineStr">
        <is>
          <t>as printed</t>
        </is>
      </c>
      <c r="H75" s="5" t="inlineStr">
        <is>
          <t>SI Table S1</t>
        </is>
      </c>
      <c r="I75" s="5" t="n">
        <v>1</v>
      </c>
      <c r="J75" s="5" t="inlineStr">
        <is>
          <t>SI</t>
        </is>
      </c>
      <c r="K75" s="5" t="inlineStr"/>
      <c r="L75" s="5" t="inlineStr">
        <is>
          <t>pdf/Chen_2019_MorphologyControllable HexagonalPhase Indium Oxide In Situ Structured onto a Thi.pdf</t>
        </is>
      </c>
      <c r="M75" s="5" t="inlineStr">
        <is>
          <t>si/10_1002_ente_201800747__si1.pdf</t>
        </is>
      </c>
      <c r="N75" s="6" t="inlineStr"/>
      <c r="O75" s="6" t="inlineStr"/>
      <c r="P75" s="6" t="inlineStr"/>
      <c r="Q75" s="6" t="inlineStr"/>
      <c r="R75" s="6" t="inlineStr"/>
    </row>
    <row r="76">
      <c r="A76" s="5" t="n">
        <v>75</v>
      </c>
      <c r="B76" s="5" t="inlineStr">
        <is>
          <t>10.1002/ente.201800747</t>
        </is>
      </c>
      <c r="C76" s="5" t="inlineStr">
        <is>
          <t>H-In2O3/Al2O3</t>
        </is>
      </c>
      <c r="D76" s="5" t="inlineStr">
        <is>
          <t>SI Table S1, H-In2O3/Al2O3, 250 °C</t>
        </is>
      </c>
      <c r="E76" s="5" t="inlineStr">
        <is>
          <t>CO selectivity</t>
        </is>
      </c>
      <c r="F76" s="5" t="n">
        <v>6.8</v>
      </c>
      <c r="G76" s="5" t="inlineStr">
        <is>
          <t>%</t>
        </is>
      </c>
      <c r="H76" s="5" t="inlineStr">
        <is>
          <t>SI Table S1</t>
        </is>
      </c>
      <c r="I76" s="5" t="n">
        <v>1</v>
      </c>
      <c r="J76" s="5" t="inlineStr">
        <is>
          <t>SI</t>
        </is>
      </c>
      <c r="K76" s="5" t="inlineStr"/>
      <c r="L76" s="5" t="inlineStr">
        <is>
          <t>pdf/Chen_2019_MorphologyControllable HexagonalPhase Indium Oxide In Situ Structured onto a Thi.pdf</t>
        </is>
      </c>
      <c r="M76" s="5" t="inlineStr">
        <is>
          <t>si/10_1002_ente_201800747__si1.pdf</t>
        </is>
      </c>
      <c r="N76" s="6" t="inlineStr"/>
      <c r="O76" s="6" t="inlineStr"/>
      <c r="P76" s="6" t="inlineStr"/>
      <c r="Q76" s="6" t="inlineStr"/>
      <c r="R76" s="6" t="inlineStr"/>
    </row>
    <row r="77">
      <c r="A77" s="5" t="n">
        <v>76</v>
      </c>
      <c r="B77" s="5" t="inlineStr">
        <is>
          <t>10.1002/ente.201800747</t>
        </is>
      </c>
      <c r="C77" s="5" t="inlineStr">
        <is>
          <t>Cat-3.0</t>
        </is>
      </c>
      <c r="D77" s="5" t="inlineStr">
        <is>
          <t>Figure 4c, Cat-3.0 at 325 °C</t>
        </is>
      </c>
      <c r="E77" s="5" t="inlineStr">
        <is>
          <t>CO2 conversion</t>
        </is>
      </c>
      <c r="F77" s="5" t="n">
        <v>3.4</v>
      </c>
      <c r="G77" s="5" t="inlineStr">
        <is>
          <t>%</t>
        </is>
      </c>
      <c r="H77" s="5" t="inlineStr">
        <is>
          <t>Figure 4c</t>
        </is>
      </c>
      <c r="I77" s="5" t="n">
        <v>4</v>
      </c>
      <c r="J77" s="5" t="inlineStr">
        <is>
          <t>SI</t>
        </is>
      </c>
      <c r="K77" s="5" t="inlineStr">
        <is>
          <t>X_CO2&lt;-si;S_MeOH&lt;-si;S_CO&lt;-si;S_CH4&lt;-si;STY&lt;-si;GHSV&lt;-si;H2_CO2&lt;-si;cat_mass_g&lt;-si</t>
        </is>
      </c>
      <c r="L77" s="5" t="inlineStr">
        <is>
          <t>pdf/Chen_2019_MorphologyControllable HexagonalPhase Indium Oxide In Situ Structured onto a Thi.pdf</t>
        </is>
      </c>
      <c r="M77" s="5" t="inlineStr">
        <is>
          <t>si/10_1002_ente_201800747__si1.pdf</t>
        </is>
      </c>
      <c r="N77" s="6" t="inlineStr"/>
      <c r="O77" s="6" t="inlineStr"/>
      <c r="P77" s="6" t="inlineStr"/>
      <c r="Q77" s="6" t="inlineStr"/>
      <c r="R77" s="6" t="inlineStr"/>
    </row>
    <row r="78">
      <c r="A78" s="5" t="n">
        <v>77</v>
      </c>
      <c r="B78" s="5" t="inlineStr">
        <is>
          <t>10.1002/ente.201800747</t>
        </is>
      </c>
      <c r="C78" s="5" t="inlineStr">
        <is>
          <t>Cat-4.5</t>
        </is>
      </c>
      <c r="D78" s="5" t="inlineStr">
        <is>
          <t>SI Table S1, Cat-4.5, 250 °C</t>
        </is>
      </c>
      <c r="E78" s="5" t="inlineStr">
        <is>
          <t>CH4 selectivity</t>
        </is>
      </c>
      <c r="F78" s="5" t="n">
        <v>0</v>
      </c>
      <c r="G78" s="5" t="inlineStr">
        <is>
          <t>%</t>
        </is>
      </c>
      <c r="H78" s="5" t="inlineStr">
        <is>
          <t>SI Table S1</t>
        </is>
      </c>
      <c r="I78" s="5" t="n">
        <v>1</v>
      </c>
      <c r="J78" s="5" t="inlineStr">
        <is>
          <t>SI</t>
        </is>
      </c>
      <c r="K78" s="5" t="inlineStr"/>
      <c r="L78" s="5" t="inlineStr">
        <is>
          <t>pdf/Chen_2019_MorphologyControllable HexagonalPhase Indium Oxide In Situ Structured onto a Thi.pdf</t>
        </is>
      </c>
      <c r="M78" s="5" t="inlineStr">
        <is>
          <t>si/10_1002_ente_201800747__si1.pdf</t>
        </is>
      </c>
      <c r="N78" s="6" t="inlineStr"/>
      <c r="O78" s="6" t="inlineStr"/>
      <c r="P78" s="6" t="inlineStr"/>
      <c r="Q78" s="6" t="inlineStr"/>
      <c r="R78" s="6" t="inlineStr"/>
    </row>
    <row r="79">
      <c r="A79" s="5" t="n">
        <v>78</v>
      </c>
      <c r="B79" s="5" t="inlineStr">
        <is>
          <t>10.1002/ente.201800747</t>
        </is>
      </c>
      <c r="C79" s="5" t="inlineStr">
        <is>
          <t>Cat-4.5</t>
        </is>
      </c>
      <c r="D79" s="5" t="inlineStr">
        <is>
          <t>SI Table S1, Cat-4.5, 275 °C</t>
        </is>
      </c>
      <c r="E79" s="5" t="inlineStr">
        <is>
          <t>CH3OH selectivity</t>
        </is>
      </c>
      <c r="F79" s="5" t="n">
        <v>91.59999999999999</v>
      </c>
      <c r="G79" s="5" t="inlineStr">
        <is>
          <t>%</t>
        </is>
      </c>
      <c r="H79" s="5" t="inlineStr">
        <is>
          <t>SI Table S1</t>
        </is>
      </c>
      <c r="I79" s="5" t="n">
        <v>1</v>
      </c>
      <c r="J79" s="5" t="inlineStr">
        <is>
          <t>SI</t>
        </is>
      </c>
      <c r="K79" s="5" t="inlineStr"/>
      <c r="L79" s="5" t="inlineStr">
        <is>
          <t>pdf/Chen_2019_MorphologyControllable HexagonalPhase Indium Oxide In Situ Structured onto a Thi.pdf</t>
        </is>
      </c>
      <c r="M79" s="5" t="inlineStr">
        <is>
          <t>si/10_1002_ente_201800747__si1.pdf</t>
        </is>
      </c>
      <c r="N79" s="6" t="inlineStr"/>
      <c r="O79" s="6" t="inlineStr"/>
      <c r="P79" s="6" t="inlineStr"/>
      <c r="Q79" s="6" t="inlineStr"/>
      <c r="R79" s="6" t="inlineStr"/>
    </row>
    <row r="80">
      <c r="A80" s="5" t="n">
        <v>79</v>
      </c>
      <c r="B80" s="5" t="inlineStr">
        <is>
          <t>10.1002/ente.201800747</t>
        </is>
      </c>
      <c r="C80" s="5" t="inlineStr">
        <is>
          <t>In2O3-IWI/Al2O3/Al-fiber</t>
        </is>
      </c>
      <c r="D80" s="5" t="inlineStr">
        <is>
          <t>SI Table S1, In2O3-IWI/Al2O3/Al-fiber, 350 °C</t>
        </is>
      </c>
      <c r="E80" s="5" t="inlineStr">
        <is>
          <t>H2/CO2</t>
        </is>
      </c>
      <c r="F80" s="5" t="n">
        <v>3</v>
      </c>
      <c r="G80" s="5" t="inlineStr">
        <is>
          <t>mol/mol</t>
        </is>
      </c>
      <c r="H80" s="5" t="inlineStr">
        <is>
          <t>SI Table S1</t>
        </is>
      </c>
      <c r="I80" s="5" t="n">
        <v>1</v>
      </c>
      <c r="J80" s="5" t="n"/>
      <c r="K80" s="5" t="inlineStr"/>
      <c r="L80" s="5" t="inlineStr">
        <is>
          <t>pdf/Chen_2019_MorphologyControllable HexagonalPhase Indium Oxide In Situ Structured onto a Thi.pdf</t>
        </is>
      </c>
      <c r="M80" s="5" t="inlineStr">
        <is>
          <t>si/10_1002_ente_201800747__si1.pdf</t>
        </is>
      </c>
      <c r="N80" s="6" t="inlineStr"/>
      <c r="O80" s="6" t="inlineStr"/>
      <c r="P80" s="6" t="inlineStr"/>
      <c r="Q80" s="6" t="inlineStr"/>
      <c r="R80" s="6" t="inlineStr"/>
    </row>
    <row r="81">
      <c r="A81" s="5" t="n">
        <v>80</v>
      </c>
      <c r="B81" s="5" t="inlineStr">
        <is>
          <t>10.1002/ente.201800747</t>
        </is>
      </c>
      <c r="C81" s="5" t="inlineStr">
        <is>
          <t>H-In2O3/Al2O3</t>
        </is>
      </c>
      <c r="D81" s="5" t="inlineStr">
        <is>
          <t>SI Table S1, H-In2O3/Al2O3, 250 °C</t>
        </is>
      </c>
      <c r="E81" s="5" t="inlineStr">
        <is>
          <t>STY (printed)</t>
        </is>
      </c>
      <c r="F81" s="5" t="inlineStr">
        <is>
          <t>0.051 gMeOH gcat-1 h-1</t>
        </is>
      </c>
      <c r="G81" s="5" t="inlineStr">
        <is>
          <t>as printed</t>
        </is>
      </c>
      <c r="H81" s="5" t="inlineStr">
        <is>
          <t>SI Table S1</t>
        </is>
      </c>
      <c r="I81" s="5" t="n">
        <v>1</v>
      </c>
      <c r="J81" s="5" t="inlineStr">
        <is>
          <t>SI</t>
        </is>
      </c>
      <c r="K81" s="5" t="inlineStr"/>
      <c r="L81" s="5" t="inlineStr">
        <is>
          <t>pdf/Chen_2019_MorphologyControllable HexagonalPhase Indium Oxide In Situ Structured onto a Thi.pdf</t>
        </is>
      </c>
      <c r="M81" s="5" t="inlineStr">
        <is>
          <t>si/10_1002_ente_201800747__si1.pdf</t>
        </is>
      </c>
      <c r="N81" s="6" t="inlineStr"/>
      <c r="O81" s="6" t="inlineStr"/>
      <c r="P81" s="6" t="inlineStr"/>
      <c r="Q81" s="6" t="inlineStr"/>
      <c r="R81" s="6" t="inlineStr"/>
    </row>
    <row r="82">
      <c r="A82" s="5" t="n">
        <v>81</v>
      </c>
      <c r="B82" s="5" t="inlineStr">
        <is>
          <t>10.1002/cctc.202000974</t>
        </is>
      </c>
      <c r="C82" s="5" t="inlineStr">
        <is>
          <t>TiO2</t>
        </is>
      </c>
      <c r="D82" s="5" t="inlineStr">
        <is>
          <t>SI Table S3, TiO2, 225 °C</t>
        </is>
      </c>
      <c r="E82" s="5" t="inlineStr">
        <is>
          <t>CH4 selectivity</t>
        </is>
      </c>
      <c r="F82" s="5" t="n">
        <v>0</v>
      </c>
      <c r="G82" s="5" t="inlineStr">
        <is>
          <t>%</t>
        </is>
      </c>
      <c r="H82" s="5" t="inlineStr">
        <is>
          <t>SI Table S3</t>
        </is>
      </c>
      <c r="I82" s="5" t="n">
        <v>10</v>
      </c>
      <c r="J82" s="5" t="inlineStr">
        <is>
          <t>SI</t>
        </is>
      </c>
      <c r="K82" s="5" t="inlineStr"/>
      <c r="L82" s="5" t="inlineStr">
        <is>
          <t>pdf/RuizEsquius_2020_CO 2 Hydrogenation to CH 3 OH over PdZn Catalysts with Reduced CH 4 Production.pdf</t>
        </is>
      </c>
      <c r="M82" s="5" t="inlineStr">
        <is>
          <t>si/10_1002_cctc_202000974__si1.pdf</t>
        </is>
      </c>
      <c r="N82" s="6" t="inlineStr"/>
      <c r="O82" s="6" t="inlineStr"/>
      <c r="P82" s="6" t="inlineStr"/>
      <c r="Q82" s="6" t="inlineStr"/>
      <c r="R82" s="6" t="inlineStr"/>
    </row>
    <row r="83">
      <c r="A83" s="5" t="n">
        <v>82</v>
      </c>
      <c r="B83" s="5" t="inlineStr">
        <is>
          <t>10.1002/cctc.202000974</t>
        </is>
      </c>
      <c r="C83" s="5" t="inlineStr">
        <is>
          <t>Pd/TiO2</t>
        </is>
      </c>
      <c r="D83" s="5" t="inlineStr">
        <is>
          <t>Table 1 row 1, 225°C</t>
        </is>
      </c>
      <c r="E83" s="5" t="inlineStr">
        <is>
          <t>temperature</t>
        </is>
      </c>
      <c r="F83" s="5" t="n">
        <v>225</v>
      </c>
      <c r="G83" s="5" t="inlineStr">
        <is>
          <t>°C (from K)</t>
        </is>
      </c>
      <c r="H83" s="5" t="inlineStr">
        <is>
          <t>Table 1</t>
        </is>
      </c>
      <c r="I83" s="5" t="n">
        <v>3</v>
      </c>
      <c r="J83" s="5" t="n"/>
      <c r="K83" s="5" t="inlineStr">
        <is>
          <t>GHSV&lt;-si;cat_mass_g&lt;-si</t>
        </is>
      </c>
      <c r="L83" s="5" t="inlineStr">
        <is>
          <t>pdf/RuizEsquius_2020_CO 2 Hydrogenation to CH 3 OH over PdZn Catalysts with Reduced CH 4 Production.pdf</t>
        </is>
      </c>
      <c r="M83" s="5" t="inlineStr">
        <is>
          <t>si/10_1002_cctc_202000974__si1.pdf</t>
        </is>
      </c>
      <c r="N83" s="6" t="inlineStr"/>
      <c r="O83" s="6" t="inlineStr"/>
      <c r="P83" s="6" t="inlineStr"/>
      <c r="Q83" s="6" t="inlineStr"/>
      <c r="R83" s="6" t="inlineStr"/>
    </row>
    <row r="84">
      <c r="A84" s="5" t="n">
        <v>83</v>
      </c>
      <c r="B84" s="5" t="inlineStr">
        <is>
          <t>10.1002/cctc.202000974</t>
        </is>
      </c>
      <c r="C84" s="5" t="inlineStr">
        <is>
          <t>ZnTiO3</t>
        </is>
      </c>
      <c r="D84" s="5" t="inlineStr">
        <is>
          <t>SI Table S3, ZnTiO3, 250 °C</t>
        </is>
      </c>
      <c r="E84" s="5" t="inlineStr">
        <is>
          <t>CO selectivity</t>
        </is>
      </c>
      <c r="F84" s="5" t="n">
        <v>70</v>
      </c>
      <c r="G84" s="5" t="inlineStr">
        <is>
          <t>%</t>
        </is>
      </c>
      <c r="H84" s="5" t="inlineStr">
        <is>
          <t>SI Table S3</t>
        </is>
      </c>
      <c r="I84" s="5" t="n">
        <v>10</v>
      </c>
      <c r="J84" s="5" t="inlineStr">
        <is>
          <t>SI</t>
        </is>
      </c>
      <c r="K84" s="5" t="inlineStr"/>
      <c r="L84" s="5" t="inlineStr">
        <is>
          <t>pdf/RuizEsquius_2020_CO 2 Hydrogenation to CH 3 OH over PdZn Catalysts with Reduced CH 4 Production.pdf</t>
        </is>
      </c>
      <c r="M84" s="5" t="inlineStr">
        <is>
          <t>si/10_1002_cctc_202000974__si1.pdf</t>
        </is>
      </c>
      <c r="N84" s="6" t="inlineStr"/>
      <c r="O84" s="6" t="inlineStr"/>
      <c r="P84" s="6" t="inlineStr"/>
      <c r="Q84" s="6" t="inlineStr"/>
      <c r="R84" s="6" t="inlineStr"/>
    </row>
    <row r="85">
      <c r="A85" s="5" t="n">
        <v>84</v>
      </c>
      <c r="B85" s="5" t="inlineStr">
        <is>
          <t>10.1002/cctc.202000974</t>
        </is>
      </c>
      <c r="C85" s="5" t="inlineStr">
        <is>
          <t>Pd/ZnO</t>
        </is>
      </c>
      <c r="D85" s="5" t="inlineStr">
        <is>
          <t>Figure 1, Pd/ZnO, 175°C</t>
        </is>
      </c>
      <c r="E85" s="5" t="inlineStr">
        <is>
          <t>CH3OH selectivity</t>
        </is>
      </c>
      <c r="F85" s="5" t="n">
        <v>69</v>
      </c>
      <c r="G85" s="5" t="inlineStr">
        <is>
          <t>%</t>
        </is>
      </c>
      <c r="H85" s="5" t="inlineStr">
        <is>
          <t>Figure 1</t>
        </is>
      </c>
      <c r="I85" s="5" t="n">
        <v>4</v>
      </c>
      <c r="J85" s="5" t="inlineStr">
        <is>
          <t>SI</t>
        </is>
      </c>
      <c r="K85" s="5" t="inlineStr">
        <is>
          <t>X_CO2&lt;-si;S_MeOH&lt;-si;S_CO&lt;-si;S_CH4&lt;-si;GHSV&lt;-si;H2_CO2&lt;-si;cat_mass_g&lt;-si;metal_wt_pct&lt;-figures</t>
        </is>
      </c>
      <c r="L85" s="5" t="inlineStr">
        <is>
          <t>pdf/RuizEsquius_2020_CO 2 Hydrogenation to CH 3 OH over PdZn Catalysts with Reduced CH 4 Production.pdf</t>
        </is>
      </c>
      <c r="M85" s="5" t="inlineStr">
        <is>
          <t>si/10_1002_cctc_202000974__si1.pdf</t>
        </is>
      </c>
      <c r="N85" s="6" t="inlineStr"/>
      <c r="O85" s="6" t="inlineStr"/>
      <c r="P85" s="6" t="inlineStr"/>
      <c r="Q85" s="6" t="inlineStr"/>
      <c r="R85" s="6" t="inlineStr"/>
    </row>
    <row r="86">
      <c r="A86" s="5" t="n">
        <v>85</v>
      </c>
      <c r="B86" s="5" t="inlineStr">
        <is>
          <t>10.1002/cctc.202000974</t>
        </is>
      </c>
      <c r="C86" s="5" t="inlineStr">
        <is>
          <t>Pd/ZnTiO3</t>
        </is>
      </c>
      <c r="D86" s="5" t="inlineStr">
        <is>
          <t>SI Table S2, Pd/ZnTiO3, 200 °C</t>
        </is>
      </c>
      <c r="E86" s="5" t="inlineStr">
        <is>
          <t>H2/CO2</t>
        </is>
      </c>
      <c r="F86" s="5" t="n">
        <v>3</v>
      </c>
      <c r="G86" s="5" t="inlineStr">
        <is>
          <t>mol/mol</t>
        </is>
      </c>
      <c r="H86" s="5" t="inlineStr">
        <is>
          <t>SI Table S2</t>
        </is>
      </c>
      <c r="I86" s="5" t="n">
        <v>9</v>
      </c>
      <c r="J86" s="5" t="n"/>
      <c r="K86" s="5" t="inlineStr"/>
      <c r="L86" s="5" t="inlineStr">
        <is>
          <t>pdf/RuizEsquius_2020_CO 2 Hydrogenation to CH 3 OH over PdZn Catalysts with Reduced CH 4 Production.pdf</t>
        </is>
      </c>
      <c r="M86" s="5" t="inlineStr">
        <is>
          <t>si/10_1002_cctc_202000974__si1.pdf</t>
        </is>
      </c>
      <c r="N86" s="6" t="inlineStr"/>
      <c r="O86" s="6" t="inlineStr"/>
      <c r="P86" s="6" t="inlineStr"/>
      <c r="Q86" s="6" t="inlineStr"/>
      <c r="R86" s="6" t="inlineStr"/>
    </row>
    <row r="87">
      <c r="A87" s="5" t="n">
        <v>86</v>
      </c>
      <c r="B87" s="5" t="inlineStr">
        <is>
          <t>10.1002/cctc.202000974</t>
        </is>
      </c>
      <c r="C87" s="5" t="inlineStr">
        <is>
          <t>Pd/TiO2</t>
        </is>
      </c>
      <c r="D87" s="5" t="inlineStr">
        <is>
          <t>SI Table S2, Pd/TiO2, 250 °C</t>
        </is>
      </c>
      <c r="E87" s="5" t="inlineStr">
        <is>
          <t>CO selectivity</t>
        </is>
      </c>
      <c r="F87" s="5" t="n">
        <v>91.40000000000001</v>
      </c>
      <c r="G87" s="5" t="inlineStr">
        <is>
          <t>%</t>
        </is>
      </c>
      <c r="H87" s="5" t="inlineStr">
        <is>
          <t>SI Table S2</t>
        </is>
      </c>
      <c r="I87" s="5" t="n">
        <v>8</v>
      </c>
      <c r="J87" s="5" t="inlineStr">
        <is>
          <t>SI</t>
        </is>
      </c>
      <c r="K87" s="5" t="inlineStr"/>
      <c r="L87" s="5" t="inlineStr">
        <is>
          <t>pdf/RuizEsquius_2020_CO 2 Hydrogenation to CH 3 OH over PdZn Catalysts with Reduced CH 4 Production.pdf</t>
        </is>
      </c>
      <c r="M87" s="5" t="inlineStr">
        <is>
          <t>si/10_1002_cctc_202000974__si1.pdf</t>
        </is>
      </c>
      <c r="N87" s="6" t="inlineStr"/>
      <c r="O87" s="6" t="inlineStr"/>
      <c r="P87" s="6" t="inlineStr"/>
      <c r="Q87" s="6" t="inlineStr"/>
      <c r="R87" s="6" t="inlineStr"/>
    </row>
    <row r="88">
      <c r="A88" s="5" t="n">
        <v>87</v>
      </c>
      <c r="B88" s="5" t="inlineStr">
        <is>
          <t>10.1002/cctc.202000974</t>
        </is>
      </c>
      <c r="C88" s="5" t="inlineStr">
        <is>
          <t>TiO2</t>
        </is>
      </c>
      <c r="D88" s="5" t="inlineStr">
        <is>
          <t>SI Table S3, TiO2, 200 °C</t>
        </is>
      </c>
      <c r="E88" s="5" t="inlineStr">
        <is>
          <t>temperature</t>
        </is>
      </c>
      <c r="F88" s="5" t="n">
        <v>200</v>
      </c>
      <c r="G88" s="5" t="inlineStr">
        <is>
          <t>°C (from K)</t>
        </is>
      </c>
      <c r="H88" s="5" t="inlineStr">
        <is>
          <t>SI Table S3</t>
        </is>
      </c>
      <c r="I88" s="5" t="n">
        <v>10</v>
      </c>
      <c r="J88" s="5" t="n"/>
      <c r="K88" s="5" t="inlineStr"/>
      <c r="L88" s="5" t="inlineStr">
        <is>
          <t>pdf/RuizEsquius_2020_CO 2 Hydrogenation to CH 3 OH over PdZn Catalysts with Reduced CH 4 Production.pdf</t>
        </is>
      </c>
      <c r="M88" s="5" t="inlineStr">
        <is>
          <t>si/10_1002_cctc_202000974__si1.pdf</t>
        </is>
      </c>
      <c r="N88" s="6" t="inlineStr"/>
      <c r="O88" s="6" t="inlineStr"/>
      <c r="P88" s="6" t="inlineStr"/>
      <c r="Q88" s="6" t="inlineStr"/>
      <c r="R88" s="6" t="inlineStr"/>
    </row>
    <row r="89">
      <c r="A89" s="5" t="n">
        <v>88</v>
      </c>
      <c r="B89" s="5" t="inlineStr">
        <is>
          <t>10.1002/cctc.202000974</t>
        </is>
      </c>
      <c r="C89" s="5" t="inlineStr">
        <is>
          <t>ZnO</t>
        </is>
      </c>
      <c r="D89" s="5" t="inlineStr">
        <is>
          <t>SI Table S3, ZnO, 250 °C</t>
        </is>
      </c>
      <c r="E89" s="5" t="inlineStr">
        <is>
          <t>CH4 selectivity</t>
        </is>
      </c>
      <c r="F89" s="5" t="n">
        <v>0</v>
      </c>
      <c r="G89" s="5" t="inlineStr">
        <is>
          <t>%</t>
        </is>
      </c>
      <c r="H89" s="5" t="inlineStr">
        <is>
          <t>SI Table S3</t>
        </is>
      </c>
      <c r="I89" s="5" t="n">
        <v>10</v>
      </c>
      <c r="J89" s="5" t="inlineStr">
        <is>
          <t>SI</t>
        </is>
      </c>
      <c r="K89" s="5" t="inlineStr"/>
      <c r="L89" s="5" t="inlineStr">
        <is>
          <t>pdf/RuizEsquius_2020_CO 2 Hydrogenation to CH 3 OH over PdZn Catalysts with Reduced CH 4 Production.pdf</t>
        </is>
      </c>
      <c r="M89" s="5" t="inlineStr">
        <is>
          <t>si/10_1002_cctc_202000974__si1.pdf</t>
        </is>
      </c>
      <c r="N89" s="6" t="inlineStr"/>
      <c r="O89" s="6" t="inlineStr"/>
      <c r="P89" s="6" t="inlineStr"/>
      <c r="Q89" s="6" t="inlineStr"/>
      <c r="R89" s="6" t="inlineStr"/>
    </row>
    <row r="90">
      <c r="A90" s="5" t="n">
        <v>89</v>
      </c>
      <c r="B90" s="5" t="inlineStr">
        <is>
          <t>10.1002/cctc.202000974</t>
        </is>
      </c>
      <c r="C90" s="5" t="inlineStr">
        <is>
          <t>physical mixture of Pd/ZnO and TiO2</t>
        </is>
      </c>
      <c r="D90" s="5" t="inlineStr">
        <is>
          <t>Text, physical mixture Pd/ZnO and TiO2, 250°C</t>
        </is>
      </c>
      <c r="E90" s="5" t="inlineStr">
        <is>
          <t>CO selectivity</t>
        </is>
      </c>
      <c r="F90" s="5" t="n">
        <v>73.3</v>
      </c>
      <c r="G90" s="5" t="inlineStr">
        <is>
          <t>%</t>
        </is>
      </c>
      <c r="H90" s="5" t="inlineStr">
        <is>
          <t>Results text</t>
        </is>
      </c>
      <c r="I90" s="5" t="n">
        <v>3</v>
      </c>
      <c r="J90" s="5" t="inlineStr">
        <is>
          <t>SI</t>
        </is>
      </c>
      <c r="K90" s="5" t="inlineStr">
        <is>
          <t>X_CO2&lt;-si;S_MeOH&lt;-si;S_CO&lt;-si;S_CH4&lt;-si;GHSV&lt;-si;cat_mass_g&lt;-si</t>
        </is>
      </c>
      <c r="L90" s="5" t="inlineStr">
        <is>
          <t>pdf/RuizEsquius_2020_CO 2 Hydrogenation to CH 3 OH over PdZn Catalysts with Reduced CH 4 Production.pdf</t>
        </is>
      </c>
      <c r="M90" s="5" t="inlineStr">
        <is>
          <t>si/10_1002_cctc_202000974__si1.pdf</t>
        </is>
      </c>
      <c r="N90" s="6" t="inlineStr"/>
      <c r="O90" s="6" t="inlineStr"/>
      <c r="P90" s="6" t="inlineStr"/>
      <c r="Q90" s="6" t="inlineStr"/>
      <c r="R90" s="6" t="inlineStr"/>
    </row>
    <row r="91">
      <c r="A91" s="5" t="n">
        <v>90</v>
      </c>
      <c r="B91" s="5" t="inlineStr">
        <is>
          <t>10.1002/cctc.202000974</t>
        </is>
      </c>
      <c r="C91" s="5" t="inlineStr">
        <is>
          <t>Pd/ZnO</t>
        </is>
      </c>
      <c r="D91" s="5" t="inlineStr">
        <is>
          <t>Table 1 row 2, 225°C</t>
        </is>
      </c>
      <c r="E91" s="5" t="inlineStr">
        <is>
          <t>H2/CO2</t>
        </is>
      </c>
      <c r="F91" s="5" t="n">
        <v>3</v>
      </c>
      <c r="G91" s="5" t="inlineStr">
        <is>
          <t>mol/mol</t>
        </is>
      </c>
      <c r="H91" s="5" t="inlineStr">
        <is>
          <t>Table 1</t>
        </is>
      </c>
      <c r="I91" s="5" t="n">
        <v>3</v>
      </c>
      <c r="J91" s="5" t="n"/>
      <c r="K91" s="5" t="inlineStr">
        <is>
          <t>GHSV&lt;-si;cat_mass_g&lt;-si;metal_wt_pct&lt;-figures</t>
        </is>
      </c>
      <c r="L91" s="5" t="inlineStr">
        <is>
          <t>pdf/RuizEsquius_2020_CO 2 Hydrogenation to CH 3 OH over PdZn Catalysts with Reduced CH 4 Production.pdf</t>
        </is>
      </c>
      <c r="M91" s="5" t="inlineStr">
        <is>
          <t>si/10_1002_cctc_202000974__si1.pdf</t>
        </is>
      </c>
      <c r="N91" s="6" t="inlineStr"/>
      <c r="O91" s="6" t="inlineStr"/>
      <c r="P91" s="6" t="inlineStr"/>
      <c r="Q91" s="6" t="inlineStr"/>
      <c r="R91" s="6" t="inlineStr"/>
    </row>
    <row r="92">
      <c r="A92" s="5" t="n">
        <v>91</v>
      </c>
      <c r="B92" s="5" t="inlineStr">
        <is>
          <t>10.1016/j.jcat.2012.05.020</t>
        </is>
      </c>
      <c r="C92" s="5" t="inlineStr">
        <is>
          <t>PdMgGa</t>
        </is>
      </c>
      <c r="D92" s="5" t="inlineStr">
        <is>
          <t>Table 2, PdMgGa</t>
        </is>
      </c>
      <c r="E92" s="5" t="inlineStr">
        <is>
          <t>CO2 conversion</t>
        </is>
      </c>
      <c r="F92" s="5" t="n">
        <v>1</v>
      </c>
      <c r="G92" s="5" t="inlineStr">
        <is>
          <t>%</t>
        </is>
      </c>
      <c r="H92" s="5" t="inlineStr">
        <is>
          <t>Table 2</t>
        </is>
      </c>
      <c r="I92" s="5" t="n">
        <v>11</v>
      </c>
      <c r="J92" s="5" t="inlineStr">
        <is>
          <t>table</t>
        </is>
      </c>
      <c r="K92" s="5" t="inlineStr"/>
      <c r="L92" s="5" t="inlineStr">
        <is>
          <t>pdf/Ota_2012_Comparative study of hydrotalcite-derived supported Pd2Ga and PdZn intermetallic.pdf</t>
        </is>
      </c>
      <c r="M92" s="5" t="inlineStr">
        <is>
          <t>si/10_1016_j_jcat_2012_05_020__mmc1.pdf</t>
        </is>
      </c>
      <c r="N92" s="6" t="inlineStr"/>
      <c r="O92" s="6" t="inlineStr"/>
      <c r="P92" s="6" t="inlineStr"/>
      <c r="Q92" s="6" t="inlineStr"/>
      <c r="R92" s="6" t="inlineStr"/>
    </row>
    <row r="93">
      <c r="A93" s="5" t="n">
        <v>92</v>
      </c>
      <c r="B93" s="5" t="inlineStr">
        <is>
          <t>10.1016/j.jcat.2012.05.020</t>
        </is>
      </c>
      <c r="C93" s="5" t="inlineStr">
        <is>
          <t>PdMgAl</t>
        </is>
      </c>
      <c r="D93" s="5" t="inlineStr">
        <is>
          <t>Table 2, PdMgAl</t>
        </is>
      </c>
      <c r="E93" s="5" t="inlineStr">
        <is>
          <t>CO2 conversion</t>
        </is>
      </c>
      <c r="F93" s="5" t="n">
        <v>0.3</v>
      </c>
      <c r="G93" s="5" t="inlineStr">
        <is>
          <t>%</t>
        </is>
      </c>
      <c r="H93" s="5" t="inlineStr">
        <is>
          <t>Table 2</t>
        </is>
      </c>
      <c r="I93" s="5" t="n">
        <v>11</v>
      </c>
      <c r="J93" s="5" t="inlineStr">
        <is>
          <t>table</t>
        </is>
      </c>
      <c r="K93" s="5" t="inlineStr"/>
      <c r="L93" s="5" t="inlineStr">
        <is>
          <t>pdf/Ota_2012_Comparative study of hydrotalcite-derived supported Pd2Ga and PdZn intermetallic.pdf</t>
        </is>
      </c>
      <c r="M93" s="5" t="inlineStr">
        <is>
          <t>si/10_1016_j_jcat_2012_05_020__mmc1.pdf</t>
        </is>
      </c>
      <c r="N93" s="6" t="inlineStr"/>
      <c r="O93" s="6" t="inlineStr"/>
      <c r="P93" s="6" t="inlineStr"/>
      <c r="Q93" s="6" t="inlineStr"/>
      <c r="R93" s="6" t="inlineStr"/>
    </row>
    <row r="94">
      <c r="A94" s="5" t="n">
        <v>93</v>
      </c>
      <c r="B94" s="5" t="inlineStr">
        <is>
          <t>10.1016/j.jcat.2012.05.020</t>
        </is>
      </c>
      <c r="C94" s="5" t="inlineStr">
        <is>
          <t>PdZnAl</t>
        </is>
      </c>
      <c r="D94" s="5" t="inlineStr">
        <is>
          <t>Table 2, PdZnAl</t>
        </is>
      </c>
      <c r="E94" s="5" t="inlineStr">
        <is>
          <t>CH4 selectivity</t>
        </is>
      </c>
      <c r="F94" s="5" t="n">
        <v>0.1</v>
      </c>
      <c r="G94" s="5" t="inlineStr">
        <is>
          <t>%</t>
        </is>
      </c>
      <c r="H94" s="5" t="inlineStr">
        <is>
          <t>Table 2</t>
        </is>
      </c>
      <c r="I94" s="5" t="n">
        <v>11</v>
      </c>
      <c r="J94" s="5" t="inlineStr">
        <is>
          <t>table</t>
        </is>
      </c>
      <c r="K94" s="5" t="inlineStr"/>
      <c r="L94" s="5" t="inlineStr">
        <is>
          <t>pdf/Ota_2012_Comparative study of hydrotalcite-derived supported Pd2Ga and PdZn intermetallic.pdf</t>
        </is>
      </c>
      <c r="M94" s="5" t="inlineStr">
        <is>
          <t>si/10_1016_j_jcat_2012_05_020__mmc1.pdf</t>
        </is>
      </c>
      <c r="N94" s="6" t="inlineStr"/>
      <c r="O94" s="6" t="inlineStr"/>
      <c r="P94" s="6" t="inlineStr"/>
      <c r="Q94" s="6" t="inlineStr"/>
      <c r="R94" s="6" t="inlineStr"/>
    </row>
    <row r="95">
      <c r="A95" s="5" t="n">
        <v>94</v>
      </c>
      <c r="B95" s="5" t="inlineStr">
        <is>
          <t>10.1016/j.jcat.2012.05.020</t>
        </is>
      </c>
      <c r="C95" s="5" t="inlineStr">
        <is>
          <t>PdZnAl</t>
        </is>
      </c>
      <c r="D95" s="5" t="inlineStr">
        <is>
          <t>Table 2, PdZnAl</t>
        </is>
      </c>
      <c r="E95" s="5" t="inlineStr">
        <is>
          <t>temperature</t>
        </is>
      </c>
      <c r="F95" s="5" t="n">
        <v>249.85</v>
      </c>
      <c r="G95" s="5" t="inlineStr">
        <is>
          <t>°C (from K)</t>
        </is>
      </c>
      <c r="H95" s="5" t="inlineStr">
        <is>
          <t>Table 2</t>
        </is>
      </c>
      <c r="I95" s="5" t="n">
        <v>11</v>
      </c>
      <c r="J95" s="5" t="n"/>
      <c r="K95" s="5" t="inlineStr"/>
      <c r="L95" s="5" t="inlineStr">
        <is>
          <t>pdf/Ota_2012_Comparative study of hydrotalcite-derived supported Pd2Ga and PdZn intermetallic.pdf</t>
        </is>
      </c>
      <c r="M95" s="5" t="inlineStr">
        <is>
          <t>si/10_1016_j_jcat_2012_05_020__mmc1.pdf</t>
        </is>
      </c>
      <c r="N95" s="6" t="inlineStr"/>
      <c r="O95" s="6" t="inlineStr"/>
      <c r="P95" s="6" t="inlineStr"/>
      <c r="Q95" s="6" t="inlineStr"/>
      <c r="R95" s="6" t="inlineStr"/>
    </row>
    <row r="96">
      <c r="A96" s="5" t="n">
        <v>95</v>
      </c>
      <c r="B96" s="5" t="inlineStr">
        <is>
          <t>10.1016/j.jcat.2012.05.020</t>
        </is>
      </c>
      <c r="C96" s="5" t="inlineStr">
        <is>
          <t>PdZnAl</t>
        </is>
      </c>
      <c r="D96" s="5" t="inlineStr">
        <is>
          <t>Table 2, PdZnAl</t>
        </is>
      </c>
      <c r="E96" s="5" t="inlineStr">
        <is>
          <t>H2/CO2</t>
        </is>
      </c>
      <c r="F96" s="5" t="n">
        <v>3</v>
      </c>
      <c r="G96" s="5" t="inlineStr">
        <is>
          <t>mol/mol</t>
        </is>
      </c>
      <c r="H96" s="5" t="inlineStr">
        <is>
          <t>Table 2</t>
        </is>
      </c>
      <c r="I96" s="5" t="n">
        <v>11</v>
      </c>
      <c r="J96" s="5" t="n"/>
      <c r="K96" s="5" t="inlineStr"/>
      <c r="L96" s="5" t="inlineStr">
        <is>
          <t>pdf/Ota_2012_Comparative study of hydrotalcite-derived supported Pd2Ga and PdZn intermetallic.pdf</t>
        </is>
      </c>
      <c r="M96" s="5" t="inlineStr">
        <is>
          <t>si/10_1016_j_jcat_2012_05_020__mmc1.pdf</t>
        </is>
      </c>
      <c r="N96" s="6" t="inlineStr"/>
      <c r="O96" s="6" t="inlineStr"/>
      <c r="P96" s="6" t="inlineStr"/>
      <c r="Q96" s="6" t="inlineStr"/>
      <c r="R96" s="6" t="inlineStr"/>
    </row>
    <row r="97">
      <c r="A97" s="5" t="n">
        <v>96</v>
      </c>
      <c r="B97" s="5" t="inlineStr">
        <is>
          <t>10.1016/j.jcat.2012.05.020</t>
        </is>
      </c>
      <c r="C97" s="5" t="inlineStr">
        <is>
          <t>PdMgGa</t>
        </is>
      </c>
      <c r="D97" s="5" t="inlineStr">
        <is>
          <t>Table 2, PdMgGa</t>
        </is>
      </c>
      <c r="E97" s="5" t="inlineStr">
        <is>
          <t>H2/CO2</t>
        </is>
      </c>
      <c r="F97" s="5" t="n">
        <v>3</v>
      </c>
      <c r="G97" s="5" t="inlineStr">
        <is>
          <t>mol/mol</t>
        </is>
      </c>
      <c r="H97" s="5" t="inlineStr">
        <is>
          <t>Table 2</t>
        </is>
      </c>
      <c r="I97" s="5" t="n">
        <v>11</v>
      </c>
      <c r="J97" s="5" t="n"/>
      <c r="K97" s="5" t="inlineStr"/>
      <c r="L97" s="5" t="inlineStr">
        <is>
          <t>pdf/Ota_2012_Comparative study of hydrotalcite-derived supported Pd2Ga and PdZn intermetallic.pdf</t>
        </is>
      </c>
      <c r="M97" s="5" t="inlineStr">
        <is>
          <t>si/10_1016_j_jcat_2012_05_020__mmc1.pdf</t>
        </is>
      </c>
      <c r="N97" s="6" t="inlineStr"/>
      <c r="O97" s="6" t="inlineStr"/>
      <c r="P97" s="6" t="inlineStr"/>
      <c r="Q97" s="6" t="inlineStr"/>
      <c r="R97" s="6" t="inlineStr"/>
    </row>
    <row r="98">
      <c r="A98" s="5" t="n">
        <v>97</v>
      </c>
      <c r="B98" s="5" t="inlineStr">
        <is>
          <t>10.1016/j.jcat.2012.05.020</t>
        </is>
      </c>
      <c r="C98" s="5" t="inlineStr">
        <is>
          <t>PdMgAl</t>
        </is>
      </c>
      <c r="D98" s="5" t="inlineStr">
        <is>
          <t>Table 2, PdMgAl</t>
        </is>
      </c>
      <c r="E98" s="5" t="inlineStr">
        <is>
          <t>temperature</t>
        </is>
      </c>
      <c r="F98" s="5" t="n">
        <v>249.85</v>
      </c>
      <c r="G98" s="5" t="inlineStr">
        <is>
          <t>°C (from K)</t>
        </is>
      </c>
      <c r="H98" s="5" t="inlineStr">
        <is>
          <t>Table 2</t>
        </is>
      </c>
      <c r="I98" s="5" t="n">
        <v>11</v>
      </c>
      <c r="J98" s="5" t="n"/>
      <c r="K98" s="5" t="inlineStr"/>
      <c r="L98" s="5" t="inlineStr">
        <is>
          <t>pdf/Ota_2012_Comparative study of hydrotalcite-derived supported Pd2Ga and PdZn intermetallic.pdf</t>
        </is>
      </c>
      <c r="M98" s="5" t="inlineStr">
        <is>
          <t>si/10_1016_j_jcat_2012_05_020__mmc1.pdf</t>
        </is>
      </c>
      <c r="N98" s="6" t="inlineStr"/>
      <c r="O98" s="6" t="inlineStr"/>
      <c r="P98" s="6" t="inlineStr"/>
      <c r="Q98" s="6" t="inlineStr"/>
      <c r="R98" s="6" t="inlineStr"/>
    </row>
    <row r="99">
      <c r="A99" s="5" t="n">
        <v>98</v>
      </c>
      <c r="B99" s="5" t="inlineStr">
        <is>
          <t>10.1016/j.jcat.2012.05.020</t>
        </is>
      </c>
      <c r="C99" s="5" t="inlineStr">
        <is>
          <t>PdMgGa</t>
        </is>
      </c>
      <c r="D99" s="5" t="inlineStr">
        <is>
          <t>Table 2, PdMgGa</t>
        </is>
      </c>
      <c r="E99" s="5" t="inlineStr">
        <is>
          <t>temperature</t>
        </is>
      </c>
      <c r="F99" s="5" t="n">
        <v>249.85</v>
      </c>
      <c r="G99" s="5" t="inlineStr">
        <is>
          <t>°C (from K)</t>
        </is>
      </c>
      <c r="H99" s="5" t="inlineStr">
        <is>
          <t>Table 2</t>
        </is>
      </c>
      <c r="I99" s="5" t="n">
        <v>11</v>
      </c>
      <c r="J99" s="5" t="n"/>
      <c r="K99" s="5" t="inlineStr"/>
      <c r="L99" s="5" t="inlineStr">
        <is>
          <t>pdf/Ota_2012_Comparative study of hydrotalcite-derived supported Pd2Ga and PdZn intermetallic.pdf</t>
        </is>
      </c>
      <c r="M99" s="5" t="inlineStr">
        <is>
          <t>si/10_1016_j_jcat_2012_05_020__mmc1.pdf</t>
        </is>
      </c>
      <c r="N99" s="6" t="inlineStr"/>
      <c r="O99" s="6" t="inlineStr"/>
      <c r="P99" s="6" t="inlineStr"/>
      <c r="Q99" s="6" t="inlineStr"/>
      <c r="R99" s="6" t="inlineStr"/>
    </row>
    <row r="100">
      <c r="A100" s="5" t="n">
        <v>99</v>
      </c>
      <c r="B100" s="5" t="inlineStr">
        <is>
          <t>10.1016/j.jcat.2012.05.020</t>
        </is>
      </c>
      <c r="C100" s="5" t="inlineStr">
        <is>
          <t>PdMgAl</t>
        </is>
      </c>
      <c r="D100" s="5" t="inlineStr">
        <is>
          <t>Table 2, PdMgAl</t>
        </is>
      </c>
      <c r="E100" s="5" t="inlineStr">
        <is>
          <t>STY (printed)</t>
        </is>
      </c>
      <c r="F100" s="5" t="inlineStr">
        <is>
          <t>0.3 µmol/min gcat</t>
        </is>
      </c>
      <c r="G100" s="5" t="inlineStr">
        <is>
          <t>as printed</t>
        </is>
      </c>
      <c r="H100" s="5" t="inlineStr">
        <is>
          <t>Table 2</t>
        </is>
      </c>
      <c r="I100" s="5" t="n">
        <v>11</v>
      </c>
      <c r="J100" s="5" t="inlineStr">
        <is>
          <t>table</t>
        </is>
      </c>
      <c r="K100" s="5" t="inlineStr"/>
      <c r="L100" s="5" t="inlineStr">
        <is>
          <t>pdf/Ota_2012_Comparative study of hydrotalcite-derived supported Pd2Ga and PdZn intermetallic.pdf</t>
        </is>
      </c>
      <c r="M100" s="5" t="inlineStr">
        <is>
          <t>si/10_1016_j_jcat_2012_05_020__mmc1.pdf</t>
        </is>
      </c>
      <c r="N100" s="6" t="inlineStr"/>
      <c r="O100" s="6" t="inlineStr"/>
      <c r="P100" s="6" t="inlineStr"/>
      <c r="Q100" s="6" t="inlineStr"/>
      <c r="R100" s="6" t="inlineStr"/>
    </row>
    <row r="101">
      <c r="A101" s="5" t="n">
        <v>100</v>
      </c>
      <c r="B101" s="5" t="inlineStr">
        <is>
          <t>10.1016/j.jcat.2012.05.020</t>
        </is>
      </c>
      <c r="C101" s="5" t="inlineStr">
        <is>
          <t>PdZnAl</t>
        </is>
      </c>
      <c r="D101" s="5" t="inlineStr">
        <is>
          <t>Table 2, PdZnAl</t>
        </is>
      </c>
      <c r="E101" s="5" t="inlineStr">
        <is>
          <t>CO2 conversion</t>
        </is>
      </c>
      <c r="F101" s="5" t="n">
        <v>0.6</v>
      </c>
      <c r="G101" s="5" t="inlineStr">
        <is>
          <t>%</t>
        </is>
      </c>
      <c r="H101" s="5" t="inlineStr">
        <is>
          <t>Table 2</t>
        </is>
      </c>
      <c r="I101" s="5" t="n">
        <v>11</v>
      </c>
      <c r="J101" s="5" t="inlineStr">
        <is>
          <t>table</t>
        </is>
      </c>
      <c r="K101" s="5" t="inlineStr"/>
      <c r="L101" s="5" t="inlineStr">
        <is>
          <t>pdf/Ota_2012_Comparative study of hydrotalcite-derived supported Pd2Ga and PdZn intermetallic.pdf</t>
        </is>
      </c>
      <c r="M101" s="5" t="inlineStr">
        <is>
          <t>si/10_1016_j_jcat_2012_05_020__mmc1.pdf</t>
        </is>
      </c>
      <c r="N101" s="6" t="inlineStr"/>
      <c r="O101" s="6" t="inlineStr"/>
      <c r="P101" s="6" t="inlineStr"/>
      <c r="Q101" s="6" t="inlineStr"/>
      <c r="R101" s="6" t="inlineStr"/>
    </row>
  </sheetData>
  <dataValidations count="2">
    <dataValidation sqref="P2:P101" showDropDown="0" showInputMessage="0" showErrorMessage="0" allowBlank="1" type="list">
      <formula1>"Y,N"</formula1>
    </dataValidation>
    <dataValidation sqref="Q2:Q101" showDropDown="0" showInputMessage="0" showErrorMessage="0" allowBlank="1" type="list">
      <formula1>"correct,rounding,wrong"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2026-10-08T15:56:44Z</dcterms:created>
  <dcterms:modified xmlns:dcterms="http://purl.org/dc/terms/" xmlns:xsi="http://www.w3.org/2001/XMLSchema-instance" xsi:type="dcterms:W3CDTF">2026-10-12T05:22:29Z</dcterms:modified>
</cp:coreProperties>
</file>