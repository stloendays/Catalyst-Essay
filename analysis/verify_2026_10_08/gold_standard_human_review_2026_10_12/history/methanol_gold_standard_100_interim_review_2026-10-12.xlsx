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总览" sheetId="1" state="visible" r:id="rId1"/>
    <sheet xmlns:r="http://schemas.openxmlformats.org/officeDocument/2006/relationships" name="逐项原文核验" sheetId="2" state="visible" r:id="rId2"/>
    <sheet xmlns:r="http://schemas.openxmlformats.org/officeDocument/2006/relationships" name="原件获取清单" sheetId="3" state="visible" r:id="rId3"/>
    <sheet xmlns:r="http://schemas.openxmlformats.org/officeDocument/2006/relationships" name="口径与冻结版对照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核对表" sheetId="6" state="visible" r:id="rId6"/>
    <sheet xmlns:r="http://schemas.openxmlformats.org/officeDocument/2006/relationships" name="AI预填核验草稿_待复签" sheetId="7" state="visible" r:id="rId7"/>
  </sheets>
  <definedNames>
    <definedName name="_xlnm._FilterDatabase" localSheetId="1" hidden="1">'逐项原文核验'!$A$1:$S$101</definedName>
    <definedName name="_xlnm._FilterDatabase" localSheetId="2" hidden="1">'原件获取清单'!$A$1:$I$11</definedName>
    <definedName name="_xlnm._FilterDatabase" localSheetId="3" hidden="1">'口径与冻结版对照'!$A$1:$C$12</definedName>
    <definedName name="_xlnm._FilterDatabase" localSheetId="6" hidden="1">'AI预填核验草稿_待复签'!$A$1:$R$101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12"/>
    </font>
    <font>
      <sz val="12"/>
    </font>
    <font>
      <b val="1"/>
    </font>
    <font>
      <name val="Aptos"/>
      <color rgb="002D6294"/>
      <sz val="9"/>
      <u val="single"/>
    </font>
    <font>
      <name val="Aptos"/>
      <b val="1"/>
      <color rgb="00FFFFFF"/>
      <sz val="10"/>
    </font>
    <font>
      <name val="Aptos"/>
      <color rgb="00233444"/>
      <sz val="9"/>
    </font>
    <font>
      <name val="Aptos"/>
      <b val="1"/>
      <color rgb="00637181"/>
      <sz val="9"/>
    </font>
    <font>
      <name val="Aptos"/>
      <b val="1"/>
      <color rgb="00C0792B"/>
      <sz val="9"/>
    </font>
    <font>
      <name val="Aptos"/>
      <b val="1"/>
      <color rgb="00177153"/>
      <sz val="9"/>
    </font>
    <font>
      <name val="Aptos"/>
      <b val="1"/>
      <color rgb="009E3D3D"/>
      <sz val="9"/>
    </font>
    <font>
      <name val="Aptos"/>
      <b val="1"/>
      <color rgb="002D6294"/>
      <sz val="9"/>
    </font>
    <font>
      <name val="Aptos Display"/>
      <b val="1"/>
      <color rgb="00FFFFFF"/>
      <sz val="18"/>
    </font>
    <font>
      <name val="Aptos"/>
      <b val="1"/>
      <color rgb="008A5F1E"/>
      <sz val="12"/>
    </font>
    <font>
      <name val="Aptos"/>
      <b val="1"/>
      <color rgb="00233444"/>
      <sz val="11"/>
    </font>
    <font>
      <name val="Aptos"/>
      <b val="1"/>
      <color rgb="00185E6B"/>
      <sz val="14"/>
    </font>
    <font>
      <name val="Aptos"/>
      <color rgb="00233444"/>
      <sz val="11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9242F"/>
      </patternFill>
    </fill>
    <fill>
      <patternFill patternType="solid">
        <fgColor rgb="00F7F9FA"/>
      </patternFill>
    </fill>
    <fill>
      <patternFill patternType="solid">
        <fgColor rgb="00F2F3F5"/>
      </patternFill>
    </fill>
    <fill>
      <patternFill patternType="solid">
        <fgColor rgb="00FFF4E5"/>
      </patternFill>
    </fill>
    <fill>
      <patternFill patternType="solid">
        <fgColor rgb="00E8F4EE"/>
      </patternFill>
    </fill>
    <fill>
      <patternFill patternType="solid">
        <fgColor rgb="00FBE9E6"/>
      </patternFill>
    </fill>
    <fill>
      <patternFill patternType="solid">
        <fgColor rgb="00EEF4FC"/>
      </patternFill>
    </fill>
    <fill>
      <patternFill patternType="solid">
        <fgColor rgb="00EAF2FF"/>
      </patternFill>
    </fill>
    <fill>
      <patternFill patternType="solid">
        <fgColor rgb="00FFF2DA"/>
      </patternFill>
    </fill>
    <fill>
      <patternFill patternType="solid">
        <fgColor rgb="00FAF1E3"/>
      </patternFill>
    </fill>
    <fill>
      <patternFill patternType="solid">
        <fgColor rgb="00EEF2F5"/>
      </patternFill>
    </fill>
    <fill>
      <patternFill patternType="solid">
        <fgColor rgb="00E5F4F3"/>
      </patternFill>
    </fill>
    <fill>
      <patternFill patternType="solid">
        <fgColor rgb="00F1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2" fillId="3" borderId="0" applyAlignment="1" pivotButton="0" quotePrefix="0" xfId="0">
      <alignment vertical="center" indent="1"/>
    </xf>
    <xf numFmtId="0" fontId="13" fillId="12" borderId="0" applyAlignment="1" pivotButton="0" quotePrefix="0" xfId="0">
      <alignment vertical="center" wrapText="1" indent="1"/>
    </xf>
    <xf numFmtId="0" fontId="14" fillId="13" borderId="0" pivotButton="0" quotePrefix="0" xfId="0"/>
    <xf numFmtId="0" fontId="15" fillId="14" borderId="0" pivotButton="0" quotePrefix="0" xfId="0"/>
    <xf numFmtId="0" fontId="16" fillId="15" borderId="0" applyAlignment="1" pivotButton="0" quotePrefix="0" xfId="0">
      <alignment vertical="center" wrapText="1" inden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8" fillId="6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s.els-cdn.com/content/image/1-s2.0-S0926860X18302084-mmc1.docx" TargetMode="External" Id="rId1"/><Relationship Type="http://schemas.openxmlformats.org/officeDocument/2006/relationships/hyperlink" Target="https://ars.els-cdn.com/content/image/1-s2.0-S0926860X18302084-mmc1.docx" TargetMode="External" Id="rId2"/><Relationship Type="http://schemas.openxmlformats.org/officeDocument/2006/relationships/hyperlink" Target="https://doi.org/10.1016/j.apcata.2018.04.036" TargetMode="External" Id="rId3"/><Relationship Type="http://schemas.openxmlformats.org/officeDocument/2006/relationships/hyperlink" Target="https://ars.els-cdn.com/content/image/1-s2.0-S0926860X18302084-mmc1.docx" TargetMode="External" Id="rId4"/><Relationship Type="http://schemas.openxmlformats.org/officeDocument/2006/relationships/hyperlink" Target="https://ars.els-cdn.com/content/image/1-s2.0-S0926860X18302084-mmc1.docx" TargetMode="External" Id="rId5"/><Relationship Type="http://schemas.openxmlformats.org/officeDocument/2006/relationships/hyperlink" Target="https://ars.els-cdn.com/content/image/1-s2.0-S0926860X18302084-mmc1.docx" TargetMode="External" Id="rId6"/><Relationship Type="http://schemas.openxmlformats.org/officeDocument/2006/relationships/hyperlink" Target="https://ars.els-cdn.com/content/image/1-s2.0-S0926860X18302084-mmc1.docx" TargetMode="External" Id="rId7"/><Relationship Type="http://schemas.openxmlformats.org/officeDocument/2006/relationships/hyperlink" Target="https://ars.els-cdn.com/content/image/1-s2.0-S0926860X18302084-mmc1.docx" TargetMode="External" Id="rId8"/><Relationship Type="http://schemas.openxmlformats.org/officeDocument/2006/relationships/hyperlink" Target="https://ars.els-cdn.com/content/image/1-s2.0-S0926860X18302084-mmc1.docx" TargetMode="External" Id="rId9"/><Relationship Type="http://schemas.openxmlformats.org/officeDocument/2006/relationships/hyperlink" Target="https://ars.els-cdn.com/content/image/1-s2.0-S0926860X18302084-mmc1.docx" TargetMode="External" Id="rId10"/><Relationship Type="http://schemas.openxmlformats.org/officeDocument/2006/relationships/hyperlink" Target="https://doi.org/10.1126/sciadv.abi6012" TargetMode="External" Id="rId11"/><Relationship Type="http://schemas.openxmlformats.org/officeDocument/2006/relationships/hyperlink" Target="https://doi.org/10.1126/sciadv.abi6012" TargetMode="External" Id="rId12"/><Relationship Type="http://schemas.openxmlformats.org/officeDocument/2006/relationships/hyperlink" Target="https://doi.org/10.1126/sciadv.abi6012" TargetMode="External" Id="rId13"/><Relationship Type="http://schemas.openxmlformats.org/officeDocument/2006/relationships/hyperlink" Target="https://doi.org/10.1126/sciadv.abi6012" TargetMode="External" Id="rId14"/><Relationship Type="http://schemas.openxmlformats.org/officeDocument/2006/relationships/hyperlink" Target="https://doi.org/10.1126/sciadv.abi6012" TargetMode="External" Id="rId15"/><Relationship Type="http://schemas.openxmlformats.org/officeDocument/2006/relationships/hyperlink" Target="https://doi.org/10.1126/sciadv.abi6012" TargetMode="External" Id="rId16"/><Relationship Type="http://schemas.openxmlformats.org/officeDocument/2006/relationships/hyperlink" Target="https://doi.org/10.1126/sciadv.abi6012" TargetMode="External" Id="rId17"/><Relationship Type="http://schemas.openxmlformats.org/officeDocument/2006/relationships/hyperlink" Target="https://doi.org/10.1126/sciadv.abi6012" TargetMode="External" Id="rId18"/><Relationship Type="http://schemas.openxmlformats.org/officeDocument/2006/relationships/hyperlink" Target="https://doi.org/10.1126/sciadv.abi6012" TargetMode="External" Id="rId19"/><Relationship Type="http://schemas.openxmlformats.org/officeDocument/2006/relationships/hyperlink" Target="https://doi.org/10.1126/sciadv.abi6012" TargetMode="External" Id="rId20"/><Relationship Type="http://schemas.openxmlformats.org/officeDocument/2006/relationships/hyperlink" Target="https://www.rsc.org/suppdata/cy/c2/c2cy20604h/c2cy20604h.pdf" TargetMode="External" Id="rId21"/><Relationship Type="http://schemas.openxmlformats.org/officeDocument/2006/relationships/hyperlink" Target="https://www.rsc.org/suppdata/cy/c2/c2cy20604h/c2cy20604h.pdf" TargetMode="External" Id="rId22"/><Relationship Type="http://schemas.openxmlformats.org/officeDocument/2006/relationships/hyperlink" Target="https://www.rsc.org/suppdata/cy/c2/c2cy20604h/c2cy20604h.pdf" TargetMode="External" Id="rId23"/><Relationship Type="http://schemas.openxmlformats.org/officeDocument/2006/relationships/hyperlink" Target="https://www.rsc.org/suppdata/cy/c2/c2cy20604h/c2cy20604h.pdf" TargetMode="External" Id="rId24"/><Relationship Type="http://schemas.openxmlformats.org/officeDocument/2006/relationships/hyperlink" Target="https://www.rsc.org/suppdata/cy/c2/c2cy20604h/c2cy20604h.pdf" TargetMode="External" Id="rId25"/><Relationship Type="http://schemas.openxmlformats.org/officeDocument/2006/relationships/hyperlink" Target="https://www.rsc.org/suppdata/cy/c2/c2cy20604h/c2cy20604h.pdf" TargetMode="External" Id="rId26"/><Relationship Type="http://schemas.openxmlformats.org/officeDocument/2006/relationships/hyperlink" Target="https://www.rsc.org/suppdata/cy/c2/c2cy20604h/c2cy20604h.pdf" TargetMode="External" Id="rId27"/><Relationship Type="http://schemas.openxmlformats.org/officeDocument/2006/relationships/hyperlink" Target="https://www.rsc.org/suppdata/cy/c2/c2cy20604h/c2cy20604h.pdf" TargetMode="External" Id="rId28"/><Relationship Type="http://schemas.openxmlformats.org/officeDocument/2006/relationships/hyperlink" Target="https://www.rsc.org/suppdata/cy/c2/c2cy20604h/c2cy20604h.pdf" TargetMode="External" Id="rId29"/><Relationship Type="http://schemas.openxmlformats.org/officeDocument/2006/relationships/hyperlink" Target="https://www.rsc.org/suppdata/cy/c2/c2cy20604h/c2cy20604h.pdf" TargetMode="External" Id="rId30"/><Relationship Type="http://schemas.openxmlformats.org/officeDocument/2006/relationships/hyperlink" Target="https://www.nature.com/articles/s41467-019-11349-9" TargetMode="External" Id="rId31"/><Relationship Type="http://schemas.openxmlformats.org/officeDocument/2006/relationships/hyperlink" Target="https://www.nature.com/articles/s41467-019-11349-9" TargetMode="External" Id="rId32"/><Relationship Type="http://schemas.openxmlformats.org/officeDocument/2006/relationships/hyperlink" Target="https://www.nature.com/articles/s41467-019-11349-9" TargetMode="External" Id="rId33"/><Relationship Type="http://schemas.openxmlformats.org/officeDocument/2006/relationships/hyperlink" Target="https://www.nature.com/articles/s41467-019-11349-9" TargetMode="External" Id="rId34"/><Relationship Type="http://schemas.openxmlformats.org/officeDocument/2006/relationships/hyperlink" Target="https://www.nature.com/articles/s41467-019-11349-9" TargetMode="External" Id="rId35"/><Relationship Type="http://schemas.openxmlformats.org/officeDocument/2006/relationships/hyperlink" Target="https://www.nature.com/articles/s41467-019-11349-9" TargetMode="External" Id="rId36"/><Relationship Type="http://schemas.openxmlformats.org/officeDocument/2006/relationships/hyperlink" Target="https://www.nature.com/articles/s41467-019-11349-9" TargetMode="External" Id="rId37"/><Relationship Type="http://schemas.openxmlformats.org/officeDocument/2006/relationships/hyperlink" Target="https://www.nature.com/articles/s41467-019-11349-9" TargetMode="External" Id="rId38"/><Relationship Type="http://schemas.openxmlformats.org/officeDocument/2006/relationships/hyperlink" Target="https://www.nature.com/articles/s41467-019-11349-9" TargetMode="External" Id="rId39"/><Relationship Type="http://schemas.openxmlformats.org/officeDocument/2006/relationships/hyperlink" Target="https://www.nature.com/articles/s41467-019-11349-9" TargetMode="External" Id="rId40"/><Relationship Type="http://schemas.openxmlformats.org/officeDocument/2006/relationships/hyperlink" Target="https://doi.org/10.1126/sciadv.aaz2060" TargetMode="External" Id="rId41"/><Relationship Type="http://schemas.openxmlformats.org/officeDocument/2006/relationships/hyperlink" Target="https://doi.org/10.1126/sciadv.aaz2060" TargetMode="External" Id="rId42"/><Relationship Type="http://schemas.openxmlformats.org/officeDocument/2006/relationships/hyperlink" Target="https://doi.org/10.1126/sciadv.aaz2060" TargetMode="External" Id="rId43"/><Relationship Type="http://schemas.openxmlformats.org/officeDocument/2006/relationships/hyperlink" Target="https://doi.org/10.1126/sciadv.aaz2060" TargetMode="External" Id="rId44"/><Relationship Type="http://schemas.openxmlformats.org/officeDocument/2006/relationships/hyperlink" Target="https://doi.org/10.1126/sciadv.aaz2060" TargetMode="External" Id="rId45"/><Relationship Type="http://schemas.openxmlformats.org/officeDocument/2006/relationships/hyperlink" Target="https://doi.org/10.1126/sciadv.aaz2060" TargetMode="External" Id="rId46"/><Relationship Type="http://schemas.openxmlformats.org/officeDocument/2006/relationships/hyperlink" Target="https://doi.org/10.1126/sciadv.aaz2060" TargetMode="External" Id="rId47"/><Relationship Type="http://schemas.openxmlformats.org/officeDocument/2006/relationships/hyperlink" Target="https://doi.org/10.1126/sciadv.aaz2060" TargetMode="External" Id="rId48"/><Relationship Type="http://schemas.openxmlformats.org/officeDocument/2006/relationships/hyperlink" Target="https://doi.org/10.1126/sciadv.aaz2060" TargetMode="External" Id="rId49"/><Relationship Type="http://schemas.openxmlformats.org/officeDocument/2006/relationships/hyperlink" Target="https://doi.org/10.1126/sciadv.aaz2060" TargetMode="External" Id="rId50"/><Relationship Type="http://schemas.openxmlformats.org/officeDocument/2006/relationships/hyperlink" Target="https://www.rsc.org/suppdata/c5/cy/c5cy00372e/c5cy00372e1.pdf" TargetMode="External" Id="rId51"/><Relationship Type="http://schemas.openxmlformats.org/officeDocument/2006/relationships/hyperlink" Target="https://www.rsc.org/suppdata/c5/cy/c5cy00372e/c5cy00372e1.pdf" TargetMode="External" Id="rId52"/><Relationship Type="http://schemas.openxmlformats.org/officeDocument/2006/relationships/hyperlink" Target="https://www.rsc.org/suppdata/c5/cy/c5cy00372e/c5cy00372e1.pdf" TargetMode="External" Id="rId53"/><Relationship Type="http://schemas.openxmlformats.org/officeDocument/2006/relationships/hyperlink" Target="https://www.rsc.org/suppdata/c5/cy/c5cy00372e/c5cy00372e1.pdf" TargetMode="External" Id="rId54"/><Relationship Type="http://schemas.openxmlformats.org/officeDocument/2006/relationships/hyperlink" Target="https://doi.org/10.1039/c5cy00372e" TargetMode="External" Id="rId55"/><Relationship Type="http://schemas.openxmlformats.org/officeDocument/2006/relationships/hyperlink" Target="https://www.rsc.org/suppdata/c5/cy/c5cy00372e/c5cy00372e1.pdf" TargetMode="External" Id="rId56"/><Relationship Type="http://schemas.openxmlformats.org/officeDocument/2006/relationships/hyperlink" Target="https://www.rsc.org/suppdata/c5/cy/c5cy00372e/c5cy00372e1.pdf" TargetMode="External" Id="rId57"/><Relationship Type="http://schemas.openxmlformats.org/officeDocument/2006/relationships/hyperlink" Target="https://www.rsc.org/suppdata/c5/cy/c5cy00372e/c5cy00372e1.pdf" TargetMode="External" Id="rId58"/><Relationship Type="http://schemas.openxmlformats.org/officeDocument/2006/relationships/hyperlink" Target="https://www.rsc.org/suppdata/c5/cy/c5cy00372e/c5cy00372e1.pdf" TargetMode="External" Id="rId59"/><Relationship Type="http://schemas.openxmlformats.org/officeDocument/2006/relationships/hyperlink" Target="https://doi.org/10.1039/c5cy00372e" TargetMode="External" Id="rId60"/><Relationship Type="http://schemas.openxmlformats.org/officeDocument/2006/relationships/hyperlink" Target="https://www.sciencedirect.com/science/article/pii/S0926337317306197" TargetMode="External" Id="rId61"/><Relationship Type="http://schemas.openxmlformats.org/officeDocument/2006/relationships/hyperlink" Target="https://ars.els-cdn.com/content/image/1-s2.0-S0926337317306197-mmc1.docx" TargetMode="External" Id="rId62"/><Relationship Type="http://schemas.openxmlformats.org/officeDocument/2006/relationships/hyperlink" Target="https://ars.els-cdn.com/content/image/1-s2.0-S0926337317306197-mmc1.docx" TargetMode="External" Id="rId63"/><Relationship Type="http://schemas.openxmlformats.org/officeDocument/2006/relationships/hyperlink" Target="https://www.sciencedirect.com/science/article/pii/S0926337317306197" TargetMode="External" Id="rId64"/><Relationship Type="http://schemas.openxmlformats.org/officeDocument/2006/relationships/hyperlink" Target="https://www.sciencedirect.com/science/article/pii/S0926337317306197" TargetMode="External" Id="rId65"/><Relationship Type="http://schemas.openxmlformats.org/officeDocument/2006/relationships/hyperlink" Target="https://ars.els-cdn.com/content/image/1-s2.0-S0926337317306197-mmc1.docx" TargetMode="External" Id="rId66"/><Relationship Type="http://schemas.openxmlformats.org/officeDocument/2006/relationships/hyperlink" Target="https://www.sciencedirect.com/science/article/pii/S0926337317306197" TargetMode="External" Id="rId67"/><Relationship Type="http://schemas.openxmlformats.org/officeDocument/2006/relationships/hyperlink" Target="https://ars.els-cdn.com/content/image/1-s2.0-S0926337317306197-mmc1.docx" TargetMode="External" Id="rId68"/><Relationship Type="http://schemas.openxmlformats.org/officeDocument/2006/relationships/hyperlink" Target="https://ars.els-cdn.com/content/image/1-s2.0-S0926337317306197-mmc1.docx" TargetMode="External" Id="rId69"/><Relationship Type="http://schemas.openxmlformats.org/officeDocument/2006/relationships/hyperlink" Target="https://ars.els-cdn.com/content/image/1-s2.0-S0926337317306197-mmc1.docx" TargetMode="External" Id="rId70"/><Relationship Type="http://schemas.openxmlformats.org/officeDocument/2006/relationships/hyperlink" Target="https://onlinelibrary.wiley.com/doi/10.1002/ente.201800747" TargetMode="External" Id="rId71"/><Relationship Type="http://schemas.openxmlformats.org/officeDocument/2006/relationships/hyperlink" Target="https://onlinelibrary.wiley.com/doi/10.1002/ente.201800747" TargetMode="External" Id="rId72"/><Relationship Type="http://schemas.openxmlformats.org/officeDocument/2006/relationships/hyperlink" Target="https://onlinelibrary.wiley.com/doi/10.1002/ente.201800747" TargetMode="External" Id="rId73"/><Relationship Type="http://schemas.openxmlformats.org/officeDocument/2006/relationships/hyperlink" Target="https://onlinelibrary.wiley.com/doi/10.1002/ente.201800747" TargetMode="External" Id="rId74"/><Relationship Type="http://schemas.openxmlformats.org/officeDocument/2006/relationships/hyperlink" Target="https://onlinelibrary.wiley.com/doi/10.1002/ente.201800747" TargetMode="External" Id="rId75"/><Relationship Type="http://schemas.openxmlformats.org/officeDocument/2006/relationships/hyperlink" Target="https://onlinelibrary.wiley.com/doi/10.1002/ente.201800747" TargetMode="External" Id="rId76"/><Relationship Type="http://schemas.openxmlformats.org/officeDocument/2006/relationships/hyperlink" Target="https://onlinelibrary.wiley.com/doi/10.1002/ente.201800747" TargetMode="External" Id="rId77"/><Relationship Type="http://schemas.openxmlformats.org/officeDocument/2006/relationships/hyperlink" Target="https://onlinelibrary.wiley.com/doi/10.1002/ente.201800747" TargetMode="External" Id="rId78"/><Relationship Type="http://schemas.openxmlformats.org/officeDocument/2006/relationships/hyperlink" Target="https://onlinelibrary.wiley.com/doi/10.1002/ente.201800747" TargetMode="External" Id="rId79"/><Relationship Type="http://schemas.openxmlformats.org/officeDocument/2006/relationships/hyperlink" Target="https://onlinelibrary.wiley.com/doi/10.1002/ente.201800747" TargetMode="External" Id="rId80"/><Relationship Type="http://schemas.openxmlformats.org/officeDocument/2006/relationships/hyperlink" Target="https://orca.cardiff.ac.uk/id/eprint/135088/13/cctc.202000974%20FINAL.pdf" TargetMode="External" Id="rId81"/><Relationship Type="http://schemas.openxmlformats.org/officeDocument/2006/relationships/hyperlink" Target="https://orca.cardiff.ac.uk/id/eprint/135088/13/cctc.202000974%20FINAL.pdf" TargetMode="External" Id="rId82"/><Relationship Type="http://schemas.openxmlformats.org/officeDocument/2006/relationships/hyperlink" Target="https://orca.cardiff.ac.uk/id/eprint/135088/13/cctc.202000974%20FINAL.pdf" TargetMode="External" Id="rId83"/><Relationship Type="http://schemas.openxmlformats.org/officeDocument/2006/relationships/hyperlink" Target="https://orca.cardiff.ac.uk/id/eprint/135088/13/cctc.202000974%20FINAL.pdf" TargetMode="External" Id="rId84"/><Relationship Type="http://schemas.openxmlformats.org/officeDocument/2006/relationships/hyperlink" Target="https://orca.cardiff.ac.uk/id/eprint/135088/13/cctc.202000974%20FINAL.pdf" TargetMode="External" Id="rId85"/><Relationship Type="http://schemas.openxmlformats.org/officeDocument/2006/relationships/hyperlink" Target="https://orca.cardiff.ac.uk/id/eprint/135088/13/cctc.202000974%20FINAL.pdf" TargetMode="External" Id="rId86"/><Relationship Type="http://schemas.openxmlformats.org/officeDocument/2006/relationships/hyperlink" Target="https://orca.cardiff.ac.uk/id/eprint/135088/13/cctc.202000974%20FINAL.pdf" TargetMode="External" Id="rId87"/><Relationship Type="http://schemas.openxmlformats.org/officeDocument/2006/relationships/hyperlink" Target="https://orca.cardiff.ac.uk/id/eprint/135088/13/cctc.202000974%20FINAL.pdf" TargetMode="External" Id="rId88"/><Relationship Type="http://schemas.openxmlformats.org/officeDocument/2006/relationships/hyperlink" Target="https://orca.cardiff.ac.uk/id/eprint/135088/13/cctc.202000974%20FINAL.pdf" TargetMode="External" Id="rId89"/><Relationship Type="http://schemas.openxmlformats.org/officeDocument/2006/relationships/hyperlink" Target="https://orca.cardiff.ac.uk/id/eprint/135088/13/cctc.202000974%20FINAL.pdf" TargetMode="External" Id="rId90"/><Relationship Type="http://schemas.openxmlformats.org/officeDocument/2006/relationships/hyperlink" Target="https://iris.unito.it/retrieve/handle/2318/122839/18808/COST_OA.pdf" TargetMode="External" Id="rId91"/><Relationship Type="http://schemas.openxmlformats.org/officeDocument/2006/relationships/hyperlink" Target="https://iris.unito.it/retrieve/handle/2318/122839/18808/COST_OA.pdf" TargetMode="External" Id="rId92"/><Relationship Type="http://schemas.openxmlformats.org/officeDocument/2006/relationships/hyperlink" Target="https://iris.unito.it/retrieve/handle/2318/122839/18808/COST_OA.pdf" TargetMode="External" Id="rId93"/><Relationship Type="http://schemas.openxmlformats.org/officeDocument/2006/relationships/hyperlink" Target="https://iris.unito.it/retrieve/handle/2318/122839/18808/COST_OA.pdf" TargetMode="External" Id="rId94"/><Relationship Type="http://schemas.openxmlformats.org/officeDocument/2006/relationships/hyperlink" Target="https://iris.unito.it/retrieve/handle/2318/122839/18808/COST_OA.pdf" TargetMode="External" Id="rId95"/><Relationship Type="http://schemas.openxmlformats.org/officeDocument/2006/relationships/hyperlink" Target="https://iris.unito.it/retrieve/handle/2318/122839/18808/COST_OA.pdf" TargetMode="External" Id="rId96"/><Relationship Type="http://schemas.openxmlformats.org/officeDocument/2006/relationships/hyperlink" Target="https://iris.unito.it/retrieve/handle/2318/122839/18808/COST_OA.pdf" TargetMode="External" Id="rId97"/><Relationship Type="http://schemas.openxmlformats.org/officeDocument/2006/relationships/hyperlink" Target="https://iris.unito.it/retrieve/handle/2318/122839/18808/COST_OA.pdf" TargetMode="External" Id="rId98"/><Relationship Type="http://schemas.openxmlformats.org/officeDocument/2006/relationships/hyperlink" Target="https://iris.unito.it/retrieve/handle/2318/122839/18808/COST_OA.pdf" TargetMode="External" Id="rId99"/><Relationship Type="http://schemas.openxmlformats.org/officeDocument/2006/relationships/hyperlink" Target="https://iris.unito.it/retrieve/handle/2318/122839/18808/COST_OA.pdf" TargetMode="External" Id="rId100"/></Relationships>
</file>

<file path=xl/worksheets/_rels/sheet3.xml.rels><Relationships xmlns="http://schemas.openxmlformats.org/package/2006/relationships"><Relationship Type="http://schemas.openxmlformats.org/officeDocument/2006/relationships/hyperlink" Target="https://ars.els-cdn.com/content/image/1-s2.0-S0926860X18302084-mmc1.docx" TargetMode="External" Id="rId1"/><Relationship Type="http://schemas.openxmlformats.org/officeDocument/2006/relationships/hyperlink" Target="https://www.science.org/doi/suppl/10.1126/sciadv.abi6012/suppl_file/sciadv.abi6012_sm.pdf" TargetMode="External" Id="rId2"/><Relationship Type="http://schemas.openxmlformats.org/officeDocument/2006/relationships/hyperlink" Target="https://www.rsc.org/suppdata/cy/c2/c2cy20604h/c2cy20604h.pdf" TargetMode="External" Id="rId3"/><Relationship Type="http://schemas.openxmlformats.org/officeDocument/2006/relationships/hyperlink" Target="https://www.nature.com/articles/s41467-019-11349-9" TargetMode="External" Id="rId4"/><Relationship Type="http://schemas.openxmlformats.org/officeDocument/2006/relationships/hyperlink" Target="https://pmc.ncbi.nlm.nih.gov/articles/PMC7299618/" TargetMode="External" Id="rId5"/><Relationship Type="http://schemas.openxmlformats.org/officeDocument/2006/relationships/hyperlink" Target="https://www.rsc.org/suppdata/c5/cy/c5cy00372e/c5cy00372e1.pdf" TargetMode="External" Id="rId6"/><Relationship Type="http://schemas.openxmlformats.org/officeDocument/2006/relationships/hyperlink" Target="https://ars.els-cdn.com/content/image/1-s2.0-S0926337317306197-mmc1.docx" TargetMode="External" Id="rId7"/><Relationship Type="http://schemas.openxmlformats.org/officeDocument/2006/relationships/hyperlink" Target="https://onlinelibrary.wiley.com/action/downloadSupplement?doi=10.1002%2Fente.201800747&amp;file=ente201800747-sup-0001-SuppData-S1.pdf" TargetMode="External" Id="rId8"/><Relationship Type="http://schemas.openxmlformats.org/officeDocument/2006/relationships/hyperlink" Target="https://chemistry-europe.onlinelibrary.wiley.com/action/downloadSupplement?doi=10.1002%2Fcctc.202000974&amp;file=cctc202000974-sup-0001-misc_information.pdf" TargetMode="External" Id="rId9"/><Relationship Type="http://schemas.openxmlformats.org/officeDocument/2006/relationships/hyperlink" Target="https://iris.unito.it/retrieve/handle/2318/122839/18808/COST_OA.pdf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stloendays/Catalyst-Essay/blob/freeze-s5-printed-2026-10-12/analysis/meoh_literature_inversion_2026_10_05/summary.js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35" customWidth="1" min="3" max="3"/>
    <col width="34" customWidth="1" min="4" max="4"/>
    <col width="34" customWidth="1" min="5" max="5"/>
    <col width="30" customWidth="1" min="6" max="6"/>
    <col width="24" customWidth="1" min="7" max="7"/>
  </cols>
  <sheetData>
    <row r="1" ht="31" customHeight="1">
      <c r="A1" s="7" t="inlineStr">
        <is>
          <t>甲醇文献 100 项原文核验｜AI 辅助独立复核（2026-10-12）</t>
        </is>
      </c>
    </row>
    <row r="2" ht="22" customHeight="1"/>
    <row r="4" ht="34" customHeight="1">
      <c r="A4" s="8" t="inlineStr">
        <is>
          <t>“数值可核”和“已经完成人工金标准签字”是不同状态。本文件不伪造人工判定。黄色原始表的 N–R 栏完全不变，蓝色 AI 草稿可以供作者快速复签。</t>
        </is>
      </c>
    </row>
    <row r="5" ht="30" customHeight="1"/>
    <row r="7" ht="30" customHeight="1">
      <c r="A7" s="9" t="inlineStr">
        <is>
          <t>抽样总数</t>
        </is>
      </c>
      <c r="B7" s="10">
        <f>COUNTA('逐项原文核验'!A2:A101)</f>
        <v>100</v>
      </c>
    </row>
    <row r="8" ht="30" customHeight="1">
      <c r="A8" s="9" t="inlineStr">
        <is>
          <t>01 数值相符/来源定位需修正</t>
        </is>
      </c>
      <c r="B8" s="10">
        <f>COUNTIF('逐项原文核验'!K2:K101,"01*")</f>
        <v>42</v>
      </c>
    </row>
    <row r="9" ht="30" customHeight="1">
      <c r="A9" s="9" t="inlineStr">
        <is>
          <t>02 数值可追溯但推算</t>
        </is>
      </c>
      <c r="B9" s="10">
        <f>COUNTIF('逐项原文核验'!K2:K101,"02*")</f>
        <v>3</v>
      </c>
    </row>
    <row r="10" ht="30" customHeight="1">
      <c r="A10" s="9" t="inlineStr">
        <is>
          <t>03 限定符/非直印问题</t>
        </is>
      </c>
      <c r="B10" s="10">
        <f>COUNTIF('逐项原文核验'!K2:K101,"03*")</f>
        <v>2</v>
      </c>
    </row>
    <row r="11" ht="30" customHeight="1">
      <c r="A11" s="9" t="inlineStr">
        <is>
          <t>04 通用条件/二手佐证</t>
        </is>
      </c>
      <c r="B11" s="10">
        <f>COUNTIF('逐项原文核验'!K2:K101,"04*")</f>
        <v>11</v>
      </c>
    </row>
    <row r="12" ht="30" customHeight="1">
      <c r="A12" s="9" t="inlineStr">
        <is>
          <t>05 原始表行尚不可核</t>
        </is>
      </c>
      <c r="B12" s="10">
        <f>COUNTIF('逐项原文核验'!K2:K101,"05*")</f>
        <v>42</v>
      </c>
    </row>
    <row r="13" ht="30" customHeight="1">
      <c r="A13" s="9" t="inlineStr">
        <is>
          <t>原始人工金标准已签</t>
        </is>
      </c>
      <c r="B13" s="10">
        <f>COUNTIF('核对表'!Q2:Q101,"correct")+COUNTIF('核对表'!Q2:Q101,"rounding")+COUNTIF('核对表'!Q2:Q101,"wrong")</f>
        <v>0</v>
      </c>
    </row>
    <row r="16" ht="35" customHeight="1">
      <c r="A16" s="11" t="inlineStr">
        <is>
          <t>正式发表前：必须优先补齐 Malik 主文 Table 6、Gao 主文 Table 6、Meng Science SI、Rui Elsevier SI、Chen Wiley SI、Ruiz Esquius Wiley SI。原始审计共100条中，无法取得源文件者不能默认正确。</t>
        </is>
      </c>
    </row>
    <row r="17" ht="27" customHeight="1"/>
    <row r="19" ht="35" customHeight="1">
      <c r="A19" s="11" t="inlineStr">
        <is>
          <t>复核最关键的编号：#17（图上没有0.4%的精确标注）；#40（9.7%的定位不在Table 2）；#45/#85/#90（气体进料推算比）；#93（&lt;0.1%的限值不能当成0.1%实测）；#99（单位是µmol/min/g-cat）。</t>
        </is>
      </c>
    </row>
    <row r="20" ht="27" customHeight="1"/>
  </sheetData>
  <mergeCells count="4">
    <mergeCell ref="A4:G5"/>
    <mergeCell ref="A19:G20"/>
    <mergeCell ref="A16:G17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9" customWidth="1" min="2" max="2"/>
    <col width="29" customWidth="1" min="3" max="3"/>
    <col width="25" customWidth="1" min="4" max="4"/>
    <col width="41" customWidth="1" min="5" max="5"/>
    <col width="18" customWidth="1" min="6" max="6"/>
    <col width="20" customWidth="1" min="7" max="7"/>
    <col width="15" customWidth="1" min="8" max="8"/>
    <col width="13" customWidth="1" min="9" max="9"/>
    <col width="30" customWidth="1" min="10" max="10"/>
    <col width="32" customWidth="1" min="11" max="11"/>
    <col width="49" customWidth="1" min="12" max="12"/>
    <col width="50" customWidth="1" min="13" max="13"/>
    <col width="32" customWidth="1" min="14" max="14"/>
    <col width="81" customWidth="1" min="15" max="15"/>
    <col width="42" customWidth="1" min="16" max="16"/>
    <col width="37" customWidth="1" min="17" max="17"/>
    <col width="22" customWidth="1" min="18" max="18"/>
    <col width="48" customWidth="1" min="19" max="19"/>
  </cols>
  <sheetData>
    <row r="1" ht="42" customHeight="1">
      <c r="A1" s="12" t="inlineStr">
        <is>
          <t>ID</t>
        </is>
      </c>
      <c r="B1" s="12" t="inlineStr">
        <is>
          <t>论文</t>
        </is>
      </c>
      <c r="C1" s="12" t="inlineStr">
        <is>
          <t>DOI</t>
        </is>
      </c>
      <c r="D1" s="12" t="inlineStr">
        <is>
          <t>催化剂</t>
        </is>
      </c>
      <c r="E1" s="12" t="inlineStr">
        <is>
          <t>实验点 (entry)</t>
        </is>
      </c>
      <c r="F1" s="12" t="inlineStr">
        <is>
          <t>检验字段</t>
        </is>
      </c>
      <c r="G1" s="12" t="inlineStr">
        <is>
          <t>抽取数值</t>
        </is>
      </c>
      <c r="H1" s="12" t="inlineStr">
        <is>
          <t>单位</t>
        </is>
      </c>
      <c r="I1" s="12" t="inlineStr">
        <is>
          <t>源CSV数值限定符</t>
        </is>
      </c>
      <c r="J1" s="12" t="inlineStr">
        <is>
          <t>原记录定位</t>
        </is>
      </c>
      <c r="K1" s="12" t="inlineStr">
        <is>
          <t>本轮状态</t>
        </is>
      </c>
      <c r="L1" s="12" t="inlineStr">
        <is>
          <t>论文原文实际表达（或不可得原因）</t>
        </is>
      </c>
      <c r="M1" s="12" t="inlineStr">
        <is>
          <t>原文定位（页/表/图）</t>
        </is>
      </c>
      <c r="N1" s="12" t="inlineStr">
        <is>
          <t>印刷数字审查</t>
        </is>
      </c>
      <c r="O1" s="12" t="inlineStr">
        <is>
          <t>可证实的具体差异与说明</t>
        </is>
      </c>
      <c r="P1" s="12" t="inlineStr">
        <is>
          <t>文献原文/附件URL</t>
        </is>
      </c>
      <c r="Q1" s="12" t="inlineStr">
        <is>
          <t>本轮判定建议（AI，非人工签字）</t>
        </is>
      </c>
      <c r="R1" s="12" t="inlineStr">
        <is>
          <t>置信度</t>
        </is>
      </c>
      <c r="S1" s="12" t="inlineStr">
        <is>
          <t>下一步所需原件</t>
        </is>
      </c>
    </row>
    <row r="2" ht="47" customHeight="1">
      <c r="A2" s="13" t="n">
        <v>1</v>
      </c>
      <c r="B2" s="13" t="inlineStr">
        <is>
          <t>Malik 2018</t>
        </is>
      </c>
      <c r="C2" s="13" t="inlineStr">
        <is>
          <t>10.1016/j.apcata.2018.04.036</t>
        </is>
      </c>
      <c r="D2" s="13" t="inlineStr">
        <is>
          <t>0.5Ca5P5ZC</t>
        </is>
      </c>
      <c r="E2" s="13" t="inlineStr">
        <is>
          <t>Fig 10a,b/text, 0.5Ca5P5ZC, 270 °C</t>
        </is>
      </c>
      <c r="F2" s="13" t="inlineStr">
        <is>
          <t>H2/CO2</t>
        </is>
      </c>
      <c r="G2" s="13" t="inlineStr">
        <is>
          <t>3</t>
        </is>
      </c>
      <c r="H2" s="13" t="inlineStr">
        <is>
          <t>mol/mol</t>
        </is>
      </c>
      <c r="I2" s="13" t="inlineStr"/>
      <c r="J2" s="13" t="inlineStr">
        <is>
          <t>Text Section 4 and Figure 10a,b</t>
        </is>
      </c>
      <c r="K2" s="14" t="inlineStr">
        <is>
          <t>05 未取得指定原始表行</t>
        </is>
      </c>
      <c r="L2" s="13" t="inlineStr">
        <is>
          <t>原主文 Table 6 / Fig10 需要完整原文</t>
        </is>
      </c>
      <c r="M2" s="13" t="inlineStr">
        <is>
          <t>Malik 2018 Table6 或 Fig10；下载清单另有 SI mmc1.docx（不等于主文Table6）</t>
        </is>
      </c>
      <c r="N2" s="13" t="inlineStr">
        <is>
          <t>U / 无指定表格数字</t>
        </is>
      </c>
      <c r="O2" s="13" t="inlineStr">
        <is>
          <t>需主文Table6清晰PDF/截图；DOI摘要不能逐行验证选择性或CO₂转化率。</t>
        </is>
      </c>
      <c r="P2" s="13" t="inlineStr">
        <is>
          <t>https://ars.els-cdn.com/content/image/1-s2.0-S0926860X18302084-mmc1.docx</t>
        </is>
      </c>
      <c r="Q2" s="13" t="inlineStr">
        <is>
          <t>留空：当前证据不足</t>
        </is>
      </c>
      <c r="R2" s="13" t="inlineStr">
        <is>
          <t>不可判定</t>
        </is>
      </c>
      <c r="S2" s="13" t="inlineStr">
        <is>
          <t>Malik 2018 主文 Table 6 高清PDF/截图</t>
        </is>
      </c>
    </row>
    <row r="3" ht="47" customHeight="1">
      <c r="A3" s="15" t="n">
        <v>2</v>
      </c>
      <c r="B3" s="15" t="inlineStr">
        <is>
          <t>Malik 2018</t>
        </is>
      </c>
      <c r="C3" s="15" t="inlineStr">
        <is>
          <t>10.1016/j.apcata.2018.04.036</t>
        </is>
      </c>
      <c r="D3" s="15" t="inlineStr">
        <is>
          <t>5P5ZC</t>
        </is>
      </c>
      <c r="E3" s="15" t="inlineStr">
        <is>
          <t>Table 6, 5P5ZC, 220 °C</t>
        </is>
      </c>
      <c r="F3" s="15" t="inlineStr">
        <is>
          <t>CO selectivity</t>
        </is>
      </c>
      <c r="G3" s="15" t="inlineStr">
        <is>
          <t>0</t>
        </is>
      </c>
      <c r="H3" s="15" t="inlineStr">
        <is>
          <t>%</t>
        </is>
      </c>
      <c r="I3" s="15" t="inlineStr">
        <is>
          <t>=</t>
        </is>
      </c>
      <c r="J3" s="15" t="inlineStr">
        <is>
          <t>Table 6</t>
        </is>
      </c>
      <c r="K3" s="14" t="inlineStr">
        <is>
          <t>05 未取得指定原始表行</t>
        </is>
      </c>
      <c r="L3" s="15" t="inlineStr">
        <is>
          <t>原主文 Table 6 / Fig10 需要完整原文</t>
        </is>
      </c>
      <c r="M3" s="15" t="inlineStr">
        <is>
          <t>Malik 2018 Table6 或 Fig10；下载清单另有 SI mmc1.docx（不等于主文Table6）</t>
        </is>
      </c>
      <c r="N3" s="15" t="inlineStr">
        <is>
          <t>U / 无指定表格数字</t>
        </is>
      </c>
      <c r="O3" s="15" t="inlineStr">
        <is>
          <t>需主文Table6清晰PDF/截图；DOI摘要不能逐行验证选择性或CO₂转化率。</t>
        </is>
      </c>
      <c r="P3" s="15" t="inlineStr">
        <is>
          <t>https://ars.els-cdn.com/content/image/1-s2.0-S0926860X18302084-mmc1.docx</t>
        </is>
      </c>
      <c r="Q3" s="15" t="inlineStr">
        <is>
          <t>留空：当前证据不足</t>
        </is>
      </c>
      <c r="R3" s="15" t="inlineStr">
        <is>
          <t>不可判定</t>
        </is>
      </c>
      <c r="S3" s="15" t="inlineStr">
        <is>
          <t>Malik 2018 主文 Table 6 高清PDF/截图</t>
        </is>
      </c>
    </row>
    <row r="4" ht="47" customHeight="1">
      <c r="A4" s="13" t="n">
        <v>3</v>
      </c>
      <c r="B4" s="13" t="inlineStr">
        <is>
          <t>Malik 2018</t>
        </is>
      </c>
      <c r="C4" s="13" t="inlineStr">
        <is>
          <t>10.1016/j.apcata.2018.04.036</t>
        </is>
      </c>
      <c r="D4" s="13" t="inlineStr">
        <is>
          <t>5P5ZC</t>
        </is>
      </c>
      <c r="E4" s="13" t="inlineStr">
        <is>
          <t>Table 6, 5P5ZC, 220 °C</t>
        </is>
      </c>
      <c r="F4" s="13" t="inlineStr">
        <is>
          <t>pressure</t>
        </is>
      </c>
      <c r="G4" s="13" t="inlineStr">
        <is>
          <t>30</t>
        </is>
      </c>
      <c r="H4" s="13" t="inlineStr">
        <is>
          <t>bar</t>
        </is>
      </c>
      <c r="I4" s="13" t="inlineStr"/>
      <c r="J4" s="13" t="inlineStr">
        <is>
          <t>Table 6</t>
        </is>
      </c>
      <c r="K4" s="16" t="inlineStr">
        <is>
          <t>04 仅条件或二手佐证</t>
        </is>
      </c>
      <c r="L4" s="13" t="inlineStr">
        <is>
          <t>30 bar</t>
        </is>
      </c>
      <c r="M4" s="13" t="inlineStr">
        <is>
          <t>出版社原始摘要描述Ca-doped PdZn/CeO₂测试30bar；未取得Table6完整行</t>
        </is>
      </c>
      <c r="N4" s="13" t="inlineStr">
        <is>
          <t>C / 文献背景条件</t>
        </is>
      </c>
      <c r="O4" s="13" t="inlineStr">
        <is>
          <t>不能依据原始摘要就证明5P5ZC 220°C具体行的表格压力；补主文Table6。</t>
        </is>
      </c>
      <c r="P4" s="13" t="inlineStr">
        <is>
          <t>https://doi.org/10.1016/j.apcata.2018.04.036</t>
        </is>
      </c>
      <c r="Q4" s="13" t="inlineStr">
        <is>
          <t>留空：当前证据不足</t>
        </is>
      </c>
      <c r="R4" s="13" t="inlineStr">
        <is>
          <t>中</t>
        </is>
      </c>
      <c r="S4" s="13" t="inlineStr">
        <is>
          <t>Malik 2018 主文 Table 6 高清PDF/截图</t>
        </is>
      </c>
    </row>
    <row r="5" ht="47" customHeight="1">
      <c r="A5" s="15" t="n">
        <v>4</v>
      </c>
      <c r="B5" s="15" t="inlineStr">
        <is>
          <t>Malik 2018</t>
        </is>
      </c>
      <c r="C5" s="15" t="inlineStr">
        <is>
          <t>10.1016/j.apcata.2018.04.036</t>
        </is>
      </c>
      <c r="D5" s="15" t="inlineStr">
        <is>
          <t>5PC</t>
        </is>
      </c>
      <c r="E5" s="15" t="inlineStr">
        <is>
          <t>Table 6, 5PC, 220 °C</t>
        </is>
      </c>
      <c r="F5" s="15" t="inlineStr">
        <is>
          <t>CH3OH selectivity</t>
        </is>
      </c>
      <c r="G5" s="15" t="inlineStr">
        <is>
          <t>70.1</t>
        </is>
      </c>
      <c r="H5" s="15" t="inlineStr">
        <is>
          <t>%</t>
        </is>
      </c>
      <c r="I5" s="15" t="inlineStr">
        <is>
          <t>=</t>
        </is>
      </c>
      <c r="J5" s="15" t="inlineStr">
        <is>
          <t>Table 6</t>
        </is>
      </c>
      <c r="K5" s="14" t="inlineStr">
        <is>
          <t>05 未取得指定原始表行</t>
        </is>
      </c>
      <c r="L5" s="15" t="inlineStr">
        <is>
          <t>原主文 Table 6 / Fig10 需要完整原文</t>
        </is>
      </c>
      <c r="M5" s="15" t="inlineStr">
        <is>
          <t>Malik 2018 Table6 或 Fig10；下载清单另有 SI mmc1.docx（不等于主文Table6）</t>
        </is>
      </c>
      <c r="N5" s="15" t="inlineStr">
        <is>
          <t>U / 无指定表格数字</t>
        </is>
      </c>
      <c r="O5" s="15" t="inlineStr">
        <is>
          <t>需主文Table6清晰PDF/截图；DOI摘要不能逐行验证选择性或CO₂转化率。</t>
        </is>
      </c>
      <c r="P5" s="15" t="inlineStr">
        <is>
          <t>https://ars.els-cdn.com/content/image/1-s2.0-S0926860X18302084-mmc1.docx</t>
        </is>
      </c>
      <c r="Q5" s="15" t="inlineStr">
        <is>
          <t>留空：当前证据不足</t>
        </is>
      </c>
      <c r="R5" s="15" t="inlineStr">
        <is>
          <t>不可判定</t>
        </is>
      </c>
      <c r="S5" s="15" t="inlineStr">
        <is>
          <t>Malik 2018 主文 Table 6 高清PDF/截图</t>
        </is>
      </c>
    </row>
    <row r="6" ht="47" customHeight="1">
      <c r="A6" s="13" t="n">
        <v>5</v>
      </c>
      <c r="B6" s="13" t="inlineStr">
        <is>
          <t>Malik 2018</t>
        </is>
      </c>
      <c r="C6" s="13" t="inlineStr">
        <is>
          <t>10.1016/j.apcata.2018.04.036</t>
        </is>
      </c>
      <c r="D6" s="13" t="inlineStr">
        <is>
          <t>0.5Ca5P5ZC</t>
        </is>
      </c>
      <c r="E6" s="13" t="inlineStr">
        <is>
          <t>Table 6, 0.5Ca5P5ZC, 220 °C</t>
        </is>
      </c>
      <c r="F6" s="13" t="inlineStr">
        <is>
          <t>CH4 selectivity</t>
        </is>
      </c>
      <c r="G6" s="13" t="inlineStr">
        <is>
          <t>0</t>
        </is>
      </c>
      <c r="H6" s="13" t="inlineStr">
        <is>
          <t>%</t>
        </is>
      </c>
      <c r="I6" s="13" t="inlineStr">
        <is>
          <t>=</t>
        </is>
      </c>
      <c r="J6" s="13" t="inlineStr">
        <is>
          <t>Table 6</t>
        </is>
      </c>
      <c r="K6" s="14" t="inlineStr">
        <is>
          <t>05 未取得指定原始表行</t>
        </is>
      </c>
      <c r="L6" s="13" t="inlineStr">
        <is>
          <t>原主文 Table 6 / Fig10 需要完整原文</t>
        </is>
      </c>
      <c r="M6" s="13" t="inlineStr">
        <is>
          <t>Malik 2018 Table6 或 Fig10；下载清单另有 SI mmc1.docx（不等于主文Table6）</t>
        </is>
      </c>
      <c r="N6" s="13" t="inlineStr">
        <is>
          <t>U / 无指定表格数字</t>
        </is>
      </c>
      <c r="O6" s="13" t="inlineStr">
        <is>
          <t>需主文Table6清晰PDF/截图；DOI摘要不能逐行验证选择性或CO₂转化率。</t>
        </is>
      </c>
      <c r="P6" s="13" t="inlineStr">
        <is>
          <t>https://ars.els-cdn.com/content/image/1-s2.0-S0926860X18302084-mmc1.docx</t>
        </is>
      </c>
      <c r="Q6" s="13" t="inlineStr">
        <is>
          <t>留空：当前证据不足</t>
        </is>
      </c>
      <c r="R6" s="13" t="inlineStr">
        <is>
          <t>不可判定</t>
        </is>
      </c>
      <c r="S6" s="13" t="inlineStr">
        <is>
          <t>Malik 2018 主文 Table 6 高清PDF/截图</t>
        </is>
      </c>
    </row>
    <row r="7" ht="47" customHeight="1">
      <c r="A7" s="15" t="n">
        <v>6</v>
      </c>
      <c r="B7" s="15" t="inlineStr">
        <is>
          <t>Malik 2018</t>
        </is>
      </c>
      <c r="C7" s="15" t="inlineStr">
        <is>
          <t>10.1016/j.apcata.2018.04.036</t>
        </is>
      </c>
      <c r="D7" s="15" t="inlineStr">
        <is>
          <t>5PC</t>
        </is>
      </c>
      <c r="E7" s="15" t="inlineStr">
        <is>
          <t>Table 6, 5PC, 220 °C</t>
        </is>
      </c>
      <c r="F7" s="15" t="inlineStr">
        <is>
          <t>H2/CO2</t>
        </is>
      </c>
      <c r="G7" s="15" t="inlineStr">
        <is>
          <t>3</t>
        </is>
      </c>
      <c r="H7" s="15" t="inlineStr">
        <is>
          <t>mol/mol</t>
        </is>
      </c>
      <c r="I7" s="15" t="inlineStr"/>
      <c r="J7" s="15" t="inlineStr">
        <is>
          <t>Table 6</t>
        </is>
      </c>
      <c r="K7" s="14" t="inlineStr">
        <is>
          <t>05 未取得指定原始表行</t>
        </is>
      </c>
      <c r="L7" s="15" t="inlineStr">
        <is>
          <t>原主文 Table 6 / Fig10 需要完整原文</t>
        </is>
      </c>
      <c r="M7" s="15" t="inlineStr">
        <is>
          <t>Malik 2018 Table6 或 Fig10；下载清单另有 SI mmc1.docx（不等于主文Table6）</t>
        </is>
      </c>
      <c r="N7" s="15" t="inlineStr">
        <is>
          <t>U / 无指定表格数字</t>
        </is>
      </c>
      <c r="O7" s="15" t="inlineStr">
        <is>
          <t>需主文Table6清晰PDF/截图；DOI摘要不能逐行验证选择性或CO₂转化率。</t>
        </is>
      </c>
      <c r="P7" s="15" t="inlineStr">
        <is>
          <t>https://ars.els-cdn.com/content/image/1-s2.0-S0926860X18302084-mmc1.docx</t>
        </is>
      </c>
      <c r="Q7" s="15" t="inlineStr">
        <is>
          <t>留空：当前证据不足</t>
        </is>
      </c>
      <c r="R7" s="15" t="inlineStr">
        <is>
          <t>不可判定</t>
        </is>
      </c>
      <c r="S7" s="15" t="inlineStr">
        <is>
          <t>Malik 2018 主文 Table 6 高清PDF/截图</t>
        </is>
      </c>
    </row>
    <row r="8" ht="47" customHeight="1">
      <c r="A8" s="13" t="n">
        <v>7</v>
      </c>
      <c r="B8" s="13" t="inlineStr">
        <is>
          <t>Malik 2018</t>
        </is>
      </c>
      <c r="C8" s="13" t="inlineStr">
        <is>
          <t>10.1016/j.apcata.2018.04.036</t>
        </is>
      </c>
      <c r="D8" s="13" t="inlineStr">
        <is>
          <t>5PC</t>
        </is>
      </c>
      <c r="E8" s="13" t="inlineStr">
        <is>
          <t>Table 6, 5PC, 220 °C</t>
        </is>
      </c>
      <c r="F8" s="13" t="inlineStr">
        <is>
          <t>CH4 selectivity</t>
        </is>
      </c>
      <c r="G8" s="13" t="inlineStr">
        <is>
          <t>2.3</t>
        </is>
      </c>
      <c r="H8" s="13" t="inlineStr">
        <is>
          <t>%</t>
        </is>
      </c>
      <c r="I8" s="13" t="inlineStr">
        <is>
          <t>=</t>
        </is>
      </c>
      <c r="J8" s="13" t="inlineStr">
        <is>
          <t>Table 6</t>
        </is>
      </c>
      <c r="K8" s="14" t="inlineStr">
        <is>
          <t>05 未取得指定原始表行</t>
        </is>
      </c>
      <c r="L8" s="13" t="inlineStr">
        <is>
          <t>原主文 Table 6 / Fig10 需要完整原文</t>
        </is>
      </c>
      <c r="M8" s="13" t="inlineStr">
        <is>
          <t>Malik 2018 Table6 或 Fig10；下载清单另有 SI mmc1.docx（不等于主文Table6）</t>
        </is>
      </c>
      <c r="N8" s="13" t="inlineStr">
        <is>
          <t>U / 无指定表格数字</t>
        </is>
      </c>
      <c r="O8" s="13" t="inlineStr">
        <is>
          <t>需主文Table6清晰PDF/截图；DOI摘要不能逐行验证选择性或CO₂转化率。</t>
        </is>
      </c>
      <c r="P8" s="13" t="inlineStr">
        <is>
          <t>https://ars.els-cdn.com/content/image/1-s2.0-S0926860X18302084-mmc1.docx</t>
        </is>
      </c>
      <c r="Q8" s="13" t="inlineStr">
        <is>
          <t>留空：当前证据不足</t>
        </is>
      </c>
      <c r="R8" s="13" t="inlineStr">
        <is>
          <t>不可判定</t>
        </is>
      </c>
      <c r="S8" s="13" t="inlineStr">
        <is>
          <t>Malik 2018 主文 Table 6 高清PDF/截图</t>
        </is>
      </c>
    </row>
    <row r="9" ht="47" customHeight="1">
      <c r="A9" s="15" t="n">
        <v>8</v>
      </c>
      <c r="B9" s="15" t="inlineStr">
        <is>
          <t>Malik 2018</t>
        </is>
      </c>
      <c r="C9" s="15" t="inlineStr">
        <is>
          <t>10.1016/j.apcata.2018.04.036</t>
        </is>
      </c>
      <c r="D9" s="15" t="inlineStr">
        <is>
          <t>5PC</t>
        </is>
      </c>
      <c r="E9" s="15" t="inlineStr">
        <is>
          <t>Table 6, 5PC, 220 °C</t>
        </is>
      </c>
      <c r="F9" s="15" t="inlineStr">
        <is>
          <t>CO2 conversion</t>
        </is>
      </c>
      <c r="G9" s="15" t="inlineStr">
        <is>
          <t>1.7</t>
        </is>
      </c>
      <c r="H9" s="15" t="inlineStr">
        <is>
          <t>%</t>
        </is>
      </c>
      <c r="I9" s="15" t="inlineStr">
        <is>
          <t>=</t>
        </is>
      </c>
      <c r="J9" s="15" t="inlineStr">
        <is>
          <t>Table 6</t>
        </is>
      </c>
      <c r="K9" s="14" t="inlineStr">
        <is>
          <t>05 未取得指定原始表行</t>
        </is>
      </c>
      <c r="L9" s="15" t="inlineStr">
        <is>
          <t>原主文 Table 6 / Fig10 需要完整原文</t>
        </is>
      </c>
      <c r="M9" s="15" t="inlineStr">
        <is>
          <t>Malik 2018 Table6 或 Fig10；下载清单另有 SI mmc1.docx（不等于主文Table6）</t>
        </is>
      </c>
      <c r="N9" s="15" t="inlineStr">
        <is>
          <t>U / 无指定表格数字</t>
        </is>
      </c>
      <c r="O9" s="15" t="inlineStr">
        <is>
          <t>需主文Table6清晰PDF/截图；DOI摘要不能逐行验证选择性或CO₂转化率。</t>
        </is>
      </c>
      <c r="P9" s="15" t="inlineStr">
        <is>
          <t>https://ars.els-cdn.com/content/image/1-s2.0-S0926860X18302084-mmc1.docx</t>
        </is>
      </c>
      <c r="Q9" s="15" t="inlineStr">
        <is>
          <t>留空：当前证据不足</t>
        </is>
      </c>
      <c r="R9" s="15" t="inlineStr">
        <is>
          <t>不可判定</t>
        </is>
      </c>
      <c r="S9" s="15" t="inlineStr">
        <is>
          <t>Malik 2018 主文 Table 6 高清PDF/截图</t>
        </is>
      </c>
    </row>
    <row r="10" ht="47" customHeight="1">
      <c r="A10" s="13" t="n">
        <v>9</v>
      </c>
      <c r="B10" s="13" t="inlineStr">
        <is>
          <t>Malik 2018</t>
        </is>
      </c>
      <c r="C10" s="13" t="inlineStr">
        <is>
          <t>10.1016/j.apcata.2018.04.036</t>
        </is>
      </c>
      <c r="D10" s="13" t="inlineStr">
        <is>
          <t>5P5ZC</t>
        </is>
      </c>
      <c r="E10" s="13" t="inlineStr">
        <is>
          <t>Table 6, 5P5ZC, 220 °C</t>
        </is>
      </c>
      <c r="F10" s="13" t="inlineStr">
        <is>
          <t>H2/CO2</t>
        </is>
      </c>
      <c r="G10" s="13" t="inlineStr">
        <is>
          <t>3</t>
        </is>
      </c>
      <c r="H10" s="13" t="inlineStr">
        <is>
          <t>mol/mol</t>
        </is>
      </c>
      <c r="I10" s="13" t="inlineStr"/>
      <c r="J10" s="13" t="inlineStr">
        <is>
          <t>Table 6</t>
        </is>
      </c>
      <c r="K10" s="14" t="inlineStr">
        <is>
          <t>05 未取得指定原始表行</t>
        </is>
      </c>
      <c r="L10" s="13" t="inlineStr">
        <is>
          <t>原主文 Table 6 / Fig10 需要完整原文</t>
        </is>
      </c>
      <c r="M10" s="13" t="inlineStr">
        <is>
          <t>Malik 2018 Table6 或 Fig10；下载清单另有 SI mmc1.docx（不等于主文Table6）</t>
        </is>
      </c>
      <c r="N10" s="13" t="inlineStr">
        <is>
          <t>U / 无指定表格数字</t>
        </is>
      </c>
      <c r="O10" s="13" t="inlineStr">
        <is>
          <t>需主文Table6清晰PDF/截图；DOI摘要不能逐行验证选择性或CO₂转化率。</t>
        </is>
      </c>
      <c r="P10" s="13" t="inlineStr">
        <is>
          <t>https://ars.els-cdn.com/content/image/1-s2.0-S0926860X18302084-mmc1.docx</t>
        </is>
      </c>
      <c r="Q10" s="13" t="inlineStr">
        <is>
          <t>留空：当前证据不足</t>
        </is>
      </c>
      <c r="R10" s="13" t="inlineStr">
        <is>
          <t>不可判定</t>
        </is>
      </c>
      <c r="S10" s="13" t="inlineStr">
        <is>
          <t>Malik 2018 主文 Table 6 高清PDF/截图</t>
        </is>
      </c>
    </row>
    <row r="11" ht="47" customHeight="1">
      <c r="A11" s="15" t="n">
        <v>10</v>
      </c>
      <c r="B11" s="15" t="inlineStr">
        <is>
          <t>Malik 2018</t>
        </is>
      </c>
      <c r="C11" s="15" t="inlineStr">
        <is>
          <t>10.1016/j.apcata.2018.04.036</t>
        </is>
      </c>
      <c r="D11" s="15" t="inlineStr">
        <is>
          <t>0.5Ca5P5ZC</t>
        </is>
      </c>
      <c r="E11" s="15" t="inlineStr">
        <is>
          <t>Table 6, 0.5Ca5P5ZC, 220 °C</t>
        </is>
      </c>
      <c r="F11" s="15" t="inlineStr">
        <is>
          <t>CO selectivity</t>
        </is>
      </c>
      <c r="G11" s="15" t="inlineStr">
        <is>
          <t>0</t>
        </is>
      </c>
      <c r="H11" s="15" t="inlineStr">
        <is>
          <t>%</t>
        </is>
      </c>
      <c r="I11" s="15" t="inlineStr">
        <is>
          <t>=</t>
        </is>
      </c>
      <c r="J11" s="15" t="inlineStr">
        <is>
          <t>Table 6</t>
        </is>
      </c>
      <c r="K11" s="14" t="inlineStr">
        <is>
          <t>05 未取得指定原始表行</t>
        </is>
      </c>
      <c r="L11" s="15" t="inlineStr">
        <is>
          <t>原主文 Table 6 / Fig10 需要完整原文</t>
        </is>
      </c>
      <c r="M11" s="15" t="inlineStr">
        <is>
          <t>Malik 2018 Table6 或 Fig10；下载清单另有 SI mmc1.docx（不等于主文Table6）</t>
        </is>
      </c>
      <c r="N11" s="15" t="inlineStr">
        <is>
          <t>U / 无指定表格数字</t>
        </is>
      </c>
      <c r="O11" s="15" t="inlineStr">
        <is>
          <t>需主文Table6清晰PDF/截图；DOI摘要不能逐行验证选择性或CO₂转化率。</t>
        </is>
      </c>
      <c r="P11" s="15" t="inlineStr">
        <is>
          <t>https://ars.els-cdn.com/content/image/1-s2.0-S0926860X18302084-mmc1.docx</t>
        </is>
      </c>
      <c r="Q11" s="15" t="inlineStr">
        <is>
          <t>留空：当前证据不足</t>
        </is>
      </c>
      <c r="R11" s="15" t="inlineStr">
        <is>
          <t>不可判定</t>
        </is>
      </c>
      <c r="S11" s="15" t="inlineStr">
        <is>
          <t>Malik 2018 主文 Table 6 高清PDF/截图</t>
        </is>
      </c>
    </row>
    <row r="12" ht="47" customHeight="1">
      <c r="A12" s="13" t="n">
        <v>11</v>
      </c>
      <c r="B12" s="13" t="inlineStr">
        <is>
          <t>Meng 2021</t>
        </is>
      </c>
      <c r="C12" s="13" t="inlineStr">
        <is>
          <t>10.1126/sciadv.abi6012</t>
        </is>
      </c>
      <c r="D12" s="13" t="inlineStr">
        <is>
          <t>a-ZrO2</t>
        </is>
      </c>
      <c r="E12" s="13" t="inlineStr">
        <is>
          <t>SI Table S2 row a-ZrO2</t>
        </is>
      </c>
      <c r="F12" s="13" t="inlineStr">
        <is>
          <t>CO selectivity</t>
        </is>
      </c>
      <c r="G12" s="13" t="inlineStr">
        <is>
          <t>26.8</t>
        </is>
      </c>
      <c r="H12" s="13" t="inlineStr">
        <is>
          <t>%</t>
        </is>
      </c>
      <c r="I12" s="13" t="inlineStr">
        <is>
          <t>=</t>
        </is>
      </c>
      <c r="J12" s="13" t="inlineStr">
        <is>
          <t>SI Table S2</t>
        </is>
      </c>
      <c r="K12" s="14" t="inlineStr">
        <is>
          <t>05 未取得指定原始表行</t>
        </is>
      </c>
      <c r="L12" s="13" t="inlineStr">
        <is>
          <t>SI Table S2 未取得</t>
        </is>
      </c>
      <c r="M12" s="13" t="inlineStr">
        <is>
          <t>2021 Science Advances 主文没有给该催化剂的具体数值；需SI Table S2</t>
        </is>
      </c>
      <c r="N12" s="13" t="inlineStr">
        <is>
          <t>U / SI原文缺失</t>
        </is>
      </c>
      <c r="O12" s="13" t="inlineStr">
        <is>
          <t>不能用主文柱状图或抽取记录倒证Table S2中的精确数字。</t>
        </is>
      </c>
      <c r="P12" s="13" t="inlineStr">
        <is>
          <t>https://doi.org/10.1126/sciadv.abi6012</t>
        </is>
      </c>
      <c r="Q12" s="13" t="inlineStr">
        <is>
          <t>留空：当前证据不足</t>
        </is>
      </c>
      <c r="R12" s="13" t="inlineStr">
        <is>
          <t>不可判定</t>
        </is>
      </c>
      <c r="S12" s="13" t="inlineStr">
        <is>
          <t>Meng 2021 sciadv.abi6012_sm.pdf (SI S2/S7)</t>
        </is>
      </c>
    </row>
    <row r="13" ht="47" customHeight="1">
      <c r="A13" s="15" t="n">
        <v>12</v>
      </c>
      <c r="B13" s="15" t="inlineStr">
        <is>
          <t>Meng 2021</t>
        </is>
      </c>
      <c r="C13" s="15" t="inlineStr">
        <is>
          <t>10.1126/sciadv.abi6012</t>
        </is>
      </c>
      <c r="D13" s="15" t="inlineStr">
        <is>
          <t>InNi3C0.5/t-ZrO2</t>
        </is>
      </c>
      <c r="E13" s="15" t="inlineStr">
        <is>
          <t>Fig. 2B, InNi3C0.5/t-ZrO2, 24000 ml gcat-1 hour-1</t>
        </is>
      </c>
      <c r="F13" s="15" t="inlineStr">
        <is>
          <t>STY (printed)</t>
        </is>
      </c>
      <c r="G13" s="15" t="inlineStr">
        <is>
          <t>0.3 gMeOH gcat−1 hour−1</t>
        </is>
      </c>
      <c r="H13" s="15" t="inlineStr">
        <is>
          <t>as printed</t>
        </is>
      </c>
      <c r="I13" s="15" t="inlineStr">
        <is>
          <t>=</t>
        </is>
      </c>
      <c r="J13" s="15" t="inlineStr">
        <is>
          <t>Fig. 2B and Results text</t>
        </is>
      </c>
      <c r="K13" s="17" t="inlineStr">
        <is>
          <t>01 数值相符 / 引文修订</t>
        </is>
      </c>
      <c r="L13" s="15" t="inlineStr">
        <is>
          <t>0.30 gMeOH gcat⁻¹ h⁻¹；Fig2B caption: GHSV 24,000 mL gcat⁻¹ h⁻¹</t>
        </is>
      </c>
      <c r="M13" s="15" t="inlineStr">
        <is>
          <t>原文 PDF p2 正文；p3 Fig2B图注</t>
        </is>
      </c>
      <c r="N13" s="15" t="inlineStr">
        <is>
          <t>Y / 正文明确数字</t>
        </is>
      </c>
      <c r="O13" s="15" t="inlineStr">
        <is>
          <t>0.30来自正文印刷数字；流量另在图注印刷，不需读图。</t>
        </is>
      </c>
      <c r="P13" s="15" t="inlineStr">
        <is>
          <t>https://doi.org/10.1126/sciadv.abi6012</t>
        </is>
      </c>
      <c r="Q13" s="15" t="inlineStr">
        <is>
          <t>建议 correct（须人工确认源页）</t>
        </is>
      </c>
      <c r="R13" s="15" t="inlineStr">
        <is>
          <t>高</t>
        </is>
      </c>
      <c r="S13" s="15" t="inlineStr">
        <is>
          <t>仅需独立作者确认</t>
        </is>
      </c>
    </row>
    <row r="14" ht="47" customHeight="1">
      <c r="A14" s="13" t="n">
        <v>13</v>
      </c>
      <c r="B14" s="13" t="inlineStr">
        <is>
          <t>Meng 2021</t>
        </is>
      </c>
      <c r="C14" s="13" t="inlineStr">
        <is>
          <t>10.1126/sciadv.abi6012</t>
        </is>
      </c>
      <c r="D14" s="13" t="inlineStr">
        <is>
          <t>SiO2</t>
        </is>
      </c>
      <c r="E14" s="13" t="inlineStr">
        <is>
          <t>SI Table S2 row SiO2</t>
        </is>
      </c>
      <c r="F14" s="13" t="inlineStr">
        <is>
          <t>H2/CO2</t>
        </is>
      </c>
      <c r="G14" s="13" t="inlineStr">
        <is>
          <t>3</t>
        </is>
      </c>
      <c r="H14" s="13" t="inlineStr">
        <is>
          <t>mol/mol</t>
        </is>
      </c>
      <c r="I14" s="13" t="inlineStr"/>
      <c r="J14" s="13" t="inlineStr">
        <is>
          <t>SI Table S2</t>
        </is>
      </c>
      <c r="K14" s="16" t="inlineStr">
        <is>
          <t>04 仅条件或二手佐证</t>
        </is>
      </c>
      <c r="L14" s="13" t="inlineStr">
        <is>
          <t>3:1</t>
        </is>
      </c>
      <c r="M14" s="13" t="inlineStr">
        <is>
          <t>原文 PDF p3 Fig2A图注，涉及所述载体的比较条件</t>
        </is>
      </c>
      <c r="N14" s="13" t="inlineStr">
        <is>
          <t>C / 图注共享条件，非SI指定行</t>
        </is>
      </c>
      <c r="O14" s="13" t="inlineStr">
        <is>
          <t>主文图注可以佐证通用条件，但无法代替未取得的SI Table S2中特定载体行。</t>
        </is>
      </c>
      <c r="P14" s="13" t="inlineStr">
        <is>
          <t>https://doi.org/10.1126/sciadv.abi6012</t>
        </is>
      </c>
      <c r="Q14" s="13" t="inlineStr">
        <is>
          <t>留空：当前证据不足</t>
        </is>
      </c>
      <c r="R14" s="13" t="inlineStr">
        <is>
          <t>中</t>
        </is>
      </c>
      <c r="S14" s="13" t="inlineStr">
        <is>
          <t>Meng 2021 sciadv.abi6012_sm.pdf (SI S2/S7)</t>
        </is>
      </c>
    </row>
    <row r="15" ht="47" customHeight="1">
      <c r="A15" s="15" t="n">
        <v>14</v>
      </c>
      <c r="B15" s="15" t="inlineStr">
        <is>
          <t>Meng 2021</t>
        </is>
      </c>
      <c r="C15" s="15" t="inlineStr">
        <is>
          <t>10.1126/sciadv.abi6012</t>
        </is>
      </c>
      <c r="D15" s="15" t="inlineStr">
        <is>
          <t>InNi3C0.5/ZnO</t>
        </is>
      </c>
      <c r="E15" s="15" t="inlineStr">
        <is>
          <t>SI Table S2 row InNi3C0.5/ZnO</t>
        </is>
      </c>
      <c r="F15" s="15" t="inlineStr">
        <is>
          <t>CO2 conversion</t>
        </is>
      </c>
      <c r="G15" s="15" t="inlineStr">
        <is>
          <t>7.8</t>
        </is>
      </c>
      <c r="H15" s="15" t="inlineStr">
        <is>
          <t>%</t>
        </is>
      </c>
      <c r="I15" s="15" t="inlineStr">
        <is>
          <t>=</t>
        </is>
      </c>
      <c r="J15" s="15" t="inlineStr">
        <is>
          <t>SI Table S2</t>
        </is>
      </c>
      <c r="K15" s="14" t="inlineStr">
        <is>
          <t>05 未取得指定原始表行</t>
        </is>
      </c>
      <c r="L15" s="15" t="inlineStr">
        <is>
          <t>SI Table S2 未取得</t>
        </is>
      </c>
      <c r="M15" s="15" t="inlineStr">
        <is>
          <t>2021 Science Advances 主文没有给该催化剂的具体数值；需SI Table S2</t>
        </is>
      </c>
      <c r="N15" s="15" t="inlineStr">
        <is>
          <t>U / SI原文缺失</t>
        </is>
      </c>
      <c r="O15" s="15" t="inlineStr">
        <is>
          <t>不能用主文柱状图或抽取记录倒证Table S2中的精确数字。</t>
        </is>
      </c>
      <c r="P15" s="15" t="inlineStr">
        <is>
          <t>https://doi.org/10.1126/sciadv.abi6012</t>
        </is>
      </c>
      <c r="Q15" s="15" t="inlineStr">
        <is>
          <t>留空：当前证据不足</t>
        </is>
      </c>
      <c r="R15" s="15" t="inlineStr">
        <is>
          <t>不可判定</t>
        </is>
      </c>
      <c r="S15" s="15" t="inlineStr">
        <is>
          <t>Meng 2021 sciadv.abi6012_sm.pdf (SI S2/S7)</t>
        </is>
      </c>
    </row>
    <row r="16" ht="47" customHeight="1">
      <c r="A16" s="13" t="n">
        <v>15</v>
      </c>
      <c r="B16" s="13" t="inlineStr">
        <is>
          <t>Meng 2021</t>
        </is>
      </c>
      <c r="C16" s="13" t="inlineStr">
        <is>
          <t>10.1126/sciadv.abi6012</t>
        </is>
      </c>
      <c r="D16" s="13" t="inlineStr">
        <is>
          <t>InNi3C0.5/TiO2</t>
        </is>
      </c>
      <c r="E16" s="13" t="inlineStr">
        <is>
          <t>SI Table S2 row InNi3C0.5/TiO2</t>
        </is>
      </c>
      <c r="F16" s="13" t="inlineStr">
        <is>
          <t>CH3OH selectivity</t>
        </is>
      </c>
      <c r="G16" s="13" t="inlineStr">
        <is>
          <t>66.3</t>
        </is>
      </c>
      <c r="H16" s="13" t="inlineStr">
        <is>
          <t>%</t>
        </is>
      </c>
      <c r="I16" s="13" t="inlineStr">
        <is>
          <t>=</t>
        </is>
      </c>
      <c r="J16" s="13" t="inlineStr">
        <is>
          <t>SI Table S2</t>
        </is>
      </c>
      <c r="K16" s="14" t="inlineStr">
        <is>
          <t>05 未取得指定原始表行</t>
        </is>
      </c>
      <c r="L16" s="13" t="inlineStr">
        <is>
          <t>SI Table S2 未取得</t>
        </is>
      </c>
      <c r="M16" s="13" t="inlineStr">
        <is>
          <t>2021 Science Advances 主文没有给该催化剂的具体数值；需SI Table S2</t>
        </is>
      </c>
      <c r="N16" s="13" t="inlineStr">
        <is>
          <t>U / SI原文缺失</t>
        </is>
      </c>
      <c r="O16" s="13" t="inlineStr">
        <is>
          <t>不能用主文柱状图或抽取记录倒证Table S2中的精确数字。</t>
        </is>
      </c>
      <c r="P16" s="13" t="inlineStr">
        <is>
          <t>https://doi.org/10.1126/sciadv.abi6012</t>
        </is>
      </c>
      <c r="Q16" s="13" t="inlineStr">
        <is>
          <t>留空：当前证据不足</t>
        </is>
      </c>
      <c r="R16" s="13" t="inlineStr">
        <is>
          <t>不可判定</t>
        </is>
      </c>
      <c r="S16" s="13" t="inlineStr">
        <is>
          <t>Meng 2021 sciadv.abi6012_sm.pdf (SI S2/S7)</t>
        </is>
      </c>
    </row>
    <row r="17" ht="47" customHeight="1">
      <c r="A17" s="15" t="n">
        <v>16</v>
      </c>
      <c r="B17" s="15" t="inlineStr">
        <is>
          <t>Meng 2021</t>
        </is>
      </c>
      <c r="C17" s="15" t="inlineStr">
        <is>
          <t>10.1126/sciadv.abi6012</t>
        </is>
      </c>
      <c r="D17" s="15" t="inlineStr">
        <is>
          <t>m-ZrO2</t>
        </is>
      </c>
      <c r="E17" s="15" t="inlineStr">
        <is>
          <t>SI Table S2 row m-ZrO2</t>
        </is>
      </c>
      <c r="F17" s="15" t="inlineStr">
        <is>
          <t>space velocity</t>
        </is>
      </c>
      <c r="G17" s="15" t="inlineStr">
        <is>
          <t>12000 mL gcat−1 h−1</t>
        </is>
      </c>
      <c r="H17" s="15" t="inlineStr">
        <is>
          <t>as printed</t>
        </is>
      </c>
      <c r="I17" s="15" t="inlineStr"/>
      <c r="J17" s="15" t="inlineStr">
        <is>
          <t>SI Table S2</t>
        </is>
      </c>
      <c r="K17" s="16" t="inlineStr">
        <is>
          <t>04 仅条件或二手佐证</t>
        </is>
      </c>
      <c r="L17" s="15" t="inlineStr">
        <is>
          <t>12,000 mL gcat⁻¹ h⁻¹</t>
        </is>
      </c>
      <c r="M17" s="15" t="inlineStr">
        <is>
          <t>原文 PDF p3 Fig2A图注，涉及所述载体的比较条件</t>
        </is>
      </c>
      <c r="N17" s="15" t="inlineStr">
        <is>
          <t>C / 图注共享条件，非SI指定行</t>
        </is>
      </c>
      <c r="O17" s="15" t="inlineStr">
        <is>
          <t>主文图注可以佐证通用条件，但无法代替未取得的SI Table S2中特定载体行。</t>
        </is>
      </c>
      <c r="P17" s="15" t="inlineStr">
        <is>
          <t>https://doi.org/10.1126/sciadv.abi6012</t>
        </is>
      </c>
      <c r="Q17" s="15" t="inlineStr">
        <is>
          <t>留空：当前证据不足</t>
        </is>
      </c>
      <c r="R17" s="15" t="inlineStr">
        <is>
          <t>中</t>
        </is>
      </c>
      <c r="S17" s="15" t="inlineStr">
        <is>
          <t>Meng 2021 sciadv.abi6012_sm.pdf (SI S2/S7)</t>
        </is>
      </c>
    </row>
    <row r="18" ht="47" customHeight="1">
      <c r="A18" s="13" t="n">
        <v>17</v>
      </c>
      <c r="B18" s="13" t="inlineStr">
        <is>
          <t>Meng 2021</t>
        </is>
      </c>
      <c r="C18" s="13" t="inlineStr">
        <is>
          <t>10.1126/sciadv.abi6012</t>
        </is>
      </c>
      <c r="D18" s="13" t="inlineStr">
        <is>
          <t>InNi3C0.5/a-ZrO2</t>
        </is>
      </c>
      <c r="E18" s="13" t="inlineStr">
        <is>
          <t>Fig. 2A, InNi3C0.5/a-ZrO2, 12000 ml gcat-1 hour-1</t>
        </is>
      </c>
      <c r="F18" s="13" t="inlineStr">
        <is>
          <t>CH4 selectivity</t>
        </is>
      </c>
      <c r="G18" s="13" t="inlineStr">
        <is>
          <t>0.4</t>
        </is>
      </c>
      <c r="H18" s="13" t="inlineStr">
        <is>
          <t>%</t>
        </is>
      </c>
      <c r="I18" s="13" t="inlineStr">
        <is>
          <t>=</t>
        </is>
      </c>
      <c r="J18" s="13" t="inlineStr">
        <is>
          <t>Fig. 2A</t>
        </is>
      </c>
      <c r="K18" s="18" t="inlineStr">
        <is>
          <t>03 限值或非直印，原文映射待核</t>
        </is>
      </c>
      <c r="L18" s="13" t="inlineStr">
        <is>
          <t>0.4%（抽取记录），但Fig2A只显示未标注具体值的柱图</t>
        </is>
      </c>
      <c r="M18" s="13" t="inlineStr">
        <is>
          <t>原文 PDF p3 Fig2A；SI Table S2未取得</t>
        </is>
      </c>
      <c r="N18" s="13" t="inlineStr">
        <is>
          <t>N / 图上未印精确数字</t>
        </is>
      </c>
      <c r="O18" s="13" t="inlineStr">
        <is>
          <t>Fig2A无法直接逐项读取精确0.4%；按严格印刷值口径，须SI或正文明确数字，否则可能是读图/模型猜测。</t>
        </is>
      </c>
      <c r="P18" s="13" t="inlineStr">
        <is>
          <t>https://doi.org/10.1126/sciadv.abi6012</t>
        </is>
      </c>
      <c r="Q18" s="13" t="inlineStr">
        <is>
          <t>不得判 correct，先核限定符/印刷资格</t>
        </is>
      </c>
      <c r="R18" s="13" t="inlineStr">
        <is>
          <t>高（图上非直印），低（数值）</t>
        </is>
      </c>
      <c r="S18" s="13" t="inlineStr">
        <is>
          <t>Meng 2021 sciadv.abi6012_sm.pdf (SI S2/S7)</t>
        </is>
      </c>
    </row>
    <row r="19" ht="47" customHeight="1">
      <c r="A19" s="15" t="n">
        <v>18</v>
      </c>
      <c r="B19" s="15" t="inlineStr">
        <is>
          <t>Meng 2021</t>
        </is>
      </c>
      <c r="C19" s="15" t="inlineStr">
        <is>
          <t>10.1126/sciadv.abi6012</t>
        </is>
      </c>
      <c r="D19" s="15" t="inlineStr">
        <is>
          <t>InNi3C0.5/m-ZrO2</t>
        </is>
      </c>
      <c r="E19" s="15" t="inlineStr">
        <is>
          <t>Fig. 2A, InNi3C0.5/m-ZrO2, 12000 ml gcat-1 hour-1</t>
        </is>
      </c>
      <c r="F19" s="15" t="inlineStr">
        <is>
          <t>H2/CO2</t>
        </is>
      </c>
      <c r="G19" s="15" t="inlineStr">
        <is>
          <t>3</t>
        </is>
      </c>
      <c r="H19" s="15" t="inlineStr">
        <is>
          <t>mol/mol</t>
        </is>
      </c>
      <c r="I19" s="15" t="inlineStr"/>
      <c r="J19" s="15" t="inlineStr">
        <is>
          <t>Fig. 2A and Results text</t>
        </is>
      </c>
      <c r="K19" s="17" t="inlineStr">
        <is>
          <t>01 数值相符 / 引文修订</t>
        </is>
      </c>
      <c r="L19" s="15" t="inlineStr">
        <is>
          <t>H₂/CO₂ = 3:1</t>
        </is>
      </c>
      <c r="M19" s="15" t="inlineStr">
        <is>
          <t>原文 PDF p3 Fig2A图注；m-ZrO₂系列</t>
        </is>
      </c>
      <c r="N19" s="15" t="inlineStr">
        <is>
          <t>Y / 图注直接印刷的共享条件</t>
        </is>
      </c>
      <c r="O19" s="15" t="inlineStr">
        <is>
          <t>对Fig2A对应系列可用图注的共同进料配比；若要声称SI Table S2此行原样印刷，仍须打开SI。</t>
        </is>
      </c>
      <c r="P19" s="15" t="inlineStr">
        <is>
          <t>https://doi.org/10.1126/sciadv.abi6012</t>
        </is>
      </c>
      <c r="Q19" s="15" t="inlineStr">
        <is>
          <t>建议 correct（须人工确认源页）</t>
        </is>
      </c>
      <c r="R19" s="15" t="inlineStr">
        <is>
          <t>高</t>
        </is>
      </c>
      <c r="S19" s="15" t="inlineStr">
        <is>
          <t>仅需独立作者确认</t>
        </is>
      </c>
    </row>
    <row r="20" ht="47" customHeight="1">
      <c r="A20" s="13" t="n">
        <v>19</v>
      </c>
      <c r="B20" s="13" t="inlineStr">
        <is>
          <t>Meng 2021</t>
        </is>
      </c>
      <c r="C20" s="13" t="inlineStr">
        <is>
          <t>10.1126/sciadv.abi6012</t>
        </is>
      </c>
      <c r="D20" s="13" t="inlineStr">
        <is>
          <t>m-ZrO2</t>
        </is>
      </c>
      <c r="E20" s="13" t="inlineStr">
        <is>
          <t>SI Table S2 row m-ZrO2</t>
        </is>
      </c>
      <c r="F20" s="13" t="inlineStr">
        <is>
          <t>temperature</t>
        </is>
      </c>
      <c r="G20" s="13" t="inlineStr">
        <is>
          <t>300</t>
        </is>
      </c>
      <c r="H20" s="13" t="inlineStr">
        <is>
          <t>°C (from K)</t>
        </is>
      </c>
      <c r="I20" s="13" t="inlineStr"/>
      <c r="J20" s="13" t="inlineStr">
        <is>
          <t>SI Table S2</t>
        </is>
      </c>
      <c r="K20" s="16" t="inlineStr">
        <is>
          <t>04 仅条件或二手佐证</t>
        </is>
      </c>
      <c r="L20" s="13" t="inlineStr">
        <is>
          <t>300 °C</t>
        </is>
      </c>
      <c r="M20" s="13" t="inlineStr">
        <is>
          <t>原文 PDF p3 Fig2A图注，涉及所述载体的比较条件</t>
        </is>
      </c>
      <c r="N20" s="13" t="inlineStr">
        <is>
          <t>C / 图注共享条件，非SI指定行</t>
        </is>
      </c>
      <c r="O20" s="13" t="inlineStr">
        <is>
          <t>主文图注可以佐证通用条件，但无法代替未取得的SI Table S2中特定载体行。</t>
        </is>
      </c>
      <c r="P20" s="13" t="inlineStr">
        <is>
          <t>https://doi.org/10.1126/sciadv.abi6012</t>
        </is>
      </c>
      <c r="Q20" s="13" t="inlineStr">
        <is>
          <t>留空：当前证据不足</t>
        </is>
      </c>
      <c r="R20" s="13" t="inlineStr">
        <is>
          <t>中</t>
        </is>
      </c>
      <c r="S20" s="13" t="inlineStr">
        <is>
          <t>Meng 2021 sciadv.abi6012_sm.pdf (SI S2/S7)</t>
        </is>
      </c>
    </row>
    <row r="21" ht="47" customHeight="1">
      <c r="A21" s="15" t="n">
        <v>20</v>
      </c>
      <c r="B21" s="15" t="inlineStr">
        <is>
          <t>Meng 2021</t>
        </is>
      </c>
      <c r="C21" s="15" t="inlineStr">
        <is>
          <t>10.1126/sciadv.abi6012</t>
        </is>
      </c>
      <c r="D21" s="15" t="inlineStr">
        <is>
          <t>InNi3C0.5/Fe3O4</t>
        </is>
      </c>
      <c r="E21" s="15" t="inlineStr">
        <is>
          <t>Text/Table S7, InNi3C0.5/Fe3O4, 325C, 4.0 MPa, H2/CO2 8:1, GHSV 30000</t>
        </is>
      </c>
      <c r="F21" s="15" t="inlineStr">
        <is>
          <t>pressure</t>
        </is>
      </c>
      <c r="G21" s="15" t="inlineStr">
        <is>
          <t>40</t>
        </is>
      </c>
      <c r="H21" s="15" t="inlineStr">
        <is>
          <t>bar</t>
        </is>
      </c>
      <c r="I21" s="15" t="inlineStr"/>
      <c r="J21" s="15" t="inlineStr">
        <is>
          <t>Results text, Tailoring more advanced InNi3C0.5 catalyst</t>
        </is>
      </c>
      <c r="K21" s="17" t="inlineStr">
        <is>
          <t>01 数值相符 / 引文修订</t>
        </is>
      </c>
      <c r="L21" s="15" t="inlineStr">
        <is>
          <t>4.0 MPa = 40 bar</t>
        </is>
      </c>
      <c r="M21" s="15" t="inlineStr">
        <is>
          <t>原文 PDF p6 InNi₃C₀.₅/Fe₃O₄ 325°C结果段，H₂/CO₂=8:1</t>
        </is>
      </c>
      <c r="N21" s="15" t="inlineStr">
        <is>
          <t>C / 由MPa等价单位换算</t>
        </is>
      </c>
      <c r="O21" s="15" t="inlineStr">
        <is>
          <t>40bar由4MPa换算；论文没有写40bar，原表Text/Table S7定位可精确到正文p6。</t>
        </is>
      </c>
      <c r="P21" s="15" t="inlineStr">
        <is>
          <t>https://doi.org/10.1126/sciadv.abi6012</t>
        </is>
      </c>
      <c r="Q21" s="15" t="inlineStr">
        <is>
          <t>建议 correct（须人工确认源页）</t>
        </is>
      </c>
      <c r="R21" s="15" t="inlineStr">
        <is>
          <t>高</t>
        </is>
      </c>
      <c r="S21" s="15" t="inlineStr">
        <is>
          <t>仅需独立作者确认</t>
        </is>
      </c>
    </row>
    <row r="22" ht="47" customHeight="1">
      <c r="A22" s="13" t="n">
        <v>21</v>
      </c>
      <c r="B22" s="13" t="inlineStr">
        <is>
          <t>Bansode 2013</t>
        </is>
      </c>
      <c r="C22" s="13" t="inlineStr">
        <is>
          <t>10.1039/c2cy20604h</t>
        </is>
      </c>
      <c r="D22" s="13" t="inlineStr">
        <is>
          <t>Cu–Ba/Al2O3</t>
        </is>
      </c>
      <c r="E22" s="13" t="inlineStr">
        <is>
          <t>Text, Cu-Ba/Al2O3, 443 K, 36 MPa</t>
        </is>
      </c>
      <c r="F22" s="13" t="inlineStr">
        <is>
          <t>temperature</t>
        </is>
      </c>
      <c r="G22" s="13" t="inlineStr">
        <is>
          <t>169.85</t>
        </is>
      </c>
      <c r="H22" s="13" t="inlineStr">
        <is>
          <t>°C (from K)</t>
        </is>
      </c>
      <c r="I22" s="13" t="inlineStr"/>
      <c r="J22" s="13" t="inlineStr">
        <is>
          <t>Text discussing methyl formate formation</t>
        </is>
      </c>
      <c r="K22" s="17" t="inlineStr">
        <is>
          <t>01 数值相符 / 引文修订</t>
        </is>
      </c>
      <c r="L22" s="13" t="inlineStr">
        <is>
          <t>443 K (169.85 °C)</t>
        </is>
      </c>
      <c r="M22" s="13" t="inlineStr">
        <is>
          <t>ESI Table S3, p.4, Cu–Ba/Al₂O₃, 443 K / 36 MPa</t>
        </is>
      </c>
      <c r="N22" s="13" t="inlineStr">
        <is>
          <t>C / K换算为°C</t>
        </is>
      </c>
      <c r="O22" s="13" t="inlineStr">
        <is>
          <t>温度按 T(°C)=T(K)-273.15 换算；不属于表中按摄氏度原样印刷</t>
        </is>
      </c>
      <c r="P22" s="13" t="inlineStr">
        <is>
          <t>https://www.rsc.org/suppdata/cy/c2/c2cy20604h/c2cy20604h.pdf</t>
        </is>
      </c>
      <c r="Q22" s="13" t="inlineStr">
        <is>
          <t>建议 correct（须人工确认源页）</t>
        </is>
      </c>
      <c r="R22" s="13" t="inlineStr">
        <is>
          <t>高</t>
        </is>
      </c>
      <c r="S22" s="13" t="inlineStr">
        <is>
          <t>仅需独立作者确认</t>
        </is>
      </c>
    </row>
    <row r="23" ht="47" customHeight="1">
      <c r="A23" s="15" t="n">
        <v>22</v>
      </c>
      <c r="B23" s="15" t="inlineStr">
        <is>
          <t>Bansode 2013</t>
        </is>
      </c>
      <c r="C23" s="15" t="inlineStr">
        <is>
          <t>10.1039/c2cy20604h</t>
        </is>
      </c>
      <c r="D23" s="15" t="inlineStr">
        <is>
          <t>Cu–Ba/Al2O3</t>
        </is>
      </c>
      <c r="E23" s="15" t="inlineStr">
        <is>
          <t>SI Table 3, 503 K, 36 MPa</t>
        </is>
      </c>
      <c r="F23" s="15" t="inlineStr">
        <is>
          <t>STY (printed)</t>
        </is>
      </c>
      <c r="G23" s="15" t="inlineStr">
        <is>
          <t>56.5 mg gcat-1 h-1</t>
        </is>
      </c>
      <c r="H23" s="15" t="inlineStr">
        <is>
          <t>as printed</t>
        </is>
      </c>
      <c r="I23" s="15" t="inlineStr">
        <is>
          <t>=</t>
        </is>
      </c>
      <c r="J23" s="15" t="inlineStr">
        <is>
          <t>SI Table 3</t>
        </is>
      </c>
      <c r="K23" s="17" t="inlineStr">
        <is>
          <t>01 数值相符 / 引文修订</t>
        </is>
      </c>
      <c r="L23" s="15" t="inlineStr">
        <is>
          <t>56.5 mg gcat⁻¹ h⁻¹</t>
        </is>
      </c>
      <c r="M23" s="15" t="inlineStr">
        <is>
          <t>ESI Table S3, p.4, Cu–Ba/Al₂O₃, 503 K / 36 MPa, MeOH yield</t>
        </is>
      </c>
      <c r="N23" s="15" t="inlineStr">
        <is>
          <t>Y / 原文表格数字</t>
        </is>
      </c>
      <c r="O23" s="15" t="inlineStr">
        <is>
          <t>ESI 将第三张表印作 “Table 3”；mg/(gcat·h) 为甲醇产率，切勿与以 g 为单位的数值混淆</t>
        </is>
      </c>
      <c r="P23" s="15" t="inlineStr">
        <is>
          <t>https://www.rsc.org/suppdata/cy/c2/c2cy20604h/c2cy20604h.pdf</t>
        </is>
      </c>
      <c r="Q23" s="15" t="inlineStr">
        <is>
          <t>建议 correct（须人工确认源页）</t>
        </is>
      </c>
      <c r="R23" s="15" t="inlineStr">
        <is>
          <t>高</t>
        </is>
      </c>
      <c r="S23" s="15" t="inlineStr">
        <is>
          <t>仅需独立作者确认</t>
        </is>
      </c>
    </row>
    <row r="24" ht="47" customHeight="1">
      <c r="A24" s="13" t="n">
        <v>23</v>
      </c>
      <c r="B24" s="13" t="inlineStr">
        <is>
          <t>Bansode 2013</t>
        </is>
      </c>
      <c r="C24" s="13" t="inlineStr">
        <is>
          <t>10.1039/c2cy20604h</t>
        </is>
      </c>
      <c r="D24" s="13" t="inlineStr">
        <is>
          <t>Cu–Ba/Al2O3</t>
        </is>
      </c>
      <c r="E24" s="13" t="inlineStr">
        <is>
          <t>SI Table 3, 533 K, 0.4 MPa</t>
        </is>
      </c>
      <c r="F24" s="13" t="inlineStr">
        <is>
          <t>CH3OH selectivity</t>
        </is>
      </c>
      <c r="G24" s="13" t="inlineStr">
        <is>
          <t>4.4</t>
        </is>
      </c>
      <c r="H24" s="13" t="inlineStr">
        <is>
          <t>%</t>
        </is>
      </c>
      <c r="I24" s="13" t="inlineStr">
        <is>
          <t>=</t>
        </is>
      </c>
      <c r="J24" s="13" t="inlineStr">
        <is>
          <t>SI Table 3</t>
        </is>
      </c>
      <c r="K24" s="17" t="inlineStr">
        <is>
          <t>01 数值相符 / 引文修订</t>
        </is>
      </c>
      <c r="L24" s="13" t="inlineStr">
        <is>
          <t>4.4%</t>
        </is>
      </c>
      <c r="M24" s="13" t="inlineStr">
        <is>
          <t>ESI Table S3, p.4, Cu–Ba/Al₂O₃, 533 K / 0.4 MPa</t>
        </is>
      </c>
      <c r="N24" s="13" t="inlineStr">
        <is>
          <t>Y / 原文表格数字</t>
        </is>
      </c>
      <c r="O24" s="13" t="inlineStr">
        <is>
          <t>0.4 MPa=4 bar；甲醇选择性 4.4%</t>
        </is>
      </c>
      <c r="P24" s="13" t="inlineStr">
        <is>
          <t>https://www.rsc.org/suppdata/cy/c2/c2cy20604h/c2cy20604h.pdf</t>
        </is>
      </c>
      <c r="Q24" s="13" t="inlineStr">
        <is>
          <t>建议 correct（须人工确认源页）</t>
        </is>
      </c>
      <c r="R24" s="13" t="inlineStr">
        <is>
          <t>高</t>
        </is>
      </c>
      <c r="S24" s="13" t="inlineStr">
        <is>
          <t>仅需独立作者确认</t>
        </is>
      </c>
    </row>
    <row r="25" ht="47" customHeight="1">
      <c r="A25" s="15" t="n">
        <v>24</v>
      </c>
      <c r="B25" s="15" t="inlineStr">
        <is>
          <t>Bansode 2013</t>
        </is>
      </c>
      <c r="C25" s="15" t="inlineStr">
        <is>
          <t>10.1039/c2cy20604h</t>
        </is>
      </c>
      <c r="D25" s="15" t="inlineStr">
        <is>
          <t>Cu/Al2O3</t>
        </is>
      </c>
      <c r="E25" s="15" t="inlineStr">
        <is>
          <t>Fig 5/Fig 6, Cu/Al2O3, 443 K, 10 MPa</t>
        </is>
      </c>
      <c r="F25" s="15" t="inlineStr">
        <is>
          <t>CH3OH selectivity</t>
        </is>
      </c>
      <c r="G25" s="15" t="inlineStr">
        <is>
          <t>80</t>
        </is>
      </c>
      <c r="H25" s="15" t="inlineStr">
        <is>
          <t>%</t>
        </is>
      </c>
      <c r="I25" s="15" t="inlineStr">
        <is>
          <t>=</t>
        </is>
      </c>
      <c r="J25" s="15" t="inlineStr">
        <is>
          <t>Figure 5 and text on page 7</t>
        </is>
      </c>
      <c r="K25" s="17" t="inlineStr">
        <is>
          <t>01 数值相符 / 引文修订</t>
        </is>
      </c>
      <c r="L25" s="15" t="inlineStr">
        <is>
          <t>80.0%</t>
        </is>
      </c>
      <c r="M25" s="15" t="inlineStr">
        <is>
          <t>ESI Table S1, p.2, Cu/Al₂O₃, 443 K / 10 MPa</t>
        </is>
      </c>
      <c r="N25" s="15" t="inlineStr">
        <is>
          <t>Y / 原文表格数字</t>
        </is>
      </c>
      <c r="O25" s="15" t="inlineStr">
        <is>
          <t>原表甲醇选择性 80.0%；定位可补充 S1 而非仅凭原来的 Fig.5/6</t>
        </is>
      </c>
      <c r="P25" s="15" t="inlineStr">
        <is>
          <t>https://www.rsc.org/suppdata/cy/c2/c2cy20604h/c2cy20604h.pdf</t>
        </is>
      </c>
      <c r="Q25" s="15" t="inlineStr">
        <is>
          <t>建议 correct（须人工确认源页）</t>
        </is>
      </c>
      <c r="R25" s="15" t="inlineStr">
        <is>
          <t>高</t>
        </is>
      </c>
      <c r="S25" s="15" t="inlineStr">
        <is>
          <t>仅需独立作者确认</t>
        </is>
      </c>
    </row>
    <row r="26" ht="47" customHeight="1">
      <c r="A26" s="13" t="n">
        <v>25</v>
      </c>
      <c r="B26" s="13" t="inlineStr">
        <is>
          <t>Bansode 2013</t>
        </is>
      </c>
      <c r="C26" s="13" t="inlineStr">
        <is>
          <t>10.1039/c2cy20604h</t>
        </is>
      </c>
      <c r="D26" s="13" t="inlineStr">
        <is>
          <t>Cu–K/Al2O3</t>
        </is>
      </c>
      <c r="E26" s="13" t="inlineStr">
        <is>
          <t>Fig 7, Cu-K/Al2O3, 533 K, 36 MPa</t>
        </is>
      </c>
      <c r="F26" s="13" t="inlineStr">
        <is>
          <t>STY (printed)</t>
        </is>
      </c>
      <c r="G26" s="13" t="inlineStr">
        <is>
          <t>10.6 mg gcat-1 h-1</t>
        </is>
      </c>
      <c r="H26" s="13" t="inlineStr">
        <is>
          <t>as printed</t>
        </is>
      </c>
      <c r="I26" s="13" t="inlineStr">
        <is>
          <t>=</t>
        </is>
      </c>
      <c r="J26" s="13" t="inlineStr">
        <is>
          <t>Figure 7</t>
        </is>
      </c>
      <c r="K26" s="17" t="inlineStr">
        <is>
          <t>01 数值相符 / 引文修订</t>
        </is>
      </c>
      <c r="L26" s="13" t="inlineStr">
        <is>
          <t>10.6 mg gcat⁻¹ h⁻¹</t>
        </is>
      </c>
      <c r="M26" s="13" t="inlineStr">
        <is>
          <t>ESI Table S2, p.3, Cu–K/Al₂O₃, 533 K / 36 MPa</t>
        </is>
      </c>
      <c r="N26" s="13" t="inlineStr">
        <is>
          <t>Y / 原文表格数字</t>
        </is>
      </c>
      <c r="O26" s="13" t="inlineStr">
        <is>
          <t>原表甲醇产率 10.6；注意读对 CH₃OH yield 列而非 conversion</t>
        </is>
      </c>
      <c r="P26" s="13" t="inlineStr">
        <is>
          <t>https://www.rsc.org/suppdata/cy/c2/c2cy20604h/c2cy20604h.pdf</t>
        </is>
      </c>
      <c r="Q26" s="13" t="inlineStr">
        <is>
          <t>建议 correct（须人工确认源页）</t>
        </is>
      </c>
      <c r="R26" s="13" t="inlineStr">
        <is>
          <t>高</t>
        </is>
      </c>
      <c r="S26" s="13" t="inlineStr">
        <is>
          <t>仅需独立作者确认</t>
        </is>
      </c>
    </row>
    <row r="27" ht="47" customHeight="1">
      <c r="A27" s="15" t="n">
        <v>26</v>
      </c>
      <c r="B27" s="15" t="inlineStr">
        <is>
          <t>Bansode 2013</t>
        </is>
      </c>
      <c r="C27" s="15" t="inlineStr">
        <is>
          <t>10.1039/c2cy20604h</t>
        </is>
      </c>
      <c r="D27" s="15" t="inlineStr">
        <is>
          <t>Cu–Ba/Al2O3</t>
        </is>
      </c>
      <c r="E27" s="15" t="inlineStr">
        <is>
          <t>SI Table 3, 553 K, 0.4 MPa</t>
        </is>
      </c>
      <c r="F27" s="15" t="inlineStr">
        <is>
          <t>CO selectivity</t>
        </is>
      </c>
      <c r="G27" s="15" t="inlineStr">
        <is>
          <t>98.1</t>
        </is>
      </c>
      <c r="H27" s="15" t="inlineStr">
        <is>
          <t>%</t>
        </is>
      </c>
      <c r="I27" s="15" t="inlineStr">
        <is>
          <t>=</t>
        </is>
      </c>
      <c r="J27" s="15" t="inlineStr">
        <is>
          <t>SI Table 3</t>
        </is>
      </c>
      <c r="K27" s="17" t="inlineStr">
        <is>
          <t>01 数值相符 / 引文修订</t>
        </is>
      </c>
      <c r="L27" s="15" t="inlineStr">
        <is>
          <t>98.1%</t>
        </is>
      </c>
      <c r="M27" s="15" t="inlineStr">
        <is>
          <t>ESI Table S3, p.4, Cu–Ba/Al₂O₃, 553 K / 0.4 MPa</t>
        </is>
      </c>
      <c r="N27" s="15" t="inlineStr">
        <is>
          <t>Y / 原文表格数字</t>
        </is>
      </c>
      <c r="O27" s="15" t="inlineStr">
        <is>
          <t>该行 CO selectivity 98.1%</t>
        </is>
      </c>
      <c r="P27" s="15" t="inlineStr">
        <is>
          <t>https://www.rsc.org/suppdata/cy/c2/c2cy20604h/c2cy20604h.pdf</t>
        </is>
      </c>
      <c r="Q27" s="15" t="inlineStr">
        <is>
          <t>建议 correct（须人工确认源页）</t>
        </is>
      </c>
      <c r="R27" s="15" t="inlineStr">
        <is>
          <t>高</t>
        </is>
      </c>
      <c r="S27" s="15" t="inlineStr">
        <is>
          <t>仅需独立作者确认</t>
        </is>
      </c>
    </row>
    <row r="28" ht="47" customHeight="1">
      <c r="A28" s="13" t="n">
        <v>27</v>
      </c>
      <c r="B28" s="13" t="inlineStr">
        <is>
          <t>Bansode 2013</t>
        </is>
      </c>
      <c r="C28" s="13" t="inlineStr">
        <is>
          <t>10.1039/c2cy20604h</t>
        </is>
      </c>
      <c r="D28" s="13" t="inlineStr">
        <is>
          <t>Cu–Ba/Al2O3</t>
        </is>
      </c>
      <c r="E28" s="13" t="inlineStr">
        <is>
          <t>SI Table 3, 443 K, 0.4 MPa</t>
        </is>
      </c>
      <c r="F28" s="13" t="inlineStr">
        <is>
          <t>CO selectivity</t>
        </is>
      </c>
      <c r="G28" s="13" t="inlineStr">
        <is>
          <t>72.5</t>
        </is>
      </c>
      <c r="H28" s="13" t="inlineStr">
        <is>
          <t>%</t>
        </is>
      </c>
      <c r="I28" s="13" t="inlineStr">
        <is>
          <t>=</t>
        </is>
      </c>
      <c r="J28" s="13" t="inlineStr">
        <is>
          <t>SI Table 3</t>
        </is>
      </c>
      <c r="K28" s="17" t="inlineStr">
        <is>
          <t>01 数值相符 / 引文修订</t>
        </is>
      </c>
      <c r="L28" s="13" t="inlineStr">
        <is>
          <t>72.5%</t>
        </is>
      </c>
      <c r="M28" s="13" t="inlineStr">
        <is>
          <t>ESI Table S3, p.4, Cu–Ba/Al₂O₃, 443 K / 0.4 MPa</t>
        </is>
      </c>
      <c r="N28" s="13" t="inlineStr">
        <is>
          <t>Y / 原文表格数字</t>
        </is>
      </c>
      <c r="O28" s="13" t="inlineStr">
        <is>
          <t>该行 CO selectivity 72.5%；该行 CO₂ 转化率带检测限星号，不能混作高置信度定量</t>
        </is>
      </c>
      <c r="P28" s="13" t="inlineStr">
        <is>
          <t>https://www.rsc.org/suppdata/cy/c2/c2cy20604h/c2cy20604h.pdf</t>
        </is>
      </c>
      <c r="Q28" s="13" t="inlineStr">
        <is>
          <t>建议 correct（须人工确认源页）</t>
        </is>
      </c>
      <c r="R28" s="13" t="inlineStr">
        <is>
          <t>高</t>
        </is>
      </c>
      <c r="S28" s="13" t="inlineStr">
        <is>
          <t>仅需独立作者确认</t>
        </is>
      </c>
    </row>
    <row r="29" ht="47" customHeight="1">
      <c r="A29" s="15" t="n">
        <v>28</v>
      </c>
      <c r="B29" s="15" t="inlineStr">
        <is>
          <t>Bansode 2013</t>
        </is>
      </c>
      <c r="C29" s="15" t="inlineStr">
        <is>
          <t>10.1039/c2cy20604h</t>
        </is>
      </c>
      <c r="D29" s="15" t="inlineStr">
        <is>
          <t>Cu–Ba/Al2O3</t>
        </is>
      </c>
      <c r="E29" s="15" t="inlineStr">
        <is>
          <t>Fig 8, Cu-Ba/Al2O3, 473 K, 10 MPa</t>
        </is>
      </c>
      <c r="F29" s="15" t="inlineStr">
        <is>
          <t>temperature</t>
        </is>
      </c>
      <c r="G29" s="15" t="inlineStr">
        <is>
          <t>199.85</t>
        </is>
      </c>
      <c r="H29" s="15" t="inlineStr">
        <is>
          <t>°C (from K)</t>
        </is>
      </c>
      <c r="I29" s="15" t="inlineStr"/>
      <c r="J29" s="15" t="inlineStr">
        <is>
          <t>Figure 8 and abstract</t>
        </is>
      </c>
      <c r="K29" s="17" t="inlineStr">
        <is>
          <t>01 数值相符 / 引文修订</t>
        </is>
      </c>
      <c r="L29" s="15" t="inlineStr">
        <is>
          <t>473 K (199.85 °C)</t>
        </is>
      </c>
      <c r="M29" s="15" t="inlineStr">
        <is>
          <t>ESI Table S3, p.4, Cu–Ba/Al₂O₃, 473 K / 10 MPa</t>
        </is>
      </c>
      <c r="N29" s="15" t="inlineStr">
        <is>
          <t>C / K换算为°C</t>
        </is>
      </c>
      <c r="O29" s="15" t="inlineStr">
        <is>
          <t>原文温度为 K；转换得到 199.85 °C</t>
        </is>
      </c>
      <c r="P29" s="15" t="inlineStr">
        <is>
          <t>https://www.rsc.org/suppdata/cy/c2/c2cy20604h/c2cy20604h.pdf</t>
        </is>
      </c>
      <c r="Q29" s="15" t="inlineStr">
        <is>
          <t>建议 correct（须人工确认源页）</t>
        </is>
      </c>
      <c r="R29" s="15" t="inlineStr">
        <is>
          <t>高</t>
        </is>
      </c>
      <c r="S29" s="15" t="inlineStr">
        <is>
          <t>仅需独立作者确认</t>
        </is>
      </c>
    </row>
    <row r="30" ht="47" customHeight="1">
      <c r="A30" s="13" t="n">
        <v>29</v>
      </c>
      <c r="B30" s="13" t="inlineStr">
        <is>
          <t>Bansode 2013</t>
        </is>
      </c>
      <c r="C30" s="13" t="inlineStr">
        <is>
          <t>10.1039/c2cy20604h</t>
        </is>
      </c>
      <c r="D30" s="13" t="inlineStr">
        <is>
          <t>Cu–K/Al2O3</t>
        </is>
      </c>
      <c r="E30" s="13" t="inlineStr">
        <is>
          <t>Fig 7/Fig 8, Cu-K/Al2O3, 473 K, 36 MPa</t>
        </is>
      </c>
      <c r="F30" s="13" t="inlineStr">
        <is>
          <t>CO2 conversion</t>
        </is>
      </c>
      <c r="G30" s="13" t="inlineStr">
        <is>
          <t>8.9</t>
        </is>
      </c>
      <c r="H30" s="13" t="inlineStr">
        <is>
          <t>%</t>
        </is>
      </c>
      <c r="I30" s="13" t="inlineStr">
        <is>
          <t>=</t>
        </is>
      </c>
      <c r="J30" s="13" t="inlineStr">
        <is>
          <t>Figure 7 and Figure 8</t>
        </is>
      </c>
      <c r="K30" s="17" t="inlineStr">
        <is>
          <t>01 数值相符 / 引文修订</t>
        </is>
      </c>
      <c r="L30" s="13" t="inlineStr">
        <is>
          <t>8.9%</t>
        </is>
      </c>
      <c r="M30" s="13" t="inlineStr">
        <is>
          <t>ESI Table S2, p.3, Cu–K/Al₂O₃, 473 K / 36 MPa</t>
        </is>
      </c>
      <c r="N30" s="13" t="inlineStr">
        <is>
          <t>Y / 原文表格数字</t>
        </is>
      </c>
      <c r="O30" s="13" t="inlineStr">
        <is>
          <t>该行 CO₂ conversion = 8.9%</t>
        </is>
      </c>
      <c r="P30" s="13" t="inlineStr">
        <is>
          <t>https://www.rsc.org/suppdata/cy/c2/c2cy20604h/c2cy20604h.pdf</t>
        </is>
      </c>
      <c r="Q30" s="13" t="inlineStr">
        <is>
          <t>建议 correct（须人工确认源页）</t>
        </is>
      </c>
      <c r="R30" s="13" t="inlineStr">
        <is>
          <t>高</t>
        </is>
      </c>
      <c r="S30" s="13" t="inlineStr">
        <is>
          <t>仅需独立作者确认</t>
        </is>
      </c>
    </row>
    <row r="31" ht="47" customHeight="1">
      <c r="A31" s="15" t="n">
        <v>30</v>
      </c>
      <c r="B31" s="15" t="inlineStr">
        <is>
          <t>Bansode 2013</t>
        </is>
      </c>
      <c r="C31" s="15" t="inlineStr">
        <is>
          <t>10.1039/c2cy20604h</t>
        </is>
      </c>
      <c r="D31" s="15" t="inlineStr">
        <is>
          <t>Cu–K/Al2O3</t>
        </is>
      </c>
      <c r="E31" s="15" t="inlineStr">
        <is>
          <t>Fig 7, Cu-K/Al2O3, 533 K, 3 MPa</t>
        </is>
      </c>
      <c r="F31" s="15" t="inlineStr">
        <is>
          <t>CO selectivity</t>
        </is>
      </c>
      <c r="G31" s="15" t="inlineStr">
        <is>
          <t>98.1</t>
        </is>
      </c>
      <c r="H31" s="15" t="inlineStr">
        <is>
          <t>%</t>
        </is>
      </c>
      <c r="I31" s="15" t="inlineStr">
        <is>
          <t>=</t>
        </is>
      </c>
      <c r="J31" s="15" t="inlineStr">
        <is>
          <t>Figure 7</t>
        </is>
      </c>
      <c r="K31" s="17" t="inlineStr">
        <is>
          <t>01 数值相符 / 引文修订</t>
        </is>
      </c>
      <c r="L31" s="15" t="inlineStr">
        <is>
          <t>98.1%</t>
        </is>
      </c>
      <c r="M31" s="15" t="inlineStr">
        <is>
          <t>ESI Table S2, p.3, Cu–K/Al₂O₃, 533 K / 3 MPa</t>
        </is>
      </c>
      <c r="N31" s="15" t="inlineStr">
        <is>
          <t>Y / 原文表格数字</t>
        </is>
      </c>
      <c r="O31" s="15" t="inlineStr">
        <is>
          <t>3 MPa=30 bar；CO selectivity 98.1%</t>
        </is>
      </c>
      <c r="P31" s="15" t="inlineStr">
        <is>
          <t>https://www.rsc.org/suppdata/cy/c2/c2cy20604h/c2cy20604h.pdf</t>
        </is>
      </c>
      <c r="Q31" s="15" t="inlineStr">
        <is>
          <t>建议 correct（须人工确认源页）</t>
        </is>
      </c>
      <c r="R31" s="15" t="inlineStr">
        <is>
          <t>高</t>
        </is>
      </c>
      <c r="S31" s="15" t="inlineStr">
        <is>
          <t>仅需独立作者确认</t>
        </is>
      </c>
    </row>
    <row r="32" ht="47" customHeight="1">
      <c r="A32" s="13" t="n">
        <v>31</v>
      </c>
      <c r="B32" s="13" t="inlineStr">
        <is>
          <t>Frei 2019</t>
        </is>
      </c>
      <c r="C32" s="13" t="inlineStr">
        <is>
          <t>10.1038/s41467-019-11349-9</t>
        </is>
      </c>
      <c r="D32" s="13" t="inlineStr">
        <is>
          <t>Pd–In2O3 CP</t>
        </is>
      </c>
      <c r="E32" s="13" t="inlineStr">
        <is>
          <t>Table 2 Pd–In2O3 CP, WHSV 48,000 initial</t>
        </is>
      </c>
      <c r="F32" s="13" t="inlineStr">
        <is>
          <t>pressure</t>
        </is>
      </c>
      <c r="G32" s="13" t="inlineStr">
        <is>
          <t>50</t>
        </is>
      </c>
      <c r="H32" s="13" t="inlineStr">
        <is>
          <t>bar</t>
        </is>
      </c>
      <c r="I32" s="13" t="inlineStr"/>
      <c r="J32" s="13" t="inlineStr">
        <is>
          <t>Table 2</t>
        </is>
      </c>
      <c r="K32" s="17" t="inlineStr">
        <is>
          <t>01 数值相符 / 引文修订</t>
        </is>
      </c>
      <c r="L32" s="13" t="inlineStr">
        <is>
          <t>5 MPa = 50 bar</t>
        </is>
      </c>
      <c r="M32" s="13" t="inlineStr">
        <is>
          <t>Frei 2019, 500-h Fig.6 text / experimental conditions</t>
        </is>
      </c>
      <c r="N32" s="13" t="inlineStr">
        <is>
          <t>C / MPa换算bar</t>
        </is>
      </c>
      <c r="O32" s="13" t="inlineStr">
        <is>
          <t>可从正文确认 5 MPa；原 Excel 将该工况挂在 Table 2，建议以 Fig.6 正文作为一手定位</t>
        </is>
      </c>
      <c r="P32" s="13" t="inlineStr">
        <is>
          <t>https://www.nature.com/articles/s41467-019-11349-9</t>
        </is>
      </c>
      <c r="Q32" s="13" t="inlineStr">
        <is>
          <t>建议 correct（须人工确认源页）</t>
        </is>
      </c>
      <c r="R32" s="13" t="inlineStr">
        <is>
          <t>高</t>
        </is>
      </c>
      <c r="S32" s="13" t="inlineStr">
        <is>
          <t>仅需独立作者确认</t>
        </is>
      </c>
    </row>
    <row r="33" ht="47" customHeight="1">
      <c r="A33" s="15" t="n">
        <v>32</v>
      </c>
      <c r="B33" s="15" t="inlineStr">
        <is>
          <t>Frei 2019</t>
        </is>
      </c>
      <c r="C33" s="15" t="inlineStr">
        <is>
          <t>10.1038/s41467-019-11349-9</t>
        </is>
      </c>
      <c r="D33" s="15" t="inlineStr">
        <is>
          <t>CP</t>
        </is>
      </c>
      <c r="E33" s="15" t="inlineStr">
        <is>
          <t>Fig. 6/text Pd–In2O3 CP stability, start</t>
        </is>
      </c>
      <c r="F33" s="15" t="inlineStr">
        <is>
          <t>CH3OH selectivity</t>
        </is>
      </c>
      <c r="G33" s="15" t="inlineStr">
        <is>
          <t>75</t>
        </is>
      </c>
      <c r="H33" s="15" t="inlineStr">
        <is>
          <t>%</t>
        </is>
      </c>
      <c r="I33" s="15" t="inlineStr">
        <is>
          <t>=</t>
        </is>
      </c>
      <c r="J33" s="15" t="inlineStr">
        <is>
          <t>Fig. 6 and Results text</t>
        </is>
      </c>
      <c r="K33" s="17" t="inlineStr">
        <is>
          <t>01 数值相符 / 引文修订</t>
        </is>
      </c>
      <c r="L33" s="15" t="inlineStr">
        <is>
          <t>75% methanol selectivity at start</t>
        </is>
      </c>
      <c r="M33" s="15" t="inlineStr">
        <is>
          <t>Frei 2019, Fig.6 accompanying main-text paragraph</t>
        </is>
      </c>
      <c r="N33" s="15" t="inlineStr">
        <is>
          <t>Y / 原文正文或图注数值</t>
        </is>
      </c>
      <c r="O33" s="15" t="inlineStr">
        <is>
          <t>初始选择性75%，随后升至78%；别误用500 h 的后期值</t>
        </is>
      </c>
      <c r="P33" s="15" t="inlineStr">
        <is>
          <t>https://www.nature.com/articles/s41467-019-11349-9</t>
        </is>
      </c>
      <c r="Q33" s="15" t="inlineStr">
        <is>
          <t>建议 correct（须人工确认源页）</t>
        </is>
      </c>
      <c r="R33" s="15" t="inlineStr">
        <is>
          <t>高</t>
        </is>
      </c>
      <c r="S33" s="15" t="inlineStr">
        <is>
          <t>仅需独立作者确认</t>
        </is>
      </c>
    </row>
    <row r="34" ht="47" customHeight="1">
      <c r="A34" s="13" t="n">
        <v>33</v>
      </c>
      <c r="B34" s="13" t="inlineStr">
        <is>
          <t>Frei 2019</t>
        </is>
      </c>
      <c r="C34" s="13" t="inlineStr">
        <is>
          <t>10.1038/s41467-019-11349-9</t>
        </is>
      </c>
      <c r="D34" s="13" t="inlineStr">
        <is>
          <t>Pd–In2O3 CP</t>
        </is>
      </c>
      <c r="E34" s="13" t="inlineStr">
        <is>
          <t>Table 2 Pd–In2O3 CP, WHSV 48,000 initial</t>
        </is>
      </c>
      <c r="F34" s="13" t="inlineStr">
        <is>
          <t>temperature</t>
        </is>
      </c>
      <c r="G34" s="13" t="inlineStr">
        <is>
          <t>279.85</t>
        </is>
      </c>
      <c r="H34" s="13" t="inlineStr">
        <is>
          <t>°C (from K)</t>
        </is>
      </c>
      <c r="I34" s="13" t="inlineStr"/>
      <c r="J34" s="13" t="inlineStr">
        <is>
          <t>Table 2</t>
        </is>
      </c>
      <c r="K34" s="17" t="inlineStr">
        <is>
          <t>01 数值相符 / 引文修订</t>
        </is>
      </c>
      <c r="L34" s="13" t="inlineStr">
        <is>
          <t>553 K = 279.85 °C</t>
        </is>
      </c>
      <c r="M34" s="13" t="inlineStr">
        <is>
          <t>Frei 2019, Fig.6 caption and main text</t>
        </is>
      </c>
      <c r="N34" s="13" t="inlineStr">
        <is>
          <t>C / K换算°C</t>
        </is>
      </c>
      <c r="O34" s="13" t="inlineStr">
        <is>
          <t>原文553 K；摄氏温度为推算值，280 °C为常用四舍五入</t>
        </is>
      </c>
      <c r="P34" s="13" t="inlineStr">
        <is>
          <t>https://www.nature.com/articles/s41467-019-11349-9</t>
        </is>
      </c>
      <c r="Q34" s="13" t="inlineStr">
        <is>
          <t>建议 correct（须人工确认源页）</t>
        </is>
      </c>
      <c r="R34" s="13" t="inlineStr">
        <is>
          <t>高</t>
        </is>
      </c>
      <c r="S34" s="13" t="inlineStr">
        <is>
          <t>仅需独立作者确认</t>
        </is>
      </c>
    </row>
    <row r="35" ht="47" customHeight="1">
      <c r="A35" s="15" t="n">
        <v>34</v>
      </c>
      <c r="B35" s="15" t="inlineStr">
        <is>
          <t>Frei 2019</t>
        </is>
      </c>
      <c r="C35" s="15" t="inlineStr">
        <is>
          <t>10.1038/s41467-019-11349-9</t>
        </is>
      </c>
      <c r="D35" s="15" t="inlineStr">
        <is>
          <t>CP</t>
        </is>
      </c>
      <c r="E35" s="15" t="inlineStr">
        <is>
          <t>Fig. 6/text Pd–In2O3 CP stability, after 500 h</t>
        </is>
      </c>
      <c r="F35" s="15" t="inlineStr">
        <is>
          <t>temperature</t>
        </is>
      </c>
      <c r="G35" s="15" t="inlineStr">
        <is>
          <t>279.85</t>
        </is>
      </c>
      <c r="H35" s="15" t="inlineStr">
        <is>
          <t>°C (from K)</t>
        </is>
      </c>
      <c r="I35" s="15" t="inlineStr"/>
      <c r="J35" s="15" t="inlineStr">
        <is>
          <t>Fig. 6 and Results text</t>
        </is>
      </c>
      <c r="K35" s="17" t="inlineStr">
        <is>
          <t>01 数值相符 / 引文修订</t>
        </is>
      </c>
      <c r="L35" s="15" t="inlineStr">
        <is>
          <t>553 K = 279.85 °C</t>
        </is>
      </c>
      <c r="M35" s="15" t="inlineStr">
        <is>
          <t>Frei 2019, Fig.6 caption and main text</t>
        </is>
      </c>
      <c r="N35" s="15" t="inlineStr">
        <is>
          <t>C / K换算°C</t>
        </is>
      </c>
      <c r="O35" s="15" t="inlineStr">
        <is>
          <t>原文553 K；摄氏温度为推算值，280 °C为常用四舍五入</t>
        </is>
      </c>
      <c r="P35" s="15" t="inlineStr">
        <is>
          <t>https://www.nature.com/articles/s41467-019-11349-9</t>
        </is>
      </c>
      <c r="Q35" s="15" t="inlineStr">
        <is>
          <t>建议 correct（须人工确认源页）</t>
        </is>
      </c>
      <c r="R35" s="15" t="inlineStr">
        <is>
          <t>高</t>
        </is>
      </c>
      <c r="S35" s="15" t="inlineStr">
        <is>
          <t>仅需独立作者确认</t>
        </is>
      </c>
    </row>
    <row r="36" ht="47" customHeight="1">
      <c r="A36" s="13" t="n">
        <v>35</v>
      </c>
      <c r="B36" s="13" t="inlineStr">
        <is>
          <t>Frei 2019</t>
        </is>
      </c>
      <c r="C36" s="13" t="inlineStr">
        <is>
          <t>10.1038/s41467-019-11349-9</t>
        </is>
      </c>
      <c r="D36" s="13" t="inlineStr">
        <is>
          <t>CP</t>
        </is>
      </c>
      <c r="E36" s="13" t="inlineStr">
        <is>
          <t>Fig. 6/text Pd–In2O3 CP stability, start</t>
        </is>
      </c>
      <c r="F36" s="13" t="inlineStr">
        <is>
          <t>CO2 conversion</t>
        </is>
      </c>
      <c r="G36" s="13" t="inlineStr">
        <is>
          <t>9.7</t>
        </is>
      </c>
      <c r="H36" s="13" t="inlineStr">
        <is>
          <t>%</t>
        </is>
      </c>
      <c r="I36" s="13" t="inlineStr">
        <is>
          <t>=</t>
        </is>
      </c>
      <c r="J36" s="13" t="inlineStr">
        <is>
          <t>Fig. 6 and Results text</t>
        </is>
      </c>
      <c r="K36" s="17" t="inlineStr">
        <is>
          <t>01 数值相符 / 引文修订</t>
        </is>
      </c>
      <c r="L36" s="13" t="inlineStr">
        <is>
          <t>9.7% CO₂ conversion at start</t>
        </is>
      </c>
      <c r="M36" s="13" t="inlineStr">
        <is>
          <t>Frei 2019, 500-h stability paragraph near Fig.6</t>
        </is>
      </c>
      <c r="N36" s="13" t="inlineStr">
        <is>
          <t>Y / 原文正文或图注数值</t>
        </is>
      </c>
      <c r="O36" s="13" t="inlineStr">
        <is>
          <t>为稳定性起点数值，不是图中全部测量点的均值</t>
        </is>
      </c>
      <c r="P36" s="13" t="inlineStr">
        <is>
          <t>https://www.nature.com/articles/s41467-019-11349-9</t>
        </is>
      </c>
      <c r="Q36" s="13" t="inlineStr">
        <is>
          <t>建议 correct（须人工确认源页）</t>
        </is>
      </c>
      <c r="R36" s="13" t="inlineStr">
        <is>
          <t>高</t>
        </is>
      </c>
      <c r="S36" s="13" t="inlineStr">
        <is>
          <t>仅需独立作者确认</t>
        </is>
      </c>
    </row>
    <row r="37" ht="47" customHeight="1">
      <c r="A37" s="15" t="n">
        <v>36</v>
      </c>
      <c r="B37" s="15" t="inlineStr">
        <is>
          <t>Frei 2019</t>
        </is>
      </c>
      <c r="C37" s="15" t="inlineStr">
        <is>
          <t>10.1038/s41467-019-11349-9</t>
        </is>
      </c>
      <c r="D37" s="15" t="inlineStr">
        <is>
          <t>CP</t>
        </is>
      </c>
      <c r="E37" s="15" t="inlineStr">
        <is>
          <t>Fig. 6/text Pd–In2O3 CP stability, start</t>
        </is>
      </c>
      <c r="F37" s="15" t="inlineStr">
        <is>
          <t>H2/CO2</t>
        </is>
      </c>
      <c r="G37" s="15" t="inlineStr">
        <is>
          <t>4</t>
        </is>
      </c>
      <c r="H37" s="15" t="inlineStr">
        <is>
          <t>mol/mol</t>
        </is>
      </c>
      <c r="I37" s="15" t="inlineStr"/>
      <c r="J37" s="15" t="inlineStr">
        <is>
          <t>Fig. 6 and Results text</t>
        </is>
      </c>
      <c r="K37" s="17" t="inlineStr">
        <is>
          <t>01 数值相符 / 引文修订</t>
        </is>
      </c>
      <c r="L37" s="15" t="inlineStr">
        <is>
          <t>H₂:CO₂ = 4:1</t>
        </is>
      </c>
      <c r="M37" s="15" t="inlineStr">
        <is>
          <t>Frei 2019, Fig.6 caption</t>
        </is>
      </c>
      <c r="N37" s="15" t="inlineStr">
        <is>
          <t>Y / 原文正文或图注数值</t>
        </is>
      </c>
      <c r="O37" s="15" t="inlineStr">
        <is>
          <t>原文 H₂:CO₂=4，比值4</t>
        </is>
      </c>
      <c r="P37" s="15" t="inlineStr">
        <is>
          <t>https://www.nature.com/articles/s41467-019-11349-9</t>
        </is>
      </c>
      <c r="Q37" s="15" t="inlineStr">
        <is>
          <t>建议 correct（须人工确认源页）</t>
        </is>
      </c>
      <c r="R37" s="15" t="inlineStr">
        <is>
          <t>高</t>
        </is>
      </c>
      <c r="S37" s="15" t="inlineStr">
        <is>
          <t>仅需独立作者确认</t>
        </is>
      </c>
    </row>
    <row r="38" ht="47" customHeight="1">
      <c r="A38" s="13" t="n">
        <v>37</v>
      </c>
      <c r="B38" s="13" t="inlineStr">
        <is>
          <t>Frei 2019</t>
        </is>
      </c>
      <c r="C38" s="13" t="inlineStr">
        <is>
          <t>10.1038/s41467-019-11349-9</t>
        </is>
      </c>
      <c r="D38" s="13" t="inlineStr">
        <is>
          <t>CP</t>
        </is>
      </c>
      <c r="E38" s="13" t="inlineStr">
        <is>
          <t>Fig. 6/text Pd–In2O3 CP stability, after 500 h</t>
        </is>
      </c>
      <c r="F38" s="13" t="inlineStr">
        <is>
          <t>CO2 conversion</t>
        </is>
      </c>
      <c r="G38" s="13" t="inlineStr">
        <is>
          <t>9.2</t>
        </is>
      </c>
      <c r="H38" s="13" t="inlineStr">
        <is>
          <t>%</t>
        </is>
      </c>
      <c r="I38" s="13" t="inlineStr">
        <is>
          <t>=</t>
        </is>
      </c>
      <c r="J38" s="13" t="inlineStr">
        <is>
          <t>Fig. 6 and Results text</t>
        </is>
      </c>
      <c r="K38" s="17" t="inlineStr">
        <is>
          <t>01 数值相符 / 引文修订</t>
        </is>
      </c>
      <c r="L38" s="13" t="inlineStr">
        <is>
          <t>9.2% CO₂ conversion after 200 h</t>
        </is>
      </c>
      <c r="M38" s="13" t="inlineStr">
        <is>
          <t>Frei 2019, 500-h stability paragraph</t>
        </is>
      </c>
      <c r="N38" s="13" t="inlineStr">
        <is>
          <t>Y / 原文正文或图注数值</t>
        </is>
      </c>
      <c r="O38" s="13" t="inlineStr">
        <is>
          <t>原文指出前200h由9.7%降至9.2%，其后维持至500h；原“after 500h”应写作后期稳定值</t>
        </is>
      </c>
      <c r="P38" s="13" t="inlineStr">
        <is>
          <t>https://www.nature.com/articles/s41467-019-11349-9</t>
        </is>
      </c>
      <c r="Q38" s="13" t="inlineStr">
        <is>
          <t>建议 correct（须人工确认源页）</t>
        </is>
      </c>
      <c r="R38" s="13" t="inlineStr">
        <is>
          <t>高</t>
        </is>
      </c>
      <c r="S38" s="13" t="inlineStr">
        <is>
          <t>仅需独立作者确认</t>
        </is>
      </c>
    </row>
    <row r="39" ht="47" customHeight="1">
      <c r="A39" s="15" t="n">
        <v>38</v>
      </c>
      <c r="B39" s="15" t="inlineStr">
        <is>
          <t>Frei 2019</t>
        </is>
      </c>
      <c r="C39" s="15" t="inlineStr">
        <is>
          <t>10.1038/s41467-019-11349-9</t>
        </is>
      </c>
      <c r="D39" s="15" t="inlineStr">
        <is>
          <t>CP</t>
        </is>
      </c>
      <c r="E39" s="15" t="inlineStr">
        <is>
          <t>Fig. 6/text Pd–In2O3 CP stability, start</t>
        </is>
      </c>
      <c r="F39" s="15" t="inlineStr">
        <is>
          <t>temperature</t>
        </is>
      </c>
      <c r="G39" s="15" t="inlineStr">
        <is>
          <t>279.85</t>
        </is>
      </c>
      <c r="H39" s="15" t="inlineStr">
        <is>
          <t>°C (from K)</t>
        </is>
      </c>
      <c r="I39" s="15" t="inlineStr"/>
      <c r="J39" s="15" t="inlineStr">
        <is>
          <t>Fig. 6 and Results text</t>
        </is>
      </c>
      <c r="K39" s="17" t="inlineStr">
        <is>
          <t>01 数值相符 / 引文修订</t>
        </is>
      </c>
      <c r="L39" s="15" t="inlineStr">
        <is>
          <t>553 K = 279.85 °C</t>
        </is>
      </c>
      <c r="M39" s="15" t="inlineStr">
        <is>
          <t>Frei 2019, Fig.6 caption and main text</t>
        </is>
      </c>
      <c r="N39" s="15" t="inlineStr">
        <is>
          <t>C / K换算°C</t>
        </is>
      </c>
      <c r="O39" s="15" t="inlineStr">
        <is>
          <t>原文553 K；摄氏温度为推算值，280 °C为常用四舍五入</t>
        </is>
      </c>
      <c r="P39" s="15" t="inlineStr">
        <is>
          <t>https://www.nature.com/articles/s41467-019-11349-9</t>
        </is>
      </c>
      <c r="Q39" s="15" t="inlineStr">
        <is>
          <t>建议 correct（须人工确认源页）</t>
        </is>
      </c>
      <c r="R39" s="15" t="inlineStr">
        <is>
          <t>高</t>
        </is>
      </c>
      <c r="S39" s="15" t="inlineStr">
        <is>
          <t>仅需独立作者确认</t>
        </is>
      </c>
    </row>
    <row r="40" ht="47" customHeight="1">
      <c r="A40" s="13" t="n">
        <v>39</v>
      </c>
      <c r="B40" s="13" t="inlineStr">
        <is>
          <t>Frei 2019</t>
        </is>
      </c>
      <c r="C40" s="13" t="inlineStr">
        <is>
          <t>10.1038/s41467-019-11349-9</t>
        </is>
      </c>
      <c r="D40" s="13" t="inlineStr">
        <is>
          <t>CP</t>
        </is>
      </c>
      <c r="E40" s="13" t="inlineStr">
        <is>
          <t>Fig. 6/text Pd–In2O3 CP stability, start</t>
        </is>
      </c>
      <c r="F40" s="13" t="inlineStr">
        <is>
          <t>pressure</t>
        </is>
      </c>
      <c r="G40" s="13" t="inlineStr">
        <is>
          <t>50</t>
        </is>
      </c>
      <c r="H40" s="13" t="inlineStr">
        <is>
          <t>bar</t>
        </is>
      </c>
      <c r="I40" s="13" t="inlineStr"/>
      <c r="J40" s="13" t="inlineStr">
        <is>
          <t>Fig. 6 and Results text</t>
        </is>
      </c>
      <c r="K40" s="17" t="inlineStr">
        <is>
          <t>01 数值相符 / 引文修订</t>
        </is>
      </c>
      <c r="L40" s="13" t="inlineStr">
        <is>
          <t>5 MPa = 50 bar</t>
        </is>
      </c>
      <c r="M40" s="13" t="inlineStr">
        <is>
          <t>Frei 2019, 500-h Fig.6 text / experimental conditions</t>
        </is>
      </c>
      <c r="N40" s="13" t="inlineStr">
        <is>
          <t>C / MPa换算bar</t>
        </is>
      </c>
      <c r="O40" s="13" t="inlineStr">
        <is>
          <t>可从正文确认 5 MPa；原 Excel 将该工况挂在 Table 2，建议以 Fig.6 正文作为一手定位</t>
        </is>
      </c>
      <c r="P40" s="13" t="inlineStr">
        <is>
          <t>https://www.nature.com/articles/s41467-019-11349-9</t>
        </is>
      </c>
      <c r="Q40" s="13" t="inlineStr">
        <is>
          <t>建议 correct（须人工确认源页）</t>
        </is>
      </c>
      <c r="R40" s="13" t="inlineStr">
        <is>
          <t>高</t>
        </is>
      </c>
      <c r="S40" s="13" t="inlineStr">
        <is>
          <t>仅需独立作者确认</t>
        </is>
      </c>
    </row>
    <row r="41" ht="47" customHeight="1">
      <c r="A41" s="15" t="n">
        <v>40</v>
      </c>
      <c r="B41" s="15" t="inlineStr">
        <is>
          <t>Frei 2019</t>
        </is>
      </c>
      <c r="C41" s="15" t="inlineStr">
        <is>
          <t>10.1038/s41467-019-11349-9</t>
        </is>
      </c>
      <c r="D41" s="15" t="inlineStr">
        <is>
          <t>Pd–In2O3 CP</t>
        </is>
      </c>
      <c r="E41" s="15" t="inlineStr">
        <is>
          <t>Table 2 Pd–In2O3 CP, WHSV 48,000 initial</t>
        </is>
      </c>
      <c r="F41" s="15" t="inlineStr">
        <is>
          <t>CO2 conversion</t>
        </is>
      </c>
      <c r="G41" s="15" t="inlineStr">
        <is>
          <t>9.7</t>
        </is>
      </c>
      <c r="H41" s="15" t="inlineStr">
        <is>
          <t>%</t>
        </is>
      </c>
      <c r="I41" s="15" t="inlineStr">
        <is>
          <t>=</t>
        </is>
      </c>
      <c r="J41" s="15" t="inlineStr">
        <is>
          <t>Table 2</t>
        </is>
      </c>
      <c r="K41" s="17" t="inlineStr">
        <is>
          <t>01 数值相符 / 引文修订</t>
        </is>
      </c>
      <c r="L41" s="15" t="inlineStr">
        <is>
          <t>9.7% (原文正文描述500 h stability实验)</t>
        </is>
      </c>
      <c r="M41" s="15" t="inlineStr">
        <is>
          <t>原文 PDF p8 Fig.6 相邻正文（而非 Table 2）</t>
        </is>
      </c>
      <c r="N41" s="15" t="inlineStr">
        <is>
          <t>Y / 原文正文明确数字</t>
        </is>
      </c>
      <c r="O41" s="15" t="inlineStr">
        <is>
          <t>Table 2没有CO₂ conversion列，原表将9.7%定位Table2有误；核对的是相同500 h稳定性序列起点。</t>
        </is>
      </c>
      <c r="P41" s="15" t="inlineStr">
        <is>
          <t>https://www.nature.com/articles/s41467-019-11349-9</t>
        </is>
      </c>
      <c r="Q41" s="15" t="inlineStr">
        <is>
          <t>数值正确，需修正定位</t>
        </is>
      </c>
      <c r="R41" s="15" t="inlineStr">
        <is>
          <t>高</t>
        </is>
      </c>
      <c r="S41" s="15" t="inlineStr">
        <is>
          <t>修正原表 #40 的 source_location</t>
        </is>
      </c>
    </row>
    <row r="42" ht="47" customHeight="1">
      <c r="A42" s="13" t="n">
        <v>41</v>
      </c>
      <c r="B42" s="13" t="inlineStr">
        <is>
          <t>Dang 2020</t>
        </is>
      </c>
      <c r="C42" s="13" t="inlineStr">
        <is>
          <t>10.1126/sciadv.aaz2060</t>
        </is>
      </c>
      <c r="D42" s="13" t="inlineStr">
        <is>
          <t>h–In2O3-R</t>
        </is>
      </c>
      <c r="E42" s="13" t="inlineStr">
        <is>
          <t>Fig. 5B/C, h–In2O3-R, 240°C, standard feed</t>
        </is>
      </c>
      <c r="F42" s="13" t="inlineStr">
        <is>
          <t>space velocity</t>
        </is>
      </c>
      <c r="G42" s="13" t="inlineStr">
        <is>
          <t>9000 ml gcat−1 hour−1</t>
        </is>
      </c>
      <c r="H42" s="13" t="inlineStr">
        <is>
          <t>as printed</t>
        </is>
      </c>
      <c r="I42" s="13" t="inlineStr"/>
      <c r="J42" s="13" t="inlineStr">
        <is>
          <t>Figure 5B and Figure 5C</t>
        </is>
      </c>
      <c r="K42" s="17" t="inlineStr">
        <is>
          <t>01 数值相符 / 引文修订</t>
        </is>
      </c>
      <c r="L42" s="13" t="inlineStr">
        <is>
          <t>9000 mL gcat⁻¹ h⁻¹</t>
        </is>
      </c>
      <c r="M42" s="13" t="inlineStr">
        <is>
          <t>原文PDF p7 Fig5图注 标准实验条件</t>
        </is>
      </c>
      <c r="N42" s="13" t="inlineStr">
        <is>
          <t>Y / 图注直接印刷</t>
        </is>
      </c>
      <c r="O42" s="13" t="inlineStr">
        <is>
          <t>这是该组图各子图共用的GHSV，不是由柱状图读出的速率。</t>
        </is>
      </c>
      <c r="P42" s="13" t="inlineStr">
        <is>
          <t>https://doi.org/10.1126/sciadv.aaz2060</t>
        </is>
      </c>
      <c r="Q42" s="13" t="inlineStr">
        <is>
          <t>建议 correct（须人工确认源页）</t>
        </is>
      </c>
      <c r="R42" s="13" t="inlineStr">
        <is>
          <t>高</t>
        </is>
      </c>
      <c r="S42" s="13" t="inlineStr">
        <is>
          <t>仅需独立作者确认</t>
        </is>
      </c>
    </row>
    <row r="43" ht="47" customHeight="1">
      <c r="A43" s="15" t="n">
        <v>42</v>
      </c>
      <c r="B43" s="15" t="inlineStr">
        <is>
          <t>Dang 2020</t>
        </is>
      </c>
      <c r="C43" s="15" t="inlineStr">
        <is>
          <t>10.1126/sciadv.aaz2060</t>
        </is>
      </c>
      <c r="D43" s="15" t="inlineStr">
        <is>
          <t>h–In2O3-R</t>
        </is>
      </c>
      <c r="E43" s="15" t="inlineStr">
        <is>
          <t>Fig. 5E/text, h–In2O3-R stability, initial</t>
        </is>
      </c>
      <c r="F43" s="15" t="inlineStr">
        <is>
          <t>CH3OH selectivity</t>
        </is>
      </c>
      <c r="G43" s="15" t="inlineStr">
        <is>
          <t>71</t>
        </is>
      </c>
      <c r="H43" s="15" t="inlineStr">
        <is>
          <t>%</t>
        </is>
      </c>
      <c r="I43" s="15" t="inlineStr">
        <is>
          <t>=</t>
        </is>
      </c>
      <c r="J43" s="15" t="inlineStr">
        <is>
          <t>Figure 5E and text on page 6</t>
        </is>
      </c>
      <c r="K43" s="17" t="inlineStr">
        <is>
          <t>01 数值相符 / 引文修订</t>
        </is>
      </c>
      <c r="L43" s="15" t="inlineStr">
        <is>
          <t>Methanol selectivity from 71% to 85% during first 44 h</t>
        </is>
      </c>
      <c r="M43" s="15" t="inlineStr">
        <is>
          <t>原文PDF p6 Fig5E相关正文稳定性讨论</t>
        </is>
      </c>
      <c r="N43" s="15" t="inlineStr">
        <is>
          <t>Y / 正文直接印刷</t>
        </is>
      </c>
      <c r="O43" s="15" t="inlineStr">
        <is>
          <t>71%确实写在正文中，是初始选择性，不是曲线读图估计。</t>
        </is>
      </c>
      <c r="P43" s="15" t="inlineStr">
        <is>
          <t>https://doi.org/10.1126/sciadv.aaz2060</t>
        </is>
      </c>
      <c r="Q43" s="15" t="inlineStr">
        <is>
          <t>建议 correct（须人工确认源页）</t>
        </is>
      </c>
      <c r="R43" s="15" t="inlineStr">
        <is>
          <t>高</t>
        </is>
      </c>
      <c r="S43" s="15" t="inlineStr">
        <is>
          <t>仅需独立作者确认</t>
        </is>
      </c>
    </row>
    <row r="44" ht="47" customHeight="1">
      <c r="A44" s="13" t="n">
        <v>43</v>
      </c>
      <c r="B44" s="13" t="inlineStr">
        <is>
          <t>Dang 2020</t>
        </is>
      </c>
      <c r="C44" s="13" t="inlineStr">
        <is>
          <t>10.1126/sciadv.aaz2060</t>
        </is>
      </c>
      <c r="D44" s="13" t="inlineStr">
        <is>
          <t>h–In2O3-R</t>
        </is>
      </c>
      <c r="E44" s="13" t="inlineStr">
        <is>
          <t>Fig. 5B/C, h–In2O3-R, 240°C, standard feed</t>
        </is>
      </c>
      <c r="F44" s="13" t="inlineStr">
        <is>
          <t>temperature</t>
        </is>
      </c>
      <c r="G44" s="13" t="inlineStr">
        <is>
          <t>240</t>
        </is>
      </c>
      <c r="H44" s="13" t="inlineStr">
        <is>
          <t>°C (from K)</t>
        </is>
      </c>
      <c r="I44" s="13" t="inlineStr"/>
      <c r="J44" s="13" t="inlineStr">
        <is>
          <t>Figure 5B and Figure 5C</t>
        </is>
      </c>
      <c r="K44" s="17" t="inlineStr">
        <is>
          <t>01 数值相符 / 引文修订</t>
        </is>
      </c>
      <c r="L44" s="13" t="inlineStr">
        <is>
          <t>240°C/360°C（温度扫描端点）</t>
        </is>
      </c>
      <c r="M44" s="13" t="inlineStr">
        <is>
          <t>原文PDF p6 Fig5B/C 正文指出240°C→360°C；图p7</t>
        </is>
      </c>
      <c r="N44" s="13" t="inlineStr">
        <is>
          <t>Y / 正文直接印刷</t>
        </is>
      </c>
      <c r="O44" s="13" t="inlineStr">
        <is>
          <t>温度系列端点在正文中明确写出，可不依赖图像数字化。</t>
        </is>
      </c>
      <c r="P44" s="13" t="inlineStr">
        <is>
          <t>https://doi.org/10.1126/sciadv.aaz2060</t>
        </is>
      </c>
      <c r="Q44" s="13" t="inlineStr">
        <is>
          <t>建议 correct（须人工确认源页）</t>
        </is>
      </c>
      <c r="R44" s="13" t="inlineStr">
        <is>
          <t>高</t>
        </is>
      </c>
      <c r="S44" s="13" t="inlineStr">
        <is>
          <t>仅需独立作者确认</t>
        </is>
      </c>
    </row>
    <row r="45" ht="47" customHeight="1">
      <c r="A45" s="15" t="n">
        <v>44</v>
      </c>
      <c r="B45" s="15" t="inlineStr">
        <is>
          <t>Dang 2020</t>
        </is>
      </c>
      <c r="C45" s="15" t="inlineStr">
        <is>
          <t>10.1126/sciadv.aaz2060</t>
        </is>
      </c>
      <c r="D45" s="15" t="inlineStr">
        <is>
          <t>h–In2O3-R</t>
        </is>
      </c>
      <c r="E45" s="15" t="inlineStr">
        <is>
          <t>Fig. 5E/text, h–In2O3-R stability, 44 h</t>
        </is>
      </c>
      <c r="F45" s="15" t="inlineStr">
        <is>
          <t>pressure</t>
        </is>
      </c>
      <c r="G45" s="15" t="inlineStr">
        <is>
          <t>50</t>
        </is>
      </c>
      <c r="H45" s="15" t="inlineStr">
        <is>
          <t>bar</t>
        </is>
      </c>
      <c r="I45" s="15" t="inlineStr"/>
      <c r="J45" s="15" t="inlineStr">
        <is>
          <t>Figure 5E and text on page 6</t>
        </is>
      </c>
      <c r="K45" s="17" t="inlineStr">
        <is>
          <t>01 数值相符 / 引文修订</t>
        </is>
      </c>
      <c r="L45" s="15" t="inlineStr">
        <is>
          <t>5.0 MPa = 50 bar</t>
        </is>
      </c>
      <c r="M45" s="15" t="inlineStr">
        <is>
          <t>原文PDF p7 Fig5图注 标准压力5.0 MPa</t>
        </is>
      </c>
      <c r="N45" s="15" t="inlineStr">
        <is>
          <t>C / 原文MPa换算bar</t>
        </is>
      </c>
      <c r="O45" s="15" t="inlineStr">
        <is>
          <t>主文打印MPa，Excel为bar；44h、起点和360°C共用条件，不能说原文写50bar。</t>
        </is>
      </c>
      <c r="P45" s="15" t="inlineStr">
        <is>
          <t>https://doi.org/10.1126/sciadv.aaz2060</t>
        </is>
      </c>
      <c r="Q45" s="15" t="inlineStr">
        <is>
          <t>建议 correct（须人工确认源页）</t>
        </is>
      </c>
      <c r="R45" s="15" t="inlineStr">
        <is>
          <t>高</t>
        </is>
      </c>
      <c r="S45" s="15" t="inlineStr">
        <is>
          <t>仅需独立作者确认</t>
        </is>
      </c>
    </row>
    <row r="46" ht="47" customHeight="1">
      <c r="A46" s="13" t="n">
        <v>45</v>
      </c>
      <c r="B46" s="13" t="inlineStr">
        <is>
          <t>Dang 2020</t>
        </is>
      </c>
      <c r="C46" s="13" t="inlineStr">
        <is>
          <t>10.1126/sciadv.aaz2060</t>
        </is>
      </c>
      <c r="D46" s="13" t="inlineStr">
        <is>
          <t>h–In2O3-R</t>
        </is>
      </c>
      <c r="E46" s="13" t="inlineStr">
        <is>
          <t>Fig. 5E/text, h–In2O3-R stability, initial</t>
        </is>
      </c>
      <c r="F46" s="13" t="inlineStr">
        <is>
          <t>H2/CO2</t>
        </is>
      </c>
      <c r="G46" s="13" t="inlineStr">
        <is>
          <t>3.041666666666667</t>
        </is>
      </c>
      <c r="H46" s="13" t="inlineStr">
        <is>
          <t>mol/mol</t>
        </is>
      </c>
      <c r="I46" s="13" t="inlineStr"/>
      <c r="J46" s="13" t="inlineStr">
        <is>
          <t>Figure 5E and text on page 6</t>
        </is>
      </c>
      <c r="K46" s="19" t="inlineStr">
        <is>
          <t>02 数值可溯源但经推算</t>
        </is>
      </c>
      <c r="L46" s="13" t="inlineStr">
        <is>
          <t>H₂:CO₂:N₂ = 73:24:3 → H₂/CO₂ = 73/24</t>
        </is>
      </c>
      <c r="M46" s="13" t="inlineStr">
        <is>
          <t>原文PDF p7 Fig5图注</t>
        </is>
      </c>
      <c r="N46" s="13" t="inlineStr">
        <is>
          <t>D / 由正文组成推导的比值</t>
        </is>
      </c>
      <c r="O46" s="13" t="inlineStr">
        <is>
          <t>3.0416666667不是印刷数字；应标记为derived。保留H₂/CO₂比同时不忘进料还含N₂。</t>
        </is>
      </c>
      <c r="P46" s="13" t="inlineStr">
        <is>
          <t>https://doi.org/10.1126/sciadv.aaz2060</t>
        </is>
      </c>
      <c r="Q46" s="13" t="inlineStr">
        <is>
          <t>建议 correct/derived 分开报告；不是直印值</t>
        </is>
      </c>
      <c r="R46" s="13" t="inlineStr">
        <is>
          <t>高</t>
        </is>
      </c>
      <c r="S46" s="13" t="inlineStr">
        <is>
          <t>需核原始文章/源数据</t>
        </is>
      </c>
    </row>
    <row r="47" ht="47" customHeight="1">
      <c r="A47" s="15" t="n">
        <v>46</v>
      </c>
      <c r="B47" s="15" t="inlineStr">
        <is>
          <t>Dang 2020</t>
        </is>
      </c>
      <c r="C47" s="15" t="inlineStr">
        <is>
          <t>10.1126/sciadv.aaz2060</t>
        </is>
      </c>
      <c r="D47" s="15" t="inlineStr">
        <is>
          <t>h–In2O3-R</t>
        </is>
      </c>
      <c r="E47" s="15" t="inlineStr">
        <is>
          <t>Fig. 5E/text, h–In2O3-R stability, initial</t>
        </is>
      </c>
      <c r="F47" s="15" t="inlineStr">
        <is>
          <t>pressure</t>
        </is>
      </c>
      <c r="G47" s="15" t="inlineStr">
        <is>
          <t>50</t>
        </is>
      </c>
      <c r="H47" s="15" t="inlineStr">
        <is>
          <t>bar</t>
        </is>
      </c>
      <c r="I47" s="15" t="inlineStr"/>
      <c r="J47" s="15" t="inlineStr">
        <is>
          <t>Figure 5E and text on page 6</t>
        </is>
      </c>
      <c r="K47" s="17" t="inlineStr">
        <is>
          <t>01 数值相符 / 引文修订</t>
        </is>
      </c>
      <c r="L47" s="15" t="inlineStr">
        <is>
          <t>5.0 MPa = 50 bar</t>
        </is>
      </c>
      <c r="M47" s="15" t="inlineStr">
        <is>
          <t>原文PDF p7 Fig5图注 标准压力5.0 MPa</t>
        </is>
      </c>
      <c r="N47" s="15" t="inlineStr">
        <is>
          <t>C / 原文MPa换算bar</t>
        </is>
      </c>
      <c r="O47" s="15" t="inlineStr">
        <is>
          <t>主文打印MPa，Excel为bar；44h、起点和360°C共用条件，不能说原文写50bar。</t>
        </is>
      </c>
      <c r="P47" s="15" t="inlineStr">
        <is>
          <t>https://doi.org/10.1126/sciadv.aaz2060</t>
        </is>
      </c>
      <c r="Q47" s="15" t="inlineStr">
        <is>
          <t>建议 correct（须人工确认源页）</t>
        </is>
      </c>
      <c r="R47" s="15" t="inlineStr">
        <is>
          <t>高</t>
        </is>
      </c>
      <c r="S47" s="15" t="inlineStr">
        <is>
          <t>仅需独立作者确认</t>
        </is>
      </c>
    </row>
    <row r="48" ht="47" customHeight="1">
      <c r="A48" s="13" t="n">
        <v>47</v>
      </c>
      <c r="B48" s="13" t="inlineStr">
        <is>
          <t>Dang 2020</t>
        </is>
      </c>
      <c r="C48" s="13" t="inlineStr">
        <is>
          <t>10.1126/sciadv.aaz2060</t>
        </is>
      </c>
      <c r="D48" s="13" t="inlineStr">
        <is>
          <t>h–In2O3-R</t>
        </is>
      </c>
      <c r="E48" s="13" t="inlineStr">
        <is>
          <t>Fig. 5E/text, h–In2O3-R stability, 44 h</t>
        </is>
      </c>
      <c r="F48" s="13" t="inlineStr">
        <is>
          <t>space velocity</t>
        </is>
      </c>
      <c r="G48" s="13" t="inlineStr">
        <is>
          <t>9000 ml gcat−1 hour−1</t>
        </is>
      </c>
      <c r="H48" s="13" t="inlineStr">
        <is>
          <t>as printed</t>
        </is>
      </c>
      <c r="I48" s="13" t="inlineStr"/>
      <c r="J48" s="13" t="inlineStr">
        <is>
          <t>Figure 5E and text on page 6</t>
        </is>
      </c>
      <c r="K48" s="17" t="inlineStr">
        <is>
          <t>01 数值相符 / 引文修订</t>
        </is>
      </c>
      <c r="L48" s="13" t="inlineStr">
        <is>
          <t>9000 mL gcat⁻¹ h⁻¹</t>
        </is>
      </c>
      <c r="M48" s="13" t="inlineStr">
        <is>
          <t>原文PDF p7 Fig5图注 标准实验条件</t>
        </is>
      </c>
      <c r="N48" s="13" t="inlineStr">
        <is>
          <t>Y / 图注直接印刷</t>
        </is>
      </c>
      <c r="O48" s="13" t="inlineStr">
        <is>
          <t>这是该组图各子图共用的GHSV，不是由柱状图读出的速率。</t>
        </is>
      </c>
      <c r="P48" s="13" t="inlineStr">
        <is>
          <t>https://doi.org/10.1126/sciadv.aaz2060</t>
        </is>
      </c>
      <c r="Q48" s="13" t="inlineStr">
        <is>
          <t>建议 correct（须人工确认源页）</t>
        </is>
      </c>
      <c r="R48" s="13" t="inlineStr">
        <is>
          <t>高</t>
        </is>
      </c>
      <c r="S48" s="13" t="inlineStr">
        <is>
          <t>仅需独立作者确认</t>
        </is>
      </c>
    </row>
    <row r="49" ht="47" customHeight="1">
      <c r="A49" s="15" t="n">
        <v>48</v>
      </c>
      <c r="B49" s="15" t="inlineStr">
        <is>
          <t>Dang 2020</t>
        </is>
      </c>
      <c r="C49" s="15" t="inlineStr">
        <is>
          <t>10.1126/sciadv.aaz2060</t>
        </is>
      </c>
      <c r="D49" s="15" t="inlineStr">
        <is>
          <t>h–In2O3-R</t>
        </is>
      </c>
      <c r="E49" s="15" t="inlineStr">
        <is>
          <t>Fig. 5B/C, h–In2O3-R, 360°C, standard feed</t>
        </is>
      </c>
      <c r="F49" s="15" t="inlineStr">
        <is>
          <t>temperature</t>
        </is>
      </c>
      <c r="G49" s="15" t="inlineStr">
        <is>
          <t>360</t>
        </is>
      </c>
      <c r="H49" s="15" t="inlineStr">
        <is>
          <t>°C (from K)</t>
        </is>
      </c>
      <c r="I49" s="15" t="inlineStr"/>
      <c r="J49" s="15" t="inlineStr">
        <is>
          <t>Figure 5B and Figure 5C</t>
        </is>
      </c>
      <c r="K49" s="17" t="inlineStr">
        <is>
          <t>01 数值相符 / 引文修订</t>
        </is>
      </c>
      <c r="L49" s="15" t="inlineStr">
        <is>
          <t>240°C/360°C（温度扫描端点）</t>
        </is>
      </c>
      <c r="M49" s="15" t="inlineStr">
        <is>
          <t>原文PDF p6 Fig5B/C 正文指出240°C→360°C；图p7</t>
        </is>
      </c>
      <c r="N49" s="15" t="inlineStr">
        <is>
          <t>Y / 正文直接印刷</t>
        </is>
      </c>
      <c r="O49" s="15" t="inlineStr">
        <is>
          <t>温度系列端点在正文中明确写出，可不依赖图像数字化。</t>
        </is>
      </c>
      <c r="P49" s="15" t="inlineStr">
        <is>
          <t>https://doi.org/10.1126/sciadv.aaz2060</t>
        </is>
      </c>
      <c r="Q49" s="15" t="inlineStr">
        <is>
          <t>建议 correct（须人工确认源页）</t>
        </is>
      </c>
      <c r="R49" s="15" t="inlineStr">
        <is>
          <t>高</t>
        </is>
      </c>
      <c r="S49" s="15" t="inlineStr">
        <is>
          <t>仅需独立作者确认</t>
        </is>
      </c>
    </row>
    <row r="50" ht="47" customHeight="1">
      <c r="A50" s="13" t="n">
        <v>49</v>
      </c>
      <c r="B50" s="13" t="inlineStr">
        <is>
          <t>Dang 2020</t>
        </is>
      </c>
      <c r="C50" s="13" t="inlineStr">
        <is>
          <t>10.1126/sciadv.aaz2060</t>
        </is>
      </c>
      <c r="D50" s="13" t="inlineStr">
        <is>
          <t>h–In2O3-R</t>
        </is>
      </c>
      <c r="E50" s="13" t="inlineStr">
        <is>
          <t>Fig. 5B/C, h–In2O3-R, 360°C, standard feed</t>
        </is>
      </c>
      <c r="F50" s="13" t="inlineStr">
        <is>
          <t>CO2 conversion</t>
        </is>
      </c>
      <c r="G50" s="13" t="inlineStr">
        <is>
          <t>15.4</t>
        </is>
      </c>
      <c r="H50" s="13" t="inlineStr">
        <is>
          <t>%</t>
        </is>
      </c>
      <c r="I50" s="13" t="inlineStr">
        <is>
          <t>=</t>
        </is>
      </c>
      <c r="J50" s="13" t="inlineStr">
        <is>
          <t>Figure 5B and Figure 5C</t>
        </is>
      </c>
      <c r="K50" s="17" t="inlineStr">
        <is>
          <t>01 数值相符 / 引文修订</t>
        </is>
      </c>
      <c r="L50" s="13" t="inlineStr">
        <is>
          <t>CO₂ conversion increases from 3.2% to 15.4%</t>
        </is>
      </c>
      <c r="M50" s="13" t="inlineStr">
        <is>
          <t>原文PDF p6 Fig5B温度扫描正文</t>
        </is>
      </c>
      <c r="N50" s="13" t="inlineStr">
        <is>
          <t>Y / 正文直接印刷</t>
        </is>
      </c>
      <c r="O50" s="13" t="inlineStr">
        <is>
          <t>15.4%在正文明确印刷；不应误判为Fig5B单纯读图值。</t>
        </is>
      </c>
      <c r="P50" s="13" t="inlineStr">
        <is>
          <t>https://doi.org/10.1126/sciadv.aaz2060</t>
        </is>
      </c>
      <c r="Q50" s="13" t="inlineStr">
        <is>
          <t>建议 correct（须人工确认源页）</t>
        </is>
      </c>
      <c r="R50" s="13" t="inlineStr">
        <is>
          <t>高</t>
        </is>
      </c>
      <c r="S50" s="13" t="inlineStr">
        <is>
          <t>仅需独立作者确认</t>
        </is>
      </c>
    </row>
    <row r="51" ht="47" customHeight="1">
      <c r="A51" s="15" t="n">
        <v>50</v>
      </c>
      <c r="B51" s="15" t="inlineStr">
        <is>
          <t>Dang 2020</t>
        </is>
      </c>
      <c r="C51" s="15" t="inlineStr">
        <is>
          <t>10.1126/sciadv.aaz2060</t>
        </is>
      </c>
      <c r="D51" s="15" t="inlineStr">
        <is>
          <t>h–In2O3-R</t>
        </is>
      </c>
      <c r="E51" s="15" t="inlineStr">
        <is>
          <t>Fig. 5B/C, h–In2O3-R, 360°C, standard feed</t>
        </is>
      </c>
      <c r="F51" s="15" t="inlineStr">
        <is>
          <t>pressure</t>
        </is>
      </c>
      <c r="G51" s="15" t="inlineStr">
        <is>
          <t>50</t>
        </is>
      </c>
      <c r="H51" s="15" t="inlineStr">
        <is>
          <t>bar</t>
        </is>
      </c>
      <c r="I51" s="15" t="inlineStr"/>
      <c r="J51" s="15" t="inlineStr">
        <is>
          <t>Figure 5B and Figure 5C</t>
        </is>
      </c>
      <c r="K51" s="17" t="inlineStr">
        <is>
          <t>01 数值相符 / 引文修订</t>
        </is>
      </c>
      <c r="L51" s="15" t="inlineStr">
        <is>
          <t>5.0 MPa = 50 bar</t>
        </is>
      </c>
      <c r="M51" s="15" t="inlineStr">
        <is>
          <t>原文PDF p7 Fig5图注 标准压力5.0 MPa</t>
        </is>
      </c>
      <c r="N51" s="15" t="inlineStr">
        <is>
          <t>C / 原文MPa换算bar</t>
        </is>
      </c>
      <c r="O51" s="15" t="inlineStr">
        <is>
          <t>主文打印MPa，Excel为bar；44h、起点和360°C共用条件，不能说原文写50bar。</t>
        </is>
      </c>
      <c r="P51" s="15" t="inlineStr">
        <is>
          <t>https://doi.org/10.1126/sciadv.aaz2060</t>
        </is>
      </c>
      <c r="Q51" s="15" t="inlineStr">
        <is>
          <t>建议 correct（须人工确认源页）</t>
        </is>
      </c>
      <c r="R51" s="15" t="inlineStr">
        <is>
          <t>高</t>
        </is>
      </c>
      <c r="S51" s="15" t="inlineStr">
        <is>
          <t>仅需独立作者确认</t>
        </is>
      </c>
    </row>
    <row r="52" ht="47" customHeight="1">
      <c r="A52" s="13" t="n">
        <v>51</v>
      </c>
      <c r="B52" s="13" t="inlineStr">
        <is>
          <t>Gao 2015</t>
        </is>
      </c>
      <c r="C52" s="13" t="inlineStr">
        <is>
          <t>10.1039/c5cy00372e</t>
        </is>
      </c>
      <c r="D52" s="13" t="inlineStr">
        <is>
          <t>CHT-Y0.1</t>
        </is>
      </c>
      <c r="E52" s="13" t="inlineStr">
        <is>
          <t>Table 6 row CHT-Y0.1</t>
        </is>
      </c>
      <c r="F52" s="13" t="inlineStr">
        <is>
          <t>temperature</t>
        </is>
      </c>
      <c r="G52" s="13" t="inlineStr">
        <is>
          <t>229.85</t>
        </is>
      </c>
      <c r="H52" s="13" t="inlineStr">
        <is>
          <t>°C (from K)</t>
        </is>
      </c>
      <c r="I52" s="13" t="inlineStr"/>
      <c r="J52" s="13" t="inlineStr">
        <is>
          <t>Table 6</t>
        </is>
      </c>
      <c r="K52" s="16" t="inlineStr">
        <is>
          <t>04 仅条件或二手佐证</t>
        </is>
      </c>
      <c r="L52" s="13" t="inlineStr">
        <is>
          <t>503 K ≈229.85°C</t>
        </is>
      </c>
      <c r="M52" s="13" t="inlineStr">
        <is>
          <t>原RSC ESI Fig S10 图注写T=503K；但不是主文Table6行</t>
        </is>
      </c>
      <c r="N52" s="13" t="inlineStr">
        <is>
          <t>C / 通用工况换算</t>
        </is>
      </c>
      <c r="O52" s="13" t="inlineStr">
        <is>
          <t>CHT-Y0.1适用性还需要主文Table6的催化剂和温度列；不能充当Table6直接证据。</t>
        </is>
      </c>
      <c r="P52" s="13" t="inlineStr">
        <is>
          <t>https://www.rsc.org/suppdata/c5/cy/c5cy00372e/c5cy00372e1.pdf</t>
        </is>
      </c>
      <c r="Q52" s="13" t="inlineStr">
        <is>
          <t>留空：当前证据不足</t>
        </is>
      </c>
      <c r="R52" s="13" t="inlineStr">
        <is>
          <t>中</t>
        </is>
      </c>
      <c r="S52" s="13" t="inlineStr">
        <is>
          <t>Gao 2015 正文 Table 6 PDF/截图（ESI不含该表）</t>
        </is>
      </c>
    </row>
    <row r="53" ht="47" customHeight="1">
      <c r="A53" s="15" t="n">
        <v>52</v>
      </c>
      <c r="B53" s="15" t="inlineStr">
        <is>
          <t>Gao 2015</t>
        </is>
      </c>
      <c r="C53" s="15" t="inlineStr">
        <is>
          <t>10.1039/c5cy00372e</t>
        </is>
      </c>
      <c r="D53" s="15" t="inlineStr">
        <is>
          <t>CHT-Y0.5</t>
        </is>
      </c>
      <c r="E53" s="15" t="inlineStr">
        <is>
          <t>Table 6 row CHT-Y0.5</t>
        </is>
      </c>
      <c r="F53" s="15" t="inlineStr">
        <is>
          <t>CO selectivity</t>
        </is>
      </c>
      <c r="G53" s="15" t="inlineStr">
        <is>
          <t>33.1</t>
        </is>
      </c>
      <c r="H53" s="15" t="inlineStr">
        <is>
          <t>%</t>
        </is>
      </c>
      <c r="I53" s="15" t="inlineStr">
        <is>
          <t>=</t>
        </is>
      </c>
      <c r="J53" s="15" t="inlineStr">
        <is>
          <t>Table 6</t>
        </is>
      </c>
      <c r="K53" s="14" t="inlineStr">
        <is>
          <t>05 未取得指定原始表行</t>
        </is>
      </c>
      <c r="L53" s="15" t="inlineStr">
        <is>
          <t>原文目标: Gao 2015 Table 6；已获取的ESI无Table6</t>
        </is>
      </c>
      <c r="M53" s="15" t="inlineStr">
        <is>
          <t>主文Table6；RSC 8页 ESI 仅有FigS1–S10，未含Table6</t>
        </is>
      </c>
      <c r="N53" s="15" t="inlineStr">
        <is>
          <t>U / 主文表格未取得</t>
        </is>
      </c>
      <c r="O53" s="15" t="inlineStr">
        <is>
          <t>该补充PDF无法核查CHT-Yx的Table6逐行性能值；需主文PDF或Table6截图。</t>
        </is>
      </c>
      <c r="P53" s="15" t="inlineStr">
        <is>
          <t>https://www.rsc.org/suppdata/c5/cy/c5cy00372e/c5cy00372e1.pdf</t>
        </is>
      </c>
      <c r="Q53" s="15" t="inlineStr">
        <is>
          <t>留空：当前证据不足</t>
        </is>
      </c>
      <c r="R53" s="15" t="inlineStr">
        <is>
          <t>不可判定</t>
        </is>
      </c>
      <c r="S53" s="15" t="inlineStr">
        <is>
          <t>Gao 2015 正文 Table 6 PDF/截图（ESI不含该表）</t>
        </is>
      </c>
    </row>
    <row r="54" ht="47" customHeight="1">
      <c r="A54" s="13" t="n">
        <v>53</v>
      </c>
      <c r="B54" s="13" t="inlineStr">
        <is>
          <t>Gao 2015</t>
        </is>
      </c>
      <c r="C54" s="13" t="inlineStr">
        <is>
          <t>10.1039/c5cy00372e</t>
        </is>
      </c>
      <c r="D54" s="13" t="inlineStr">
        <is>
          <t>CHT-Y0.05</t>
        </is>
      </c>
      <c r="E54" s="13" t="inlineStr">
        <is>
          <t>Table 6 row CHT-Y0.05</t>
        </is>
      </c>
      <c r="F54" s="13" t="inlineStr">
        <is>
          <t>CH4 selectivity</t>
        </is>
      </c>
      <c r="G54" s="13" t="inlineStr">
        <is>
          <t>0.2</t>
        </is>
      </c>
      <c r="H54" s="13" t="inlineStr">
        <is>
          <t>%</t>
        </is>
      </c>
      <c r="I54" s="13" t="inlineStr">
        <is>
          <t>=</t>
        </is>
      </c>
      <c r="J54" s="13" t="inlineStr">
        <is>
          <t>Table 6</t>
        </is>
      </c>
      <c r="K54" s="14" t="inlineStr">
        <is>
          <t>05 未取得指定原始表行</t>
        </is>
      </c>
      <c r="L54" s="13" t="inlineStr">
        <is>
          <t>原文目标: Gao 2015 Table 6；已获取的ESI无Table6</t>
        </is>
      </c>
      <c r="M54" s="13" t="inlineStr">
        <is>
          <t>主文Table6；RSC 8页 ESI 仅有FigS1–S10，未含Table6</t>
        </is>
      </c>
      <c r="N54" s="13" t="inlineStr">
        <is>
          <t>U / 主文表格未取得</t>
        </is>
      </c>
      <c r="O54" s="13" t="inlineStr">
        <is>
          <t>该补充PDF无法核查CHT-Yx的Table6逐行性能值；需主文PDF或Table6截图。</t>
        </is>
      </c>
      <c r="P54" s="13" t="inlineStr">
        <is>
          <t>https://www.rsc.org/suppdata/c5/cy/c5cy00372e/c5cy00372e1.pdf</t>
        </is>
      </c>
      <c r="Q54" s="13" t="inlineStr">
        <is>
          <t>留空：当前证据不足</t>
        </is>
      </c>
      <c r="R54" s="13" t="inlineStr">
        <is>
          <t>不可判定</t>
        </is>
      </c>
      <c r="S54" s="13" t="inlineStr">
        <is>
          <t>Gao 2015 正文 Table 6 PDF/截图（ESI不含该表）</t>
        </is>
      </c>
    </row>
    <row r="55" ht="47" customHeight="1">
      <c r="A55" s="15" t="n">
        <v>54</v>
      </c>
      <c r="B55" s="15" t="inlineStr">
        <is>
          <t>Gao 2015</t>
        </is>
      </c>
      <c r="C55" s="15" t="inlineStr">
        <is>
          <t>10.1039/c5cy00372e</t>
        </is>
      </c>
      <c r="D55" s="15" t="inlineStr">
        <is>
          <t>CHT-Y0</t>
        </is>
      </c>
      <c r="E55" s="15" t="inlineStr">
        <is>
          <t>Table 6 row CHT-Y0</t>
        </is>
      </c>
      <c r="F55" s="15" t="inlineStr">
        <is>
          <t>CO selectivity</t>
        </is>
      </c>
      <c r="G55" s="15" t="inlineStr">
        <is>
          <t>41.6</t>
        </is>
      </c>
      <c r="H55" s="15" t="inlineStr">
        <is>
          <t>%</t>
        </is>
      </c>
      <c r="I55" s="15" t="inlineStr">
        <is>
          <t>=</t>
        </is>
      </c>
      <c r="J55" s="15" t="inlineStr">
        <is>
          <t>Table 6</t>
        </is>
      </c>
      <c r="K55" s="14" t="inlineStr">
        <is>
          <t>05 未取得指定原始表行</t>
        </is>
      </c>
      <c r="L55" s="15" t="inlineStr">
        <is>
          <t>原文目标: Gao 2015 Table 6；已获取的ESI无Table6</t>
        </is>
      </c>
      <c r="M55" s="15" t="inlineStr">
        <is>
          <t>主文Table6；RSC 8页 ESI 仅有FigS1–S10，未含Table6</t>
        </is>
      </c>
      <c r="N55" s="15" t="inlineStr">
        <is>
          <t>U / 主文表格未取得</t>
        </is>
      </c>
      <c r="O55" s="15" t="inlineStr">
        <is>
          <t>该补充PDF无法核查CHT-Yx的Table6逐行性能值；需主文PDF或Table6截图。</t>
        </is>
      </c>
      <c r="P55" s="15" t="inlineStr">
        <is>
          <t>https://www.rsc.org/suppdata/c5/cy/c5cy00372e/c5cy00372e1.pdf</t>
        </is>
      </c>
      <c r="Q55" s="15" t="inlineStr">
        <is>
          <t>留空：当前证据不足</t>
        </is>
      </c>
      <c r="R55" s="15" t="inlineStr">
        <is>
          <t>不可判定</t>
        </is>
      </c>
      <c r="S55" s="15" t="inlineStr">
        <is>
          <t>Gao 2015 正文 Table 6 PDF/截图（ESI不含该表）</t>
        </is>
      </c>
    </row>
    <row r="56" ht="47" customHeight="1">
      <c r="A56" s="13" t="n">
        <v>55</v>
      </c>
      <c r="B56" s="13" t="inlineStr">
        <is>
          <t>Gao 2015</t>
        </is>
      </c>
      <c r="C56" s="13" t="inlineStr">
        <is>
          <t>10.1039/c5cy00372e</t>
        </is>
      </c>
      <c r="D56" s="13" t="inlineStr">
        <is>
          <t>CHT-Y0.2</t>
        </is>
      </c>
      <c r="E56" s="13" t="inlineStr">
        <is>
          <t>Table 6 row CHT-Y0.2</t>
        </is>
      </c>
      <c r="F56" s="13" t="inlineStr">
        <is>
          <t>CH3OH selectivity</t>
        </is>
      </c>
      <c r="G56" s="13" t="inlineStr">
        <is>
          <t>70.5</t>
        </is>
      </c>
      <c r="H56" s="13" t="inlineStr">
        <is>
          <t>%</t>
        </is>
      </c>
      <c r="I56" s="13" t="inlineStr">
        <is>
          <t>=</t>
        </is>
      </c>
      <c r="J56" s="13" t="inlineStr">
        <is>
          <t>Table 6</t>
        </is>
      </c>
      <c r="K56" s="16" t="inlineStr">
        <is>
          <t>04 仅条件或二手佐证</t>
        </is>
      </c>
      <c r="L56" s="13" t="inlineStr">
        <is>
          <t>70.5%（出现在二手汇总表）</t>
        </is>
      </c>
      <c r="M56" s="13" t="inlineStr">
        <is>
          <t>二手综述/汇总记录（尚未获得原始Table6）</t>
        </is>
      </c>
      <c r="N56" s="13" t="inlineStr">
        <is>
          <t>U / 非原始Table6证据</t>
        </is>
      </c>
      <c r="O56" s="13" t="inlineStr">
        <is>
          <t>二手来源不是原始文献；不应根据汇总表对Table6行签署correct。</t>
        </is>
      </c>
      <c r="P56" s="13" t="inlineStr">
        <is>
          <t>https://doi.org/10.1039/c5cy00372e</t>
        </is>
      </c>
      <c r="Q56" s="13" t="inlineStr">
        <is>
          <t>留空：当前证据不足</t>
        </is>
      </c>
      <c r="R56" s="13" t="inlineStr">
        <is>
          <t>低</t>
        </is>
      </c>
      <c r="S56" s="13" t="inlineStr">
        <is>
          <t>Gao 2015 正文 Table 6 PDF/截图（ESI不含该表）</t>
        </is>
      </c>
    </row>
    <row r="57" ht="47" customHeight="1">
      <c r="A57" s="15" t="n">
        <v>56</v>
      </c>
      <c r="B57" s="15" t="inlineStr">
        <is>
          <t>Gao 2015</t>
        </is>
      </c>
      <c r="C57" s="15" t="inlineStr">
        <is>
          <t>10.1039/c5cy00372e</t>
        </is>
      </c>
      <c r="D57" s="15" t="inlineStr">
        <is>
          <t>CHT-Y0</t>
        </is>
      </c>
      <c r="E57" s="15" t="inlineStr">
        <is>
          <t>Table 6 row CHT-Y0</t>
        </is>
      </c>
      <c r="F57" s="15" t="inlineStr">
        <is>
          <t>CH3OH selectivity</t>
        </is>
      </c>
      <c r="G57" s="15" t="inlineStr">
        <is>
          <t>58.1</t>
        </is>
      </c>
      <c r="H57" s="15" t="inlineStr">
        <is>
          <t>%</t>
        </is>
      </c>
      <c r="I57" s="15" t="inlineStr">
        <is>
          <t>=</t>
        </is>
      </c>
      <c r="J57" s="15" t="inlineStr">
        <is>
          <t>Table 6</t>
        </is>
      </c>
      <c r="K57" s="14" t="inlineStr">
        <is>
          <t>05 未取得指定原始表行</t>
        </is>
      </c>
      <c r="L57" s="15" t="inlineStr">
        <is>
          <t>原文目标: Gao 2015 Table 6；已获取的ESI无Table6</t>
        </is>
      </c>
      <c r="M57" s="15" t="inlineStr">
        <is>
          <t>主文Table6；RSC 8页 ESI 仅有FigS1–S10，未含Table6</t>
        </is>
      </c>
      <c r="N57" s="15" t="inlineStr">
        <is>
          <t>U / 主文表格未取得</t>
        </is>
      </c>
      <c r="O57" s="15" t="inlineStr">
        <is>
          <t>该补充PDF无法核查CHT-Yx的Table6逐行性能值；需主文PDF或Table6截图。</t>
        </is>
      </c>
      <c r="P57" s="15" t="inlineStr">
        <is>
          <t>https://www.rsc.org/suppdata/c5/cy/c5cy00372e/c5cy00372e1.pdf</t>
        </is>
      </c>
      <c r="Q57" s="15" t="inlineStr">
        <is>
          <t>留空：当前证据不足</t>
        </is>
      </c>
      <c r="R57" s="15" t="inlineStr">
        <is>
          <t>不可判定</t>
        </is>
      </c>
      <c r="S57" s="15" t="inlineStr">
        <is>
          <t>Gao 2015 正文 Table 6 PDF/截图（ESI不含该表）</t>
        </is>
      </c>
    </row>
    <row r="58" ht="47" customHeight="1">
      <c r="A58" s="13" t="n">
        <v>57</v>
      </c>
      <c r="B58" s="13" t="inlineStr">
        <is>
          <t>Gao 2015</t>
        </is>
      </c>
      <c r="C58" s="13" t="inlineStr">
        <is>
          <t>10.1039/c5cy00372e</t>
        </is>
      </c>
      <c r="D58" s="13" t="inlineStr">
        <is>
          <t>CHT-Y0.2</t>
        </is>
      </c>
      <c r="E58" s="13" t="inlineStr">
        <is>
          <t>Table 6 row CHT-Y0.2</t>
        </is>
      </c>
      <c r="F58" s="13" t="inlineStr">
        <is>
          <t>CH4 selectivity</t>
        </is>
      </c>
      <c r="G58" s="13" t="inlineStr">
        <is>
          <t>0.1</t>
        </is>
      </c>
      <c r="H58" s="13" t="inlineStr">
        <is>
          <t>%</t>
        </is>
      </c>
      <c r="I58" s="13" t="inlineStr">
        <is>
          <t>=</t>
        </is>
      </c>
      <c r="J58" s="13" t="inlineStr">
        <is>
          <t>Table 6</t>
        </is>
      </c>
      <c r="K58" s="14" t="inlineStr">
        <is>
          <t>05 未取得指定原始表行</t>
        </is>
      </c>
      <c r="L58" s="13" t="inlineStr">
        <is>
          <t>原文目标: Gao 2015 Table 6；已获取的ESI无Table6</t>
        </is>
      </c>
      <c r="M58" s="13" t="inlineStr">
        <is>
          <t>主文Table6；RSC 8页 ESI 仅有FigS1–S10，未含Table6</t>
        </is>
      </c>
      <c r="N58" s="13" t="inlineStr">
        <is>
          <t>U / 主文表格未取得</t>
        </is>
      </c>
      <c r="O58" s="13" t="inlineStr">
        <is>
          <t>该补充PDF无法核查CHT-Yx的Table6逐行性能值；需主文PDF或Table6截图。</t>
        </is>
      </c>
      <c r="P58" s="13" t="inlineStr">
        <is>
          <t>https://www.rsc.org/suppdata/c5/cy/c5cy00372e/c5cy00372e1.pdf</t>
        </is>
      </c>
      <c r="Q58" s="13" t="inlineStr">
        <is>
          <t>留空：当前证据不足</t>
        </is>
      </c>
      <c r="R58" s="13" t="inlineStr">
        <is>
          <t>不可判定</t>
        </is>
      </c>
      <c r="S58" s="13" t="inlineStr">
        <is>
          <t>Gao 2015 正文 Table 6 PDF/截图（ESI不含该表）</t>
        </is>
      </c>
    </row>
    <row r="59" ht="47" customHeight="1">
      <c r="A59" s="15" t="n">
        <v>58</v>
      </c>
      <c r="B59" s="15" t="inlineStr">
        <is>
          <t>Gao 2015</t>
        </is>
      </c>
      <c r="C59" s="15" t="inlineStr">
        <is>
          <t>10.1039/c5cy00372e</t>
        </is>
      </c>
      <c r="D59" s="15" t="inlineStr">
        <is>
          <t>CHT-Y0</t>
        </is>
      </c>
      <c r="E59" s="15" t="inlineStr">
        <is>
          <t>Table 6 row CHT-Y0</t>
        </is>
      </c>
      <c r="F59" s="15" t="inlineStr">
        <is>
          <t>CH4 selectivity</t>
        </is>
      </c>
      <c r="G59" s="15" t="inlineStr">
        <is>
          <t>0.3</t>
        </is>
      </c>
      <c r="H59" s="15" t="inlineStr">
        <is>
          <t>%</t>
        </is>
      </c>
      <c r="I59" s="15" t="inlineStr">
        <is>
          <t>=</t>
        </is>
      </c>
      <c r="J59" s="15" t="inlineStr">
        <is>
          <t>Table 6</t>
        </is>
      </c>
      <c r="K59" s="14" t="inlineStr">
        <is>
          <t>05 未取得指定原始表行</t>
        </is>
      </c>
      <c r="L59" s="15" t="inlineStr">
        <is>
          <t>原文目标: Gao 2015 Table 6；已获取的ESI无Table6</t>
        </is>
      </c>
      <c r="M59" s="15" t="inlineStr">
        <is>
          <t>主文Table6；RSC 8页 ESI 仅有FigS1–S10，未含Table6</t>
        </is>
      </c>
      <c r="N59" s="15" t="inlineStr">
        <is>
          <t>U / 主文表格未取得</t>
        </is>
      </c>
      <c r="O59" s="15" t="inlineStr">
        <is>
          <t>该补充PDF无法核查CHT-Yx的Table6逐行性能值；需主文PDF或Table6截图。</t>
        </is>
      </c>
      <c r="P59" s="15" t="inlineStr">
        <is>
          <t>https://www.rsc.org/suppdata/c5/cy/c5cy00372e/c5cy00372e1.pdf</t>
        </is>
      </c>
      <c r="Q59" s="15" t="inlineStr">
        <is>
          <t>留空：当前证据不足</t>
        </is>
      </c>
      <c r="R59" s="15" t="inlineStr">
        <is>
          <t>不可判定</t>
        </is>
      </c>
      <c r="S59" s="15" t="inlineStr">
        <is>
          <t>Gao 2015 正文 Table 6 PDF/截图（ESI不含该表）</t>
        </is>
      </c>
    </row>
    <row r="60" ht="47" customHeight="1">
      <c r="A60" s="13" t="n">
        <v>59</v>
      </c>
      <c r="B60" s="13" t="inlineStr">
        <is>
          <t>Gao 2015</t>
        </is>
      </c>
      <c r="C60" s="13" t="inlineStr">
        <is>
          <t>10.1039/c5cy00372e</t>
        </is>
      </c>
      <c r="D60" s="13" t="inlineStr">
        <is>
          <t>CHT-Y0.1</t>
        </is>
      </c>
      <c r="E60" s="13" t="inlineStr">
        <is>
          <t>Table 6 row CHT-Y0.1</t>
        </is>
      </c>
      <c r="F60" s="13" t="inlineStr">
        <is>
          <t>STY (printed)</t>
        </is>
      </c>
      <c r="G60" s="13" t="inlineStr">
        <is>
          <t>0.39 g gcat−1 h−1</t>
        </is>
      </c>
      <c r="H60" s="13" t="inlineStr">
        <is>
          <t>as printed</t>
        </is>
      </c>
      <c r="I60" s="13" t="inlineStr">
        <is>
          <t>=</t>
        </is>
      </c>
      <c r="J60" s="13" t="inlineStr">
        <is>
          <t>Table 6</t>
        </is>
      </c>
      <c r="K60" s="14" t="inlineStr">
        <is>
          <t>05 未取得指定原始表行</t>
        </is>
      </c>
      <c r="L60" s="13" t="inlineStr">
        <is>
          <t>原文目标: Gao 2015 Table 6；已获取的ESI无Table6</t>
        </is>
      </c>
      <c r="M60" s="13" t="inlineStr">
        <is>
          <t>主文Table6；RSC 8页 ESI 仅有FigS1–S10，未含Table6</t>
        </is>
      </c>
      <c r="N60" s="13" t="inlineStr">
        <is>
          <t>U / 主文表格未取得</t>
        </is>
      </c>
      <c r="O60" s="13" t="inlineStr">
        <is>
          <t>该补充PDF无法核查CHT-Yx的Table6逐行性能值；需主文PDF或Table6截图。</t>
        </is>
      </c>
      <c r="P60" s="13" t="inlineStr">
        <is>
          <t>https://www.rsc.org/suppdata/c5/cy/c5cy00372e/c5cy00372e1.pdf</t>
        </is>
      </c>
      <c r="Q60" s="13" t="inlineStr">
        <is>
          <t>留空：当前证据不足</t>
        </is>
      </c>
      <c r="R60" s="13" t="inlineStr">
        <is>
          <t>不可判定</t>
        </is>
      </c>
      <c r="S60" s="13" t="inlineStr">
        <is>
          <t>Gao 2015 正文 Table 6 PDF/截图（ESI不含该表）</t>
        </is>
      </c>
    </row>
    <row r="61" ht="47" customHeight="1">
      <c r="A61" s="15" t="n">
        <v>60</v>
      </c>
      <c r="B61" s="15" t="inlineStr">
        <is>
          <t>Gao 2015</t>
        </is>
      </c>
      <c r="C61" s="15" t="inlineStr">
        <is>
          <t>10.1039/c5cy00372e</t>
        </is>
      </c>
      <c r="D61" s="15" t="inlineStr">
        <is>
          <t>CHT-Y0</t>
        </is>
      </c>
      <c r="E61" s="15" t="inlineStr">
        <is>
          <t>Table 6 row CHT-Y0</t>
        </is>
      </c>
      <c r="F61" s="15" t="inlineStr">
        <is>
          <t>pressure</t>
        </is>
      </c>
      <c r="G61" s="15" t="inlineStr">
        <is>
          <t>50</t>
        </is>
      </c>
      <c r="H61" s="15" t="inlineStr">
        <is>
          <t>bar</t>
        </is>
      </c>
      <c r="I61" s="15" t="inlineStr"/>
      <c r="J61" s="15" t="inlineStr">
        <is>
          <t>Table 6</t>
        </is>
      </c>
      <c r="K61" s="16" t="inlineStr">
        <is>
          <t>04 仅条件或二手佐证</t>
        </is>
      </c>
      <c r="L61" s="15" t="inlineStr">
        <is>
          <t>5.0 MPa = 50 bar（文章一般条件）</t>
        </is>
      </c>
      <c r="M61" s="15" t="inlineStr">
        <is>
          <t>文章催化性能条件及原SI压力扫描；主文Table6未取得</t>
        </is>
      </c>
      <c r="N61" s="15" t="inlineStr">
        <is>
          <t>C / 背景条件换算</t>
        </is>
      </c>
      <c r="O61" s="15" t="inlineStr">
        <is>
          <t>一般条件非逐行证据，仍应优先核原文Table6。</t>
        </is>
      </c>
      <c r="P61" s="15" t="inlineStr">
        <is>
          <t>https://doi.org/10.1039/c5cy00372e</t>
        </is>
      </c>
      <c r="Q61" s="15" t="inlineStr">
        <is>
          <t>留空：当前证据不足</t>
        </is>
      </c>
      <c r="R61" s="15" t="inlineStr">
        <is>
          <t>中</t>
        </is>
      </c>
      <c r="S61" s="15" t="inlineStr">
        <is>
          <t>Gao 2015 正文 Table 6 PDF/截图（ESI不含该表）</t>
        </is>
      </c>
    </row>
    <row r="62" ht="47" customHeight="1">
      <c r="A62" s="13" t="n">
        <v>61</v>
      </c>
      <c r="B62" s="13" t="inlineStr">
        <is>
          <t>Rui 2017</t>
        </is>
      </c>
      <c r="C62" s="13" t="inlineStr">
        <is>
          <t>10.1016/j.apcatb.2017.06.069</t>
        </is>
      </c>
      <c r="D62" s="13" t="inlineStr">
        <is>
          <t>In2O3</t>
        </is>
      </c>
      <c r="E62" s="13" t="inlineStr">
        <is>
          <t>SI Table S1, In2O3 This work</t>
        </is>
      </c>
      <c r="F62" s="13" t="inlineStr">
        <is>
          <t>temperature</t>
        </is>
      </c>
      <c r="G62" s="13" t="inlineStr">
        <is>
          <t>300</t>
        </is>
      </c>
      <c r="H62" s="13" t="inlineStr">
        <is>
          <t>°C (from K)</t>
        </is>
      </c>
      <c r="I62" s="13" t="inlineStr"/>
      <c r="J62" s="13" t="inlineStr">
        <is>
          <t>SI Table S1</t>
        </is>
      </c>
      <c r="K62" s="16" t="inlineStr">
        <is>
          <t>04 仅条件或二手佐证</t>
        </is>
      </c>
      <c r="L62" s="13" t="inlineStr">
        <is>
          <t>300°C</t>
        </is>
      </c>
      <c r="M62" s="13" t="inlineStr">
        <is>
          <t>原出版社摘要描述高活性条件T300°C、P5MPa</t>
        </is>
      </c>
      <c r="N62" s="13" t="inlineStr">
        <is>
          <t>C / 摘要条件，并非SI原始行</t>
        </is>
      </c>
      <c r="O62" s="13" t="inlineStr">
        <is>
          <t>该文中其他工况可能不同；逐行温压仍须原始SI核验。</t>
        </is>
      </c>
      <c r="P62" s="13" t="inlineStr">
        <is>
          <t>https://www.sciencedirect.com/science/article/pii/S0926337317306197</t>
        </is>
      </c>
      <c r="Q62" s="13" t="inlineStr">
        <is>
          <t>留空：当前证据不足</t>
        </is>
      </c>
      <c r="R62" s="13" t="inlineStr">
        <is>
          <t>中</t>
        </is>
      </c>
      <c r="S62" s="13" t="inlineStr">
        <is>
          <t>Rui 2017 SI mmc1.docx Table S1/S2</t>
        </is>
      </c>
    </row>
    <row r="63" ht="47" customHeight="1">
      <c r="A63" s="15" t="n">
        <v>62</v>
      </c>
      <c r="B63" s="15" t="inlineStr">
        <is>
          <t>Rui 2017</t>
        </is>
      </c>
      <c r="C63" s="15" t="inlineStr">
        <is>
          <t>10.1016/j.apcatb.2017.06.069</t>
        </is>
      </c>
      <c r="D63" s="15" t="inlineStr">
        <is>
          <t>In2O3</t>
        </is>
      </c>
      <c r="E63" s="15" t="inlineStr">
        <is>
          <t>SI Table S1, In2O3 This work</t>
        </is>
      </c>
      <c r="F63" s="15" t="inlineStr">
        <is>
          <t>STY (printed)</t>
        </is>
      </c>
      <c r="G63" s="15" t="inlineStr">
        <is>
          <t>0.352 gMeOH h-1 gcat-1</t>
        </is>
      </c>
      <c r="H63" s="15" t="inlineStr">
        <is>
          <t>as printed</t>
        </is>
      </c>
      <c r="I63" s="15" t="inlineStr">
        <is>
          <t>=</t>
        </is>
      </c>
      <c r="J63" s="15" t="inlineStr">
        <is>
          <t>SI Table S1</t>
        </is>
      </c>
      <c r="K63" s="14" t="inlineStr">
        <is>
          <t>05 未取得指定原始表行</t>
        </is>
      </c>
      <c r="L63" s="15" t="inlineStr">
        <is>
          <t>所指定SI Table S1/S2未取得</t>
        </is>
      </c>
      <c r="M63" s="15" t="inlineStr">
        <is>
          <t>Rui 2017 应核 SI Table S1/S2 指定催化剂行</t>
        </is>
      </c>
      <c r="N63" s="15" t="inlineStr">
        <is>
          <t>U / SI行不可核</t>
        </is>
      </c>
      <c r="O63" s="15" t="inlineStr">
        <is>
          <t>仅有原论文摘要性能范围，不能替代SI Table S1/S2。</t>
        </is>
      </c>
      <c r="P63" s="15" t="inlineStr">
        <is>
          <t>https://ars.els-cdn.com/content/image/1-s2.0-S0926337317306197-mmc1.docx</t>
        </is>
      </c>
      <c r="Q63" s="15" t="inlineStr">
        <is>
          <t>留空：当前证据不足</t>
        </is>
      </c>
      <c r="R63" s="15" t="inlineStr">
        <is>
          <t>不可判定</t>
        </is>
      </c>
      <c r="S63" s="15" t="inlineStr">
        <is>
          <t>Rui 2017 SI mmc1.docx Table S1/S2</t>
        </is>
      </c>
    </row>
    <row r="64" ht="47" customHeight="1">
      <c r="A64" s="13" t="n">
        <v>63</v>
      </c>
      <c r="B64" s="13" t="inlineStr">
        <is>
          <t>Rui 2017</t>
        </is>
      </c>
      <c r="C64" s="13" t="inlineStr">
        <is>
          <t>10.1016/j.apcatb.2017.06.069</t>
        </is>
      </c>
      <c r="D64" s="13" t="inlineStr">
        <is>
          <t>Pd-I/In2O3</t>
        </is>
      </c>
      <c r="E64" s="13" t="inlineStr">
        <is>
          <t>SI Table S2, Pd-I/In2O3 This work</t>
        </is>
      </c>
      <c r="F64" s="13" t="inlineStr">
        <is>
          <t>CH3OH selectivity</t>
        </is>
      </c>
      <c r="G64" s="13" t="inlineStr">
        <is>
          <t>72.7</t>
        </is>
      </c>
      <c r="H64" s="13" t="inlineStr">
        <is>
          <t>%</t>
        </is>
      </c>
      <c r="I64" s="13" t="inlineStr">
        <is>
          <t>=</t>
        </is>
      </c>
      <c r="J64" s="13" t="inlineStr">
        <is>
          <t>SI Table S2</t>
        </is>
      </c>
      <c r="K64" s="14" t="inlineStr">
        <is>
          <t>05 未取得指定原始表行</t>
        </is>
      </c>
      <c r="L64" s="13" t="inlineStr">
        <is>
          <t>所指定SI Table S1/S2未取得</t>
        </is>
      </c>
      <c r="M64" s="13" t="inlineStr">
        <is>
          <t>Rui 2017 应核 SI Table S1/S2 指定催化剂行</t>
        </is>
      </c>
      <c r="N64" s="13" t="inlineStr">
        <is>
          <t>U / SI行不可核</t>
        </is>
      </c>
      <c r="O64" s="13" t="inlineStr">
        <is>
          <t>仅有原论文摘要性能范围，不能替代SI Table S1/S2。</t>
        </is>
      </c>
      <c r="P64" s="13" t="inlineStr">
        <is>
          <t>https://ars.els-cdn.com/content/image/1-s2.0-S0926337317306197-mmc1.docx</t>
        </is>
      </c>
      <c r="Q64" s="13" t="inlineStr">
        <is>
          <t>留空：当前证据不足</t>
        </is>
      </c>
      <c r="R64" s="13" t="inlineStr">
        <is>
          <t>不可判定</t>
        </is>
      </c>
      <c r="S64" s="13" t="inlineStr">
        <is>
          <t>Rui 2017 SI mmc1.docx Table S1/S2</t>
        </is>
      </c>
    </row>
    <row r="65" ht="47" customHeight="1">
      <c r="A65" s="15" t="n">
        <v>64</v>
      </c>
      <c r="B65" s="15" t="inlineStr">
        <is>
          <t>Rui 2017</t>
        </is>
      </c>
      <c r="C65" s="15" t="inlineStr">
        <is>
          <t>10.1016/j.apcatb.2017.06.069</t>
        </is>
      </c>
      <c r="D65" s="15" t="inlineStr">
        <is>
          <t>Pd-I/In2O3</t>
        </is>
      </c>
      <c r="E65" s="15" t="inlineStr">
        <is>
          <t>SI Table S2, Pd-I/In2O3 This work</t>
        </is>
      </c>
      <c r="F65" s="15" t="inlineStr">
        <is>
          <t>pressure</t>
        </is>
      </c>
      <c r="G65" s="15" t="inlineStr">
        <is>
          <t>50</t>
        </is>
      </c>
      <c r="H65" s="15" t="inlineStr">
        <is>
          <t>bar</t>
        </is>
      </c>
      <c r="I65" s="15" t="inlineStr"/>
      <c r="J65" s="15" t="inlineStr">
        <is>
          <t>SI Table S2</t>
        </is>
      </c>
      <c r="K65" s="16" t="inlineStr">
        <is>
          <t>04 仅条件或二手佐证</t>
        </is>
      </c>
      <c r="L65" s="15" t="inlineStr">
        <is>
          <t>5 MPa = 50 bar</t>
        </is>
      </c>
      <c r="M65" s="15" t="inlineStr">
        <is>
          <t>原出版社摘要描述高活性条件T300°C、P5MPa</t>
        </is>
      </c>
      <c r="N65" s="15" t="inlineStr">
        <is>
          <t>C / 摘要条件，并非SI原始行</t>
        </is>
      </c>
      <c r="O65" s="15" t="inlineStr">
        <is>
          <t>该文中其他工况可能不同；逐行温压仍须原始SI核验。</t>
        </is>
      </c>
      <c r="P65" s="15" t="inlineStr">
        <is>
          <t>https://www.sciencedirect.com/science/article/pii/S0926337317306197</t>
        </is>
      </c>
      <c r="Q65" s="15" t="inlineStr">
        <is>
          <t>留空：当前证据不足</t>
        </is>
      </c>
      <c r="R65" s="15" t="inlineStr">
        <is>
          <t>中</t>
        </is>
      </c>
      <c r="S65" s="15" t="inlineStr">
        <is>
          <t>Rui 2017 SI mmc1.docx Table S1/S2</t>
        </is>
      </c>
    </row>
    <row r="66" ht="47" customHeight="1">
      <c r="A66" s="13" t="n">
        <v>65</v>
      </c>
      <c r="B66" s="13" t="inlineStr">
        <is>
          <t>Rui 2017</t>
        </is>
      </c>
      <c r="C66" s="13" t="inlineStr">
        <is>
          <t>10.1016/j.apcatb.2017.06.069</t>
        </is>
      </c>
      <c r="D66" s="13" t="inlineStr">
        <is>
          <t>Pd-I/In2O3</t>
        </is>
      </c>
      <c r="E66" s="13" t="inlineStr">
        <is>
          <t>SI Table S2, Pd-I/In2O3 This work</t>
        </is>
      </c>
      <c r="F66" s="13" t="inlineStr">
        <is>
          <t>temperature</t>
        </is>
      </c>
      <c r="G66" s="13" t="inlineStr">
        <is>
          <t>300</t>
        </is>
      </c>
      <c r="H66" s="13" t="inlineStr">
        <is>
          <t>°C (from K)</t>
        </is>
      </c>
      <c r="I66" s="13" t="inlineStr"/>
      <c r="J66" s="13" t="inlineStr">
        <is>
          <t>SI Table S2</t>
        </is>
      </c>
      <c r="K66" s="16" t="inlineStr">
        <is>
          <t>04 仅条件或二手佐证</t>
        </is>
      </c>
      <c r="L66" s="13" t="inlineStr">
        <is>
          <t>300°C</t>
        </is>
      </c>
      <c r="M66" s="13" t="inlineStr">
        <is>
          <t>原出版社摘要描述高活性条件T300°C、P5MPa</t>
        </is>
      </c>
      <c r="N66" s="13" t="inlineStr">
        <is>
          <t>C / 摘要条件，并非SI原始行</t>
        </is>
      </c>
      <c r="O66" s="13" t="inlineStr">
        <is>
          <t>该文中其他工况可能不同；逐行温压仍须原始SI核验。</t>
        </is>
      </c>
      <c r="P66" s="13" t="inlineStr">
        <is>
          <t>https://www.sciencedirect.com/science/article/pii/S0926337317306197</t>
        </is>
      </c>
      <c r="Q66" s="13" t="inlineStr">
        <is>
          <t>留空：当前证据不足</t>
        </is>
      </c>
      <c r="R66" s="13" t="inlineStr">
        <is>
          <t>中</t>
        </is>
      </c>
      <c r="S66" s="13" t="inlineStr">
        <is>
          <t>Rui 2017 SI mmc1.docx Table S1/S2</t>
        </is>
      </c>
    </row>
    <row r="67" ht="47" customHeight="1">
      <c r="A67" s="15" t="n">
        <v>66</v>
      </c>
      <c r="B67" s="15" t="inlineStr">
        <is>
          <t>Rui 2017</t>
        </is>
      </c>
      <c r="C67" s="15" t="inlineStr">
        <is>
          <t>10.1016/j.apcatb.2017.06.069</t>
        </is>
      </c>
      <c r="D67" s="15" t="inlineStr">
        <is>
          <t>Pd-I/In2O3</t>
        </is>
      </c>
      <c r="E67" s="15" t="inlineStr">
        <is>
          <t>SI Table S2, Pd-I/In2O3 This work</t>
        </is>
      </c>
      <c r="F67" s="15" t="inlineStr">
        <is>
          <t>CO2 conversion</t>
        </is>
      </c>
      <c r="G67" s="15" t="inlineStr">
        <is>
          <t>18.4</t>
        </is>
      </c>
      <c r="H67" s="15" t="inlineStr">
        <is>
          <t>%</t>
        </is>
      </c>
      <c r="I67" s="15" t="inlineStr">
        <is>
          <t>=</t>
        </is>
      </c>
      <c r="J67" s="15" t="inlineStr">
        <is>
          <t>SI Table S2</t>
        </is>
      </c>
      <c r="K67" s="14" t="inlineStr">
        <is>
          <t>05 未取得指定原始表行</t>
        </is>
      </c>
      <c r="L67" s="15" t="inlineStr">
        <is>
          <t>所指定SI Table S1/S2未取得</t>
        </is>
      </c>
      <c r="M67" s="15" t="inlineStr">
        <is>
          <t>Rui 2017 应核 SI Table S1/S2 指定催化剂行</t>
        </is>
      </c>
      <c r="N67" s="15" t="inlineStr">
        <is>
          <t>U / SI行不可核</t>
        </is>
      </c>
      <c r="O67" s="15" t="inlineStr">
        <is>
          <t>仅有原论文摘要性能范围，不能替代SI Table S1/S2。</t>
        </is>
      </c>
      <c r="P67" s="15" t="inlineStr">
        <is>
          <t>https://ars.els-cdn.com/content/image/1-s2.0-S0926337317306197-mmc1.docx</t>
        </is>
      </c>
      <c r="Q67" s="15" t="inlineStr">
        <is>
          <t>留空：当前证据不足</t>
        </is>
      </c>
      <c r="R67" s="15" t="inlineStr">
        <is>
          <t>不可判定</t>
        </is>
      </c>
      <c r="S67" s="15" t="inlineStr">
        <is>
          <t>Rui 2017 SI mmc1.docx Table S1/S2</t>
        </is>
      </c>
    </row>
    <row r="68" ht="47" customHeight="1">
      <c r="A68" s="13" t="n">
        <v>67</v>
      </c>
      <c r="B68" s="13" t="inlineStr">
        <is>
          <t>Rui 2017</t>
        </is>
      </c>
      <c r="C68" s="13" t="inlineStr">
        <is>
          <t>10.1016/j.apcatb.2017.06.069</t>
        </is>
      </c>
      <c r="D68" s="13" t="inlineStr">
        <is>
          <t>In2O3</t>
        </is>
      </c>
      <c r="E68" s="13" t="inlineStr">
        <is>
          <t>SI Table S1, In2O3 This work</t>
        </is>
      </c>
      <c r="F68" s="13" t="inlineStr">
        <is>
          <t>pressure</t>
        </is>
      </c>
      <c r="G68" s="13" t="inlineStr">
        <is>
          <t>50</t>
        </is>
      </c>
      <c r="H68" s="13" t="inlineStr">
        <is>
          <t>bar</t>
        </is>
      </c>
      <c r="I68" s="13" t="inlineStr"/>
      <c r="J68" s="13" t="inlineStr">
        <is>
          <t>SI Table S1</t>
        </is>
      </c>
      <c r="K68" s="16" t="inlineStr">
        <is>
          <t>04 仅条件或二手佐证</t>
        </is>
      </c>
      <c r="L68" s="13" t="inlineStr">
        <is>
          <t>5 MPa = 50 bar</t>
        </is>
      </c>
      <c r="M68" s="13" t="inlineStr">
        <is>
          <t>原出版社摘要描述高活性条件T300°C、P5MPa</t>
        </is>
      </c>
      <c r="N68" s="13" t="inlineStr">
        <is>
          <t>C / 摘要条件，并非SI原始行</t>
        </is>
      </c>
      <c r="O68" s="13" t="inlineStr">
        <is>
          <t>该文中其他工况可能不同；逐行温压仍须原始SI核验。</t>
        </is>
      </c>
      <c r="P68" s="13" t="inlineStr">
        <is>
          <t>https://www.sciencedirect.com/science/article/pii/S0926337317306197</t>
        </is>
      </c>
      <c r="Q68" s="13" t="inlineStr">
        <is>
          <t>留空：当前证据不足</t>
        </is>
      </c>
      <c r="R68" s="13" t="inlineStr">
        <is>
          <t>中</t>
        </is>
      </c>
      <c r="S68" s="13" t="inlineStr">
        <is>
          <t>Rui 2017 SI mmc1.docx Table S1/S2</t>
        </is>
      </c>
    </row>
    <row r="69" ht="47" customHeight="1">
      <c r="A69" s="15" t="n">
        <v>68</v>
      </c>
      <c r="B69" s="15" t="inlineStr">
        <is>
          <t>Rui 2017</t>
        </is>
      </c>
      <c r="C69" s="15" t="inlineStr">
        <is>
          <t>10.1016/j.apcatb.2017.06.069</t>
        </is>
      </c>
      <c r="D69" s="15" t="inlineStr">
        <is>
          <t>Pd-I/In2O3</t>
        </is>
      </c>
      <c r="E69" s="15" t="inlineStr">
        <is>
          <t>SI Table S2, Pd-I/In2O3 This work</t>
        </is>
      </c>
      <c r="F69" s="15" t="inlineStr">
        <is>
          <t>H2/CO2</t>
        </is>
      </c>
      <c r="G69" s="15" t="inlineStr">
        <is>
          <t>4</t>
        </is>
      </c>
      <c r="H69" s="15" t="inlineStr">
        <is>
          <t>mol/mol</t>
        </is>
      </c>
      <c r="I69" s="15" t="inlineStr"/>
      <c r="J69" s="15" t="inlineStr">
        <is>
          <t>SI Table S2</t>
        </is>
      </c>
      <c r="K69" s="14" t="inlineStr">
        <is>
          <t>05 未取得指定原始表行</t>
        </is>
      </c>
      <c r="L69" s="15" t="inlineStr">
        <is>
          <t>所指定SI Table S1/S2未取得</t>
        </is>
      </c>
      <c r="M69" s="15" t="inlineStr">
        <is>
          <t>Rui 2017 应核 SI Table S1/S2 指定催化剂行</t>
        </is>
      </c>
      <c r="N69" s="15" t="inlineStr">
        <is>
          <t>U / SI行不可核</t>
        </is>
      </c>
      <c r="O69" s="15" t="inlineStr">
        <is>
          <t>仅有原论文摘要性能范围，不能替代SI Table S1/S2。</t>
        </is>
      </c>
      <c r="P69" s="15" t="inlineStr">
        <is>
          <t>https://ars.els-cdn.com/content/image/1-s2.0-S0926337317306197-mmc1.docx</t>
        </is>
      </c>
      <c r="Q69" s="15" t="inlineStr">
        <is>
          <t>留空：当前证据不足</t>
        </is>
      </c>
      <c r="R69" s="15" t="inlineStr">
        <is>
          <t>不可判定</t>
        </is>
      </c>
      <c r="S69" s="15" t="inlineStr">
        <is>
          <t>Rui 2017 SI mmc1.docx Table S1/S2</t>
        </is>
      </c>
    </row>
    <row r="70" ht="47" customHeight="1">
      <c r="A70" s="13" t="n">
        <v>69</v>
      </c>
      <c r="B70" s="13" t="inlineStr">
        <is>
          <t>Rui 2017</t>
        </is>
      </c>
      <c r="C70" s="13" t="inlineStr">
        <is>
          <t>10.1016/j.apcatb.2017.06.069</t>
        </is>
      </c>
      <c r="D70" s="13" t="inlineStr">
        <is>
          <t>In2O3</t>
        </is>
      </c>
      <c r="E70" s="13" t="inlineStr">
        <is>
          <t>SI Table S1, In2O3 This work</t>
        </is>
      </c>
      <c r="F70" s="13" t="inlineStr">
        <is>
          <t>H2/CO2</t>
        </is>
      </c>
      <c r="G70" s="13" t="inlineStr">
        <is>
          <t>4</t>
        </is>
      </c>
      <c r="H70" s="13" t="inlineStr">
        <is>
          <t>mol/mol</t>
        </is>
      </c>
      <c r="I70" s="13" t="inlineStr"/>
      <c r="J70" s="13" t="inlineStr">
        <is>
          <t>SI Table S1</t>
        </is>
      </c>
      <c r="K70" s="14" t="inlineStr">
        <is>
          <t>05 未取得指定原始表行</t>
        </is>
      </c>
      <c r="L70" s="13" t="inlineStr">
        <is>
          <t>所指定SI Table S1/S2未取得</t>
        </is>
      </c>
      <c r="M70" s="13" t="inlineStr">
        <is>
          <t>Rui 2017 应核 SI Table S1/S2 指定催化剂行</t>
        </is>
      </c>
      <c r="N70" s="13" t="inlineStr">
        <is>
          <t>U / SI行不可核</t>
        </is>
      </c>
      <c r="O70" s="13" t="inlineStr">
        <is>
          <t>仅有原论文摘要性能范围，不能替代SI Table S1/S2。</t>
        </is>
      </c>
      <c r="P70" s="13" t="inlineStr">
        <is>
          <t>https://ars.els-cdn.com/content/image/1-s2.0-S0926337317306197-mmc1.docx</t>
        </is>
      </c>
      <c r="Q70" s="13" t="inlineStr">
        <is>
          <t>留空：当前证据不足</t>
        </is>
      </c>
      <c r="R70" s="13" t="inlineStr">
        <is>
          <t>不可判定</t>
        </is>
      </c>
      <c r="S70" s="13" t="inlineStr">
        <is>
          <t>Rui 2017 SI mmc1.docx Table S1/S2</t>
        </is>
      </c>
    </row>
    <row r="71" ht="47" customHeight="1">
      <c r="A71" s="15" t="n">
        <v>70</v>
      </c>
      <c r="B71" s="15" t="inlineStr">
        <is>
          <t>Rui 2017</t>
        </is>
      </c>
      <c r="C71" s="15" t="inlineStr">
        <is>
          <t>10.1016/j.apcatb.2017.06.069</t>
        </is>
      </c>
      <c r="D71" s="15" t="inlineStr">
        <is>
          <t>In2O3</t>
        </is>
      </c>
      <c r="E71" s="15" t="inlineStr">
        <is>
          <t>SI Table S1, In2O3 This work</t>
        </is>
      </c>
      <c r="F71" s="15" t="inlineStr">
        <is>
          <t>CH3OH selectivity</t>
        </is>
      </c>
      <c r="G71" s="15" t="inlineStr">
        <is>
          <t>71.2</t>
        </is>
      </c>
      <c r="H71" s="15" t="inlineStr">
        <is>
          <t>%</t>
        </is>
      </c>
      <c r="I71" s="15" t="inlineStr">
        <is>
          <t>=</t>
        </is>
      </c>
      <c r="J71" s="15" t="inlineStr">
        <is>
          <t>SI Table S1</t>
        </is>
      </c>
      <c r="K71" s="14" t="inlineStr">
        <is>
          <t>05 未取得指定原始表行</t>
        </is>
      </c>
      <c r="L71" s="15" t="inlineStr">
        <is>
          <t>所指定SI Table S1/S2未取得</t>
        </is>
      </c>
      <c r="M71" s="15" t="inlineStr">
        <is>
          <t>Rui 2017 应核 SI Table S1/S2 指定催化剂行</t>
        </is>
      </c>
      <c r="N71" s="15" t="inlineStr">
        <is>
          <t>U / SI行不可核</t>
        </is>
      </c>
      <c r="O71" s="15" t="inlineStr">
        <is>
          <t>仅有原论文摘要性能范围，不能替代SI Table S1/S2。</t>
        </is>
      </c>
      <c r="P71" s="15" t="inlineStr">
        <is>
          <t>https://ars.els-cdn.com/content/image/1-s2.0-S0926337317306197-mmc1.docx</t>
        </is>
      </c>
      <c r="Q71" s="15" t="inlineStr">
        <is>
          <t>留空：当前证据不足</t>
        </is>
      </c>
      <c r="R71" s="15" t="inlineStr">
        <is>
          <t>不可判定</t>
        </is>
      </c>
      <c r="S71" s="15" t="inlineStr">
        <is>
          <t>Rui 2017 SI mmc1.docx Table S1/S2</t>
        </is>
      </c>
    </row>
    <row r="72" ht="47" customHeight="1">
      <c r="A72" s="13" t="n">
        <v>71</v>
      </c>
      <c r="B72" s="13" t="inlineStr">
        <is>
          <t>Energy Technol 2018</t>
        </is>
      </c>
      <c r="C72" s="13" t="inlineStr">
        <is>
          <t>10.1002/ente.201800747</t>
        </is>
      </c>
      <c r="D72" s="13" t="inlineStr">
        <is>
          <t>Cat-1.5</t>
        </is>
      </c>
      <c r="E72" s="13" t="inlineStr">
        <is>
          <t>SI Table S1, Cat-1.5, 300 °C</t>
        </is>
      </c>
      <c r="F72" s="13" t="inlineStr">
        <is>
          <t>STY (printed)</t>
        </is>
      </c>
      <c r="G72" s="13" t="inlineStr">
        <is>
          <t>0.074 gMeOH gcat-1 h-1</t>
        </is>
      </c>
      <c r="H72" s="13" t="inlineStr">
        <is>
          <t>as printed</t>
        </is>
      </c>
      <c r="I72" s="13" t="inlineStr">
        <is>
          <t>=</t>
        </is>
      </c>
      <c r="J72" s="13" t="inlineStr">
        <is>
          <t>SI Table S1</t>
        </is>
      </c>
      <c r="K72" s="14" t="inlineStr">
        <is>
          <t>05 未取得指定原始表行</t>
        </is>
      </c>
      <c r="L72" s="13" t="inlineStr">
        <is>
          <t>原始SI Table S1未取得</t>
        </is>
      </c>
      <c r="M72" s="13" t="inlineStr">
        <is>
          <t>Wiley Supporting Information: ente201800747-sup-0001-SuppData-S1.pdf</t>
        </is>
      </c>
      <c r="N72" s="13" t="inlineStr">
        <is>
          <t>U / SI行不可核</t>
        </is>
      </c>
      <c r="O72" s="13" t="inlineStr">
        <is>
          <t>出版社摘要说明材料和代表性性能但不对应抽中Cat-1.5、Cat-4.5等逐行值。</t>
        </is>
      </c>
      <c r="P72" s="13" t="inlineStr">
        <is>
          <t>https://onlinelibrary.wiley.com/doi/10.1002/ente.201800747</t>
        </is>
      </c>
      <c r="Q72" s="13" t="inlineStr">
        <is>
          <t>留空：当前证据不足</t>
        </is>
      </c>
      <c r="R72" s="13" t="inlineStr">
        <is>
          <t>不可判定</t>
        </is>
      </c>
      <c r="S72" s="13" t="inlineStr">
        <is>
          <t>Chen 2019 Wiley SI 638KB PDF Table S1</t>
        </is>
      </c>
    </row>
    <row r="73" ht="47" customHeight="1">
      <c r="A73" s="15" t="n">
        <v>72</v>
      </c>
      <c r="B73" s="15" t="inlineStr">
        <is>
          <t>Energy Technol 2018</t>
        </is>
      </c>
      <c r="C73" s="15" t="inlineStr">
        <is>
          <t>10.1002/ente.201800747</t>
        </is>
      </c>
      <c r="D73" s="15" t="inlineStr">
        <is>
          <t>H-In2O3/Al2O3</t>
        </is>
      </c>
      <c r="E73" s="15" t="inlineStr">
        <is>
          <t>SI Table S1, H-In2O3/Al2O3, 325 °C</t>
        </is>
      </c>
      <c r="F73" s="15" t="inlineStr">
        <is>
          <t>pressure</t>
        </is>
      </c>
      <c r="G73" s="15" t="inlineStr">
        <is>
          <t>40</t>
        </is>
      </c>
      <c r="H73" s="15" t="inlineStr">
        <is>
          <t>bar</t>
        </is>
      </c>
      <c r="I73" s="15" t="inlineStr"/>
      <c r="J73" s="15" t="inlineStr">
        <is>
          <t>SI Table S1</t>
        </is>
      </c>
      <c r="K73" s="14" t="inlineStr">
        <is>
          <t>05 未取得指定原始表行</t>
        </is>
      </c>
      <c r="L73" s="15" t="inlineStr">
        <is>
          <t>原始SI Table S1未取得</t>
        </is>
      </c>
      <c r="M73" s="15" t="inlineStr">
        <is>
          <t>Wiley Supporting Information: ente201800747-sup-0001-SuppData-S1.pdf</t>
        </is>
      </c>
      <c r="N73" s="15" t="inlineStr">
        <is>
          <t>U / SI行不可核</t>
        </is>
      </c>
      <c r="O73" s="15" t="inlineStr">
        <is>
          <t>出版社摘要说明材料和代表性性能但不对应抽中Cat-1.5、Cat-4.5等逐行值。</t>
        </is>
      </c>
      <c r="P73" s="15" t="inlineStr">
        <is>
          <t>https://onlinelibrary.wiley.com/doi/10.1002/ente.201800747</t>
        </is>
      </c>
      <c r="Q73" s="15" t="inlineStr">
        <is>
          <t>留空：当前证据不足</t>
        </is>
      </c>
      <c r="R73" s="15" t="inlineStr">
        <is>
          <t>不可判定</t>
        </is>
      </c>
      <c r="S73" s="15" t="inlineStr">
        <is>
          <t>Chen 2019 Wiley SI 638KB PDF Table S1</t>
        </is>
      </c>
    </row>
    <row r="74" ht="47" customHeight="1">
      <c r="A74" s="13" t="n">
        <v>73</v>
      </c>
      <c r="B74" s="13" t="inlineStr">
        <is>
          <t>Energy Technol 2018</t>
        </is>
      </c>
      <c r="C74" s="13" t="inlineStr">
        <is>
          <t>10.1002/ente.201800747</t>
        </is>
      </c>
      <c r="D74" s="13" t="inlineStr">
        <is>
          <t>Cat-4.5</t>
        </is>
      </c>
      <c r="E74" s="13" t="inlineStr">
        <is>
          <t>Figure 4c/text, Cat-4.5 at 325 °C</t>
        </is>
      </c>
      <c r="F74" s="13" t="inlineStr">
        <is>
          <t>pressure</t>
        </is>
      </c>
      <c r="G74" s="13" t="inlineStr">
        <is>
          <t>40</t>
        </is>
      </c>
      <c r="H74" s="13" t="inlineStr">
        <is>
          <t>bar</t>
        </is>
      </c>
      <c r="I74" s="13" t="inlineStr"/>
      <c r="J74" s="13" t="inlineStr">
        <is>
          <t>Figure 4c and text in Section 2.2</t>
        </is>
      </c>
      <c r="K74" s="14" t="inlineStr">
        <is>
          <t>05 未取得指定原始表行</t>
        </is>
      </c>
      <c r="L74" s="13" t="inlineStr">
        <is>
          <t>原始SI Table S1未取得</t>
        </is>
      </c>
      <c r="M74" s="13" t="inlineStr">
        <is>
          <t>Wiley Supporting Information: ente201800747-sup-0001-SuppData-S1.pdf</t>
        </is>
      </c>
      <c r="N74" s="13" t="inlineStr">
        <is>
          <t>U / SI行不可核</t>
        </is>
      </c>
      <c r="O74" s="13" t="inlineStr">
        <is>
          <t>出版社摘要说明材料和代表性性能但不对应抽中Cat-1.5、Cat-4.5等逐行值。</t>
        </is>
      </c>
      <c r="P74" s="13" t="inlineStr">
        <is>
          <t>https://onlinelibrary.wiley.com/doi/10.1002/ente.201800747</t>
        </is>
      </c>
      <c r="Q74" s="13" t="inlineStr">
        <is>
          <t>留空：当前证据不足</t>
        </is>
      </c>
      <c r="R74" s="13" t="inlineStr">
        <is>
          <t>不可判定</t>
        </is>
      </c>
      <c r="S74" s="13" t="inlineStr">
        <is>
          <t>Chen 2019 Wiley SI 638KB PDF Table S1</t>
        </is>
      </c>
    </row>
    <row r="75" ht="47" customHeight="1">
      <c r="A75" s="15" t="n">
        <v>74</v>
      </c>
      <c r="B75" s="15" t="inlineStr">
        <is>
          <t>Energy Technol 2018</t>
        </is>
      </c>
      <c r="C75" s="15" t="inlineStr">
        <is>
          <t>10.1002/ente.201800747</t>
        </is>
      </c>
      <c r="D75" s="15" t="inlineStr">
        <is>
          <t>H-In2O3/Al2O3</t>
        </is>
      </c>
      <c r="E75" s="15" t="inlineStr">
        <is>
          <t>SI Table S1, H-In2O3/Al2O3, 325 °C</t>
        </is>
      </c>
      <c r="F75" s="15" t="inlineStr">
        <is>
          <t>STY (printed)</t>
        </is>
      </c>
      <c r="G75" s="15" t="inlineStr">
        <is>
          <t>0.109 gMeOH gcat-1 h-1</t>
        </is>
      </c>
      <c r="H75" s="15" t="inlineStr">
        <is>
          <t>as printed</t>
        </is>
      </c>
      <c r="I75" s="15" t="inlineStr">
        <is>
          <t>=</t>
        </is>
      </c>
      <c r="J75" s="15" t="inlineStr">
        <is>
          <t>SI Table S1</t>
        </is>
      </c>
      <c r="K75" s="14" t="inlineStr">
        <is>
          <t>05 未取得指定原始表行</t>
        </is>
      </c>
      <c r="L75" s="15" t="inlineStr">
        <is>
          <t>原始SI Table S1未取得</t>
        </is>
      </c>
      <c r="M75" s="15" t="inlineStr">
        <is>
          <t>Wiley Supporting Information: ente201800747-sup-0001-SuppData-S1.pdf</t>
        </is>
      </c>
      <c r="N75" s="15" t="inlineStr">
        <is>
          <t>U / SI行不可核</t>
        </is>
      </c>
      <c r="O75" s="15" t="inlineStr">
        <is>
          <t>出版社摘要说明材料和代表性性能但不对应抽中Cat-1.5、Cat-4.5等逐行值。</t>
        </is>
      </c>
      <c r="P75" s="15" t="inlineStr">
        <is>
          <t>https://onlinelibrary.wiley.com/doi/10.1002/ente.201800747</t>
        </is>
      </c>
      <c r="Q75" s="15" t="inlineStr">
        <is>
          <t>留空：当前证据不足</t>
        </is>
      </c>
      <c r="R75" s="15" t="inlineStr">
        <is>
          <t>不可判定</t>
        </is>
      </c>
      <c r="S75" s="15" t="inlineStr">
        <is>
          <t>Chen 2019 Wiley SI 638KB PDF Table S1</t>
        </is>
      </c>
    </row>
    <row r="76" ht="47" customHeight="1">
      <c r="A76" s="13" t="n">
        <v>75</v>
      </c>
      <c r="B76" s="13" t="inlineStr">
        <is>
          <t>Energy Technol 2018</t>
        </is>
      </c>
      <c r="C76" s="13" t="inlineStr">
        <is>
          <t>10.1002/ente.201800747</t>
        </is>
      </c>
      <c r="D76" s="13" t="inlineStr">
        <is>
          <t>H-In2O3/Al2O3</t>
        </is>
      </c>
      <c r="E76" s="13" t="inlineStr">
        <is>
          <t>SI Table S1, H-In2O3/Al2O3, 250 °C</t>
        </is>
      </c>
      <c r="F76" s="13" t="inlineStr">
        <is>
          <t>CO selectivity</t>
        </is>
      </c>
      <c r="G76" s="13" t="inlineStr">
        <is>
          <t>6.8</t>
        </is>
      </c>
      <c r="H76" s="13" t="inlineStr">
        <is>
          <t>%</t>
        </is>
      </c>
      <c r="I76" s="13" t="inlineStr">
        <is>
          <t>=</t>
        </is>
      </c>
      <c r="J76" s="13" t="inlineStr">
        <is>
          <t>SI Table S1</t>
        </is>
      </c>
      <c r="K76" s="14" t="inlineStr">
        <is>
          <t>05 未取得指定原始表行</t>
        </is>
      </c>
      <c r="L76" s="13" t="inlineStr">
        <is>
          <t>原始SI Table S1未取得</t>
        </is>
      </c>
      <c r="M76" s="13" t="inlineStr">
        <is>
          <t>Wiley Supporting Information: ente201800747-sup-0001-SuppData-S1.pdf</t>
        </is>
      </c>
      <c r="N76" s="13" t="inlineStr">
        <is>
          <t>U / SI行不可核</t>
        </is>
      </c>
      <c r="O76" s="13" t="inlineStr">
        <is>
          <t>出版社摘要说明材料和代表性性能但不对应抽中Cat-1.5、Cat-4.5等逐行值。</t>
        </is>
      </c>
      <c r="P76" s="13" t="inlineStr">
        <is>
          <t>https://onlinelibrary.wiley.com/doi/10.1002/ente.201800747</t>
        </is>
      </c>
      <c r="Q76" s="13" t="inlineStr">
        <is>
          <t>留空：当前证据不足</t>
        </is>
      </c>
      <c r="R76" s="13" t="inlineStr">
        <is>
          <t>不可判定</t>
        </is>
      </c>
      <c r="S76" s="13" t="inlineStr">
        <is>
          <t>Chen 2019 Wiley SI 638KB PDF Table S1</t>
        </is>
      </c>
    </row>
    <row r="77" ht="47" customHeight="1">
      <c r="A77" s="15" t="n">
        <v>76</v>
      </c>
      <c r="B77" s="15" t="inlineStr">
        <is>
          <t>Energy Technol 2018</t>
        </is>
      </c>
      <c r="C77" s="15" t="inlineStr">
        <is>
          <t>10.1002/ente.201800747</t>
        </is>
      </c>
      <c r="D77" s="15" t="inlineStr">
        <is>
          <t>Cat-3.0</t>
        </is>
      </c>
      <c r="E77" s="15" t="inlineStr">
        <is>
          <t>Figure 4c, Cat-3.0 at 325 °C</t>
        </is>
      </c>
      <c r="F77" s="15" t="inlineStr">
        <is>
          <t>CO2 conversion</t>
        </is>
      </c>
      <c r="G77" s="15" t="inlineStr">
        <is>
          <t>3.4</t>
        </is>
      </c>
      <c r="H77" s="15" t="inlineStr">
        <is>
          <t>%</t>
        </is>
      </c>
      <c r="I77" s="15" t="inlineStr">
        <is>
          <t>=</t>
        </is>
      </c>
      <c r="J77" s="15" t="inlineStr">
        <is>
          <t>Figure 4c</t>
        </is>
      </c>
      <c r="K77" s="14" t="inlineStr">
        <is>
          <t>05 未取得指定原始表行</t>
        </is>
      </c>
      <c r="L77" s="15" t="inlineStr">
        <is>
          <t>原始SI Table S1未取得</t>
        </is>
      </c>
      <c r="M77" s="15" t="inlineStr">
        <is>
          <t>Wiley Supporting Information: ente201800747-sup-0001-SuppData-S1.pdf</t>
        </is>
      </c>
      <c r="N77" s="15" t="inlineStr">
        <is>
          <t>U / SI行不可核</t>
        </is>
      </c>
      <c r="O77" s="15" t="inlineStr">
        <is>
          <t>出版社摘要说明材料和代表性性能但不对应抽中Cat-1.5、Cat-4.5等逐行值。</t>
        </is>
      </c>
      <c r="P77" s="15" t="inlineStr">
        <is>
          <t>https://onlinelibrary.wiley.com/doi/10.1002/ente.201800747</t>
        </is>
      </c>
      <c r="Q77" s="15" t="inlineStr">
        <is>
          <t>留空：当前证据不足</t>
        </is>
      </c>
      <c r="R77" s="15" t="inlineStr">
        <is>
          <t>不可判定</t>
        </is>
      </c>
      <c r="S77" s="15" t="inlineStr">
        <is>
          <t>Chen 2019 Wiley SI 638KB PDF Table S1</t>
        </is>
      </c>
    </row>
    <row r="78" ht="47" customHeight="1">
      <c r="A78" s="13" t="n">
        <v>77</v>
      </c>
      <c r="B78" s="13" t="inlineStr">
        <is>
          <t>Energy Technol 2018</t>
        </is>
      </c>
      <c r="C78" s="13" t="inlineStr">
        <is>
          <t>10.1002/ente.201800747</t>
        </is>
      </c>
      <c r="D78" s="13" t="inlineStr">
        <is>
          <t>Cat-4.5</t>
        </is>
      </c>
      <c r="E78" s="13" t="inlineStr">
        <is>
          <t>SI Table S1, Cat-4.5, 250 °C</t>
        </is>
      </c>
      <c r="F78" s="13" t="inlineStr">
        <is>
          <t>CH4 selectivity</t>
        </is>
      </c>
      <c r="G78" s="13" t="inlineStr">
        <is>
          <t>0</t>
        </is>
      </c>
      <c r="H78" s="13" t="inlineStr">
        <is>
          <t>%</t>
        </is>
      </c>
      <c r="I78" s="13" t="inlineStr">
        <is>
          <t>=</t>
        </is>
      </c>
      <c r="J78" s="13" t="inlineStr">
        <is>
          <t>SI Table S1</t>
        </is>
      </c>
      <c r="K78" s="14" t="inlineStr">
        <is>
          <t>05 未取得指定原始表行</t>
        </is>
      </c>
      <c r="L78" s="13" t="inlineStr">
        <is>
          <t>原始SI Table S1未取得</t>
        </is>
      </c>
      <c r="M78" s="13" t="inlineStr">
        <is>
          <t>Wiley Supporting Information: ente201800747-sup-0001-SuppData-S1.pdf</t>
        </is>
      </c>
      <c r="N78" s="13" t="inlineStr">
        <is>
          <t>U / SI行不可核</t>
        </is>
      </c>
      <c r="O78" s="13" t="inlineStr">
        <is>
          <t>出版社摘要说明材料和代表性性能但不对应抽中Cat-1.5、Cat-4.5等逐行值。</t>
        </is>
      </c>
      <c r="P78" s="13" t="inlineStr">
        <is>
          <t>https://onlinelibrary.wiley.com/doi/10.1002/ente.201800747</t>
        </is>
      </c>
      <c r="Q78" s="13" t="inlineStr">
        <is>
          <t>留空：当前证据不足</t>
        </is>
      </c>
      <c r="R78" s="13" t="inlineStr">
        <is>
          <t>不可判定</t>
        </is>
      </c>
      <c r="S78" s="13" t="inlineStr">
        <is>
          <t>Chen 2019 Wiley SI 638KB PDF Table S1</t>
        </is>
      </c>
    </row>
    <row r="79" ht="47" customHeight="1">
      <c r="A79" s="15" t="n">
        <v>78</v>
      </c>
      <c r="B79" s="15" t="inlineStr">
        <is>
          <t>Energy Technol 2018</t>
        </is>
      </c>
      <c r="C79" s="15" t="inlineStr">
        <is>
          <t>10.1002/ente.201800747</t>
        </is>
      </c>
      <c r="D79" s="15" t="inlineStr">
        <is>
          <t>Cat-4.5</t>
        </is>
      </c>
      <c r="E79" s="15" t="inlineStr">
        <is>
          <t>SI Table S1, Cat-4.5, 275 °C</t>
        </is>
      </c>
      <c r="F79" s="15" t="inlineStr">
        <is>
          <t>CH3OH selectivity</t>
        </is>
      </c>
      <c r="G79" s="15" t="inlineStr">
        <is>
          <t>91.6</t>
        </is>
      </c>
      <c r="H79" s="15" t="inlineStr">
        <is>
          <t>%</t>
        </is>
      </c>
      <c r="I79" s="15" t="inlineStr">
        <is>
          <t>=</t>
        </is>
      </c>
      <c r="J79" s="15" t="inlineStr">
        <is>
          <t>SI Table S1</t>
        </is>
      </c>
      <c r="K79" s="14" t="inlineStr">
        <is>
          <t>05 未取得指定原始表行</t>
        </is>
      </c>
      <c r="L79" s="15" t="inlineStr">
        <is>
          <t>原始SI Table S1未取得</t>
        </is>
      </c>
      <c r="M79" s="15" t="inlineStr">
        <is>
          <t>Wiley Supporting Information: ente201800747-sup-0001-SuppData-S1.pdf</t>
        </is>
      </c>
      <c r="N79" s="15" t="inlineStr">
        <is>
          <t>U / SI行不可核</t>
        </is>
      </c>
      <c r="O79" s="15" t="inlineStr">
        <is>
          <t>出版社摘要说明材料和代表性性能但不对应抽中Cat-1.5、Cat-4.5等逐行值。</t>
        </is>
      </c>
      <c r="P79" s="15" t="inlineStr">
        <is>
          <t>https://onlinelibrary.wiley.com/doi/10.1002/ente.201800747</t>
        </is>
      </c>
      <c r="Q79" s="15" t="inlineStr">
        <is>
          <t>留空：当前证据不足</t>
        </is>
      </c>
      <c r="R79" s="15" t="inlineStr">
        <is>
          <t>不可判定</t>
        </is>
      </c>
      <c r="S79" s="15" t="inlineStr">
        <is>
          <t>Chen 2019 Wiley SI 638KB PDF Table S1</t>
        </is>
      </c>
    </row>
    <row r="80" ht="47" customHeight="1">
      <c r="A80" s="13" t="n">
        <v>79</v>
      </c>
      <c r="B80" s="13" t="inlineStr">
        <is>
          <t>Energy Technol 2018</t>
        </is>
      </c>
      <c r="C80" s="13" t="inlineStr">
        <is>
          <t>10.1002/ente.201800747</t>
        </is>
      </c>
      <c r="D80" s="13" t="inlineStr">
        <is>
          <t>In2O3-IWI/Al2O3/Al-fiber</t>
        </is>
      </c>
      <c r="E80" s="13" t="inlineStr">
        <is>
          <t>SI Table S1, In2O3-IWI/Al2O3/Al-fiber, 350 °C</t>
        </is>
      </c>
      <c r="F80" s="13" t="inlineStr">
        <is>
          <t>H2/CO2</t>
        </is>
      </c>
      <c r="G80" s="13" t="inlineStr">
        <is>
          <t>3</t>
        </is>
      </c>
      <c r="H80" s="13" t="inlineStr">
        <is>
          <t>mol/mol</t>
        </is>
      </c>
      <c r="I80" s="13" t="inlineStr"/>
      <c r="J80" s="13" t="inlineStr">
        <is>
          <t>SI Table S1</t>
        </is>
      </c>
      <c r="K80" s="14" t="inlineStr">
        <is>
          <t>05 未取得指定原始表行</t>
        </is>
      </c>
      <c r="L80" s="13" t="inlineStr">
        <is>
          <t>原始SI Table S1未取得</t>
        </is>
      </c>
      <c r="M80" s="13" t="inlineStr">
        <is>
          <t>Wiley Supporting Information: ente201800747-sup-0001-SuppData-S1.pdf</t>
        </is>
      </c>
      <c r="N80" s="13" t="inlineStr">
        <is>
          <t>U / SI行不可核</t>
        </is>
      </c>
      <c r="O80" s="13" t="inlineStr">
        <is>
          <t>出版社摘要说明材料和代表性性能但不对应抽中Cat-1.5、Cat-4.5等逐行值。</t>
        </is>
      </c>
      <c r="P80" s="13" t="inlineStr">
        <is>
          <t>https://onlinelibrary.wiley.com/doi/10.1002/ente.201800747</t>
        </is>
      </c>
      <c r="Q80" s="13" t="inlineStr">
        <is>
          <t>留空：当前证据不足</t>
        </is>
      </c>
      <c r="R80" s="13" t="inlineStr">
        <is>
          <t>不可判定</t>
        </is>
      </c>
      <c r="S80" s="13" t="inlineStr">
        <is>
          <t>Chen 2019 Wiley SI 638KB PDF Table S1</t>
        </is>
      </c>
    </row>
    <row r="81" ht="47" customHeight="1">
      <c r="A81" s="15" t="n">
        <v>80</v>
      </c>
      <c r="B81" s="15" t="inlineStr">
        <is>
          <t>Energy Technol 2018</t>
        </is>
      </c>
      <c r="C81" s="15" t="inlineStr">
        <is>
          <t>10.1002/ente.201800747</t>
        </is>
      </c>
      <c r="D81" s="15" t="inlineStr">
        <is>
          <t>H-In2O3/Al2O3</t>
        </is>
      </c>
      <c r="E81" s="15" t="inlineStr">
        <is>
          <t>SI Table S1, H-In2O3/Al2O3, 250 °C</t>
        </is>
      </c>
      <c r="F81" s="15" t="inlineStr">
        <is>
          <t>STY (printed)</t>
        </is>
      </c>
      <c r="G81" s="15" t="inlineStr">
        <is>
          <t>0.051 gMeOH gcat-1 h-1</t>
        </is>
      </c>
      <c r="H81" s="15" t="inlineStr">
        <is>
          <t>as printed</t>
        </is>
      </c>
      <c r="I81" s="15" t="inlineStr">
        <is>
          <t>=</t>
        </is>
      </c>
      <c r="J81" s="15" t="inlineStr">
        <is>
          <t>SI Table S1</t>
        </is>
      </c>
      <c r="K81" s="14" t="inlineStr">
        <is>
          <t>05 未取得指定原始表行</t>
        </is>
      </c>
      <c r="L81" s="15" t="inlineStr">
        <is>
          <t>原始SI Table S1未取得</t>
        </is>
      </c>
      <c r="M81" s="15" t="inlineStr">
        <is>
          <t>Wiley Supporting Information: ente201800747-sup-0001-SuppData-S1.pdf</t>
        </is>
      </c>
      <c r="N81" s="15" t="inlineStr">
        <is>
          <t>U / SI行不可核</t>
        </is>
      </c>
      <c r="O81" s="15" t="inlineStr">
        <is>
          <t>出版社摘要说明材料和代表性性能但不对应抽中Cat-1.5、Cat-4.5等逐行值。</t>
        </is>
      </c>
      <c r="P81" s="15" t="inlineStr">
        <is>
          <t>https://onlinelibrary.wiley.com/doi/10.1002/ente.201800747</t>
        </is>
      </c>
      <c r="Q81" s="15" t="inlineStr">
        <is>
          <t>留空：当前证据不足</t>
        </is>
      </c>
      <c r="R81" s="15" t="inlineStr">
        <is>
          <t>不可判定</t>
        </is>
      </c>
      <c r="S81" s="15" t="inlineStr">
        <is>
          <t>Chen 2019 Wiley SI 638KB PDF Table S1</t>
        </is>
      </c>
    </row>
    <row r="82" ht="47" customHeight="1">
      <c r="A82" s="13" t="n">
        <v>81</v>
      </c>
      <c r="B82" s="13" t="inlineStr">
        <is>
          <t>Ruiz Esquius 2020</t>
        </is>
      </c>
      <c r="C82" s="13" t="inlineStr">
        <is>
          <t>10.1002/cctc.202000974</t>
        </is>
      </c>
      <c r="D82" s="13" t="inlineStr">
        <is>
          <t>TiO2</t>
        </is>
      </c>
      <c r="E82" s="13" t="inlineStr">
        <is>
          <t>SI Table S3, TiO2, 225 °C</t>
        </is>
      </c>
      <c r="F82" s="13" t="inlineStr">
        <is>
          <t>CH4 selectivity</t>
        </is>
      </c>
      <c r="G82" s="13" t="inlineStr">
        <is>
          <t>0</t>
        </is>
      </c>
      <c r="H82" s="13" t="inlineStr">
        <is>
          <t>%</t>
        </is>
      </c>
      <c r="I82" s="13" t="inlineStr">
        <is>
          <t>=</t>
        </is>
      </c>
      <c r="J82" s="13" t="inlineStr">
        <is>
          <t>SI Table S3</t>
        </is>
      </c>
      <c r="K82" s="14" t="inlineStr">
        <is>
          <t>05 未取得指定原始表行</t>
        </is>
      </c>
      <c r="L82" s="13" t="inlineStr">
        <is>
          <t>原始论文的目标Table S2/S3/S4未取得</t>
        </is>
      </c>
      <c r="M82" s="13" t="inlineStr">
        <is>
          <t>Cardiff公开主文PDF；SI S2/S3/S4仍缺失</t>
        </is>
      </c>
      <c r="N82" s="13" t="inlineStr">
        <is>
          <t>U / SI行不可核</t>
        </is>
      </c>
      <c r="O82" s="13" t="inlineStr">
        <is>
          <t>原始主文仅能支持通用反应条件和Table1；不能证明SI表中的具体性能值。</t>
        </is>
      </c>
      <c r="P82" s="13" t="inlineStr">
        <is>
          <t>https://orca.cardiff.ac.uk/id/eprint/135088/13/cctc.202000974%20FINAL.pdf</t>
        </is>
      </c>
      <c r="Q82" s="13" t="inlineStr">
        <is>
          <t>留空：当前证据不足</t>
        </is>
      </c>
      <c r="R82" s="13" t="inlineStr">
        <is>
          <t>不可判定</t>
        </is>
      </c>
      <c r="S82" s="13" t="inlineStr">
        <is>
          <t>Esquius 2020 Wiley SI 1.2MB PDF Table S2/S3/S4</t>
        </is>
      </c>
    </row>
    <row r="83" ht="47" customHeight="1">
      <c r="A83" s="15" t="n">
        <v>82</v>
      </c>
      <c r="B83" s="15" t="inlineStr">
        <is>
          <t>Ruiz Esquius 2020</t>
        </is>
      </c>
      <c r="C83" s="15" t="inlineStr">
        <is>
          <t>10.1002/cctc.202000974</t>
        </is>
      </c>
      <c r="D83" s="15" t="inlineStr">
        <is>
          <t>Pd/TiO2</t>
        </is>
      </c>
      <c r="E83" s="15" t="inlineStr">
        <is>
          <t>Table 1 row 1, 225°C</t>
        </is>
      </c>
      <c r="F83" s="15" t="inlineStr">
        <is>
          <t>temperature</t>
        </is>
      </c>
      <c r="G83" s="15" t="inlineStr">
        <is>
          <t>225</t>
        </is>
      </c>
      <c r="H83" s="15" t="inlineStr">
        <is>
          <t>°C (from K)</t>
        </is>
      </c>
      <c r="I83" s="15" t="inlineStr"/>
      <c r="J83" s="15" t="inlineStr">
        <is>
          <t>Table 1</t>
        </is>
      </c>
      <c r="K83" s="17" t="inlineStr">
        <is>
          <t>01 数值相符 / 引文修订</t>
        </is>
      </c>
      <c r="L83" s="15" t="inlineStr">
        <is>
          <t>225°C, Pd/TiO₂</t>
        </is>
      </c>
      <c r="M83" s="15" t="inlineStr">
        <is>
          <t>原始ChemCatChem主文 PDF p3 Table1 Pd/TiO₂行</t>
        </is>
      </c>
      <c r="N83" s="15" t="inlineStr">
        <is>
          <t>Y / 原文表格直接印刷</t>
        </is>
      </c>
      <c r="O83" s="15" t="inlineStr">
        <is>
          <t>同一表中给催化剂、温度和P=20bar，直接支持本行温度。</t>
        </is>
      </c>
      <c r="P83" s="15" t="inlineStr">
        <is>
          <t>https://orca.cardiff.ac.uk/id/eprint/135088/13/cctc.202000974%20FINAL.pdf</t>
        </is>
      </c>
      <c r="Q83" s="15" t="inlineStr">
        <is>
          <t>建议 correct（须人工确认源页）</t>
        </is>
      </c>
      <c r="R83" s="15" t="inlineStr">
        <is>
          <t>高</t>
        </is>
      </c>
      <c r="S83" s="15" t="inlineStr">
        <is>
          <t>仅需独立作者确认</t>
        </is>
      </c>
    </row>
    <row r="84" ht="47" customHeight="1">
      <c r="A84" s="13" t="n">
        <v>83</v>
      </c>
      <c r="B84" s="13" t="inlineStr">
        <is>
          <t>Ruiz Esquius 2020</t>
        </is>
      </c>
      <c r="C84" s="13" t="inlineStr">
        <is>
          <t>10.1002/cctc.202000974</t>
        </is>
      </c>
      <c r="D84" s="13" t="inlineStr">
        <is>
          <t>ZnTiO3</t>
        </is>
      </c>
      <c r="E84" s="13" t="inlineStr">
        <is>
          <t>SI Table S3, ZnTiO3, 250 °C</t>
        </is>
      </c>
      <c r="F84" s="13" t="inlineStr">
        <is>
          <t>CO selectivity</t>
        </is>
      </c>
      <c r="G84" s="13" t="inlineStr">
        <is>
          <t>70</t>
        </is>
      </c>
      <c r="H84" s="13" t="inlineStr">
        <is>
          <t>%</t>
        </is>
      </c>
      <c r="I84" s="13" t="inlineStr">
        <is>
          <t>=</t>
        </is>
      </c>
      <c r="J84" s="13" t="inlineStr">
        <is>
          <t>SI Table S3</t>
        </is>
      </c>
      <c r="K84" s="14" t="inlineStr">
        <is>
          <t>05 未取得指定原始表行</t>
        </is>
      </c>
      <c r="L84" s="13" t="inlineStr">
        <is>
          <t>原始论文的目标Table S2/S3/S4未取得</t>
        </is>
      </c>
      <c r="M84" s="13" t="inlineStr">
        <is>
          <t>Cardiff公开主文PDF；SI S2/S3/S4仍缺失</t>
        </is>
      </c>
      <c r="N84" s="13" t="inlineStr">
        <is>
          <t>U / SI行不可核</t>
        </is>
      </c>
      <c r="O84" s="13" t="inlineStr">
        <is>
          <t>原始主文仅能支持通用反应条件和Table1；不能证明SI表中的具体性能值。</t>
        </is>
      </c>
      <c r="P84" s="13" t="inlineStr">
        <is>
          <t>https://orca.cardiff.ac.uk/id/eprint/135088/13/cctc.202000974%20FINAL.pdf</t>
        </is>
      </c>
      <c r="Q84" s="13" t="inlineStr">
        <is>
          <t>留空：当前证据不足</t>
        </is>
      </c>
      <c r="R84" s="13" t="inlineStr">
        <is>
          <t>不可判定</t>
        </is>
      </c>
      <c r="S84" s="13" t="inlineStr">
        <is>
          <t>Esquius 2020 Wiley SI 1.2MB PDF Table S2/S3/S4</t>
        </is>
      </c>
    </row>
    <row r="85" ht="47" customHeight="1">
      <c r="A85" s="15" t="n">
        <v>84</v>
      </c>
      <c r="B85" s="15" t="inlineStr">
        <is>
          <t>Ruiz Esquius 2020</t>
        </is>
      </c>
      <c r="C85" s="15" t="inlineStr">
        <is>
          <t>10.1002/cctc.202000974</t>
        </is>
      </c>
      <c r="D85" s="15" t="inlineStr">
        <is>
          <t>Pd/ZnO</t>
        </is>
      </c>
      <c r="E85" s="15" t="inlineStr">
        <is>
          <t>Figure 1, Pd/ZnO, 175°C</t>
        </is>
      </c>
      <c r="F85" s="15" t="inlineStr">
        <is>
          <t>CH3OH selectivity</t>
        </is>
      </c>
      <c r="G85" s="15" t="inlineStr">
        <is>
          <t>69</t>
        </is>
      </c>
      <c r="H85" s="15" t="inlineStr">
        <is>
          <t>%</t>
        </is>
      </c>
      <c r="I85" s="15" t="inlineStr">
        <is>
          <t>=</t>
        </is>
      </c>
      <c r="J85" s="15" t="inlineStr">
        <is>
          <t>Figure 1</t>
        </is>
      </c>
      <c r="K85" s="14" t="inlineStr">
        <is>
          <t>05 未取得指定原始表行</t>
        </is>
      </c>
      <c r="L85" s="15" t="inlineStr">
        <is>
          <t>原始论文的目标Table S2/S3/S4未取得</t>
        </is>
      </c>
      <c r="M85" s="15" t="inlineStr">
        <is>
          <t>Cardiff公开主文PDF；SI S2/S3/S4仍缺失</t>
        </is>
      </c>
      <c r="N85" s="15" t="inlineStr">
        <is>
          <t>U / SI行不可核</t>
        </is>
      </c>
      <c r="O85" s="15" t="inlineStr">
        <is>
          <t>原始主文仅能支持通用反应条件和Table1；不能证明SI表中的具体性能值。</t>
        </is>
      </c>
      <c r="P85" s="15" t="inlineStr">
        <is>
          <t>https://orca.cardiff.ac.uk/id/eprint/135088/13/cctc.202000974%20FINAL.pdf</t>
        </is>
      </c>
      <c r="Q85" s="15" t="inlineStr">
        <is>
          <t>留空：当前证据不足</t>
        </is>
      </c>
      <c r="R85" s="15" t="inlineStr">
        <is>
          <t>不可判定</t>
        </is>
      </c>
      <c r="S85" s="15" t="inlineStr">
        <is>
          <t>Esquius 2020 Wiley SI 1.2MB PDF Table S2/S3/S4</t>
        </is>
      </c>
    </row>
    <row r="86" ht="47" customHeight="1">
      <c r="A86" s="13" t="n">
        <v>85</v>
      </c>
      <c r="B86" s="13" t="inlineStr">
        <is>
          <t>Ruiz Esquius 2020</t>
        </is>
      </c>
      <c r="C86" s="13" t="inlineStr">
        <is>
          <t>10.1002/cctc.202000974</t>
        </is>
      </c>
      <c r="D86" s="13" t="inlineStr">
        <is>
          <t>Pd/ZnTiO3</t>
        </is>
      </c>
      <c r="E86" s="13" t="inlineStr">
        <is>
          <t>SI Table S2, Pd/ZnTiO3, 200 °C</t>
        </is>
      </c>
      <c r="F86" s="13" t="inlineStr">
        <is>
          <t>H2/CO2</t>
        </is>
      </c>
      <c r="G86" s="13" t="inlineStr">
        <is>
          <t>3</t>
        </is>
      </c>
      <c r="H86" s="13" t="inlineStr">
        <is>
          <t>mol/mol</t>
        </is>
      </c>
      <c r="I86" s="13" t="inlineStr"/>
      <c r="J86" s="13" t="inlineStr">
        <is>
          <t>SI Table S2</t>
        </is>
      </c>
      <c r="K86" s="19" t="inlineStr">
        <is>
          <t>02 数值可溯源但经推算</t>
        </is>
      </c>
      <c r="L86" s="13" t="inlineStr">
        <is>
          <t>H₂ 60 vol%, CO₂ 20 vol%, N₂ 20 vol% → H₂/CO₂=3</t>
        </is>
      </c>
      <c r="M86" s="13" t="inlineStr">
        <is>
          <t>原始ChemCatChem主文共同进料；该Pd/ZnTiO₃ 200°C 指定SI S2未取得</t>
        </is>
      </c>
      <c r="N86" s="13" t="inlineStr">
        <is>
          <t>D / 推算比值，SI行缺失</t>
        </is>
      </c>
      <c r="O86" s="13" t="inlineStr">
        <is>
          <t>一般进料组成支持比值3，但具体Pd/ZnTiO₃ SI数据表仍未逐行核验。</t>
        </is>
      </c>
      <c r="P86" s="13" t="inlineStr">
        <is>
          <t>https://orca.cardiff.ac.uk/id/eprint/135088/13/cctc.202000974%20FINAL.pdf</t>
        </is>
      </c>
      <c r="Q86" s="13" t="inlineStr">
        <is>
          <t>建议 correct/derived 分开报告；不是直印值</t>
        </is>
      </c>
      <c r="R86" s="13" t="inlineStr">
        <is>
          <t>中</t>
        </is>
      </c>
      <c r="S86" s="13" t="inlineStr">
        <is>
          <t>Esquius 2020 Wiley SI 1.2MB PDF Table S2/S3/S4</t>
        </is>
      </c>
    </row>
    <row r="87" ht="47" customHeight="1">
      <c r="A87" s="15" t="n">
        <v>86</v>
      </c>
      <c r="B87" s="15" t="inlineStr">
        <is>
          <t>Ruiz Esquius 2020</t>
        </is>
      </c>
      <c r="C87" s="15" t="inlineStr">
        <is>
          <t>10.1002/cctc.202000974</t>
        </is>
      </c>
      <c r="D87" s="15" t="inlineStr">
        <is>
          <t>Pd/TiO2</t>
        </is>
      </c>
      <c r="E87" s="15" t="inlineStr">
        <is>
          <t>SI Table S2, Pd/TiO2, 250 °C</t>
        </is>
      </c>
      <c r="F87" s="15" t="inlineStr">
        <is>
          <t>CO selectivity</t>
        </is>
      </c>
      <c r="G87" s="15" t="inlineStr">
        <is>
          <t>91.4</t>
        </is>
      </c>
      <c r="H87" s="15" t="inlineStr">
        <is>
          <t>%</t>
        </is>
      </c>
      <c r="I87" s="15" t="inlineStr">
        <is>
          <t>=</t>
        </is>
      </c>
      <c r="J87" s="15" t="inlineStr">
        <is>
          <t>SI Table S2</t>
        </is>
      </c>
      <c r="K87" s="14" t="inlineStr">
        <is>
          <t>05 未取得指定原始表行</t>
        </is>
      </c>
      <c r="L87" s="15" t="inlineStr">
        <is>
          <t>原始论文的目标Table S2/S3/S4未取得</t>
        </is>
      </c>
      <c r="M87" s="15" t="inlineStr">
        <is>
          <t>Cardiff公开主文PDF；SI S2/S3/S4仍缺失</t>
        </is>
      </c>
      <c r="N87" s="15" t="inlineStr">
        <is>
          <t>U / SI行不可核</t>
        </is>
      </c>
      <c r="O87" s="15" t="inlineStr">
        <is>
          <t>原始主文仅能支持通用反应条件和Table1；不能证明SI表中的具体性能值。</t>
        </is>
      </c>
      <c r="P87" s="15" t="inlineStr">
        <is>
          <t>https://orca.cardiff.ac.uk/id/eprint/135088/13/cctc.202000974%20FINAL.pdf</t>
        </is>
      </c>
      <c r="Q87" s="15" t="inlineStr">
        <is>
          <t>留空：当前证据不足</t>
        </is>
      </c>
      <c r="R87" s="15" t="inlineStr">
        <is>
          <t>不可判定</t>
        </is>
      </c>
      <c r="S87" s="15" t="inlineStr">
        <is>
          <t>Esquius 2020 Wiley SI 1.2MB PDF Table S2/S3/S4</t>
        </is>
      </c>
    </row>
    <row r="88" ht="47" customHeight="1">
      <c r="A88" s="13" t="n">
        <v>87</v>
      </c>
      <c r="B88" s="13" t="inlineStr">
        <is>
          <t>Ruiz Esquius 2020</t>
        </is>
      </c>
      <c r="C88" s="13" t="inlineStr">
        <is>
          <t>10.1002/cctc.202000974</t>
        </is>
      </c>
      <c r="D88" s="13" t="inlineStr">
        <is>
          <t>TiO2</t>
        </is>
      </c>
      <c r="E88" s="13" t="inlineStr">
        <is>
          <t>SI Table S3, TiO2, 200 °C</t>
        </is>
      </c>
      <c r="F88" s="13" t="inlineStr">
        <is>
          <t>temperature</t>
        </is>
      </c>
      <c r="G88" s="13" t="inlineStr">
        <is>
          <t>200</t>
        </is>
      </c>
      <c r="H88" s="13" t="inlineStr">
        <is>
          <t>°C (from K)</t>
        </is>
      </c>
      <c r="I88" s="13" t="inlineStr"/>
      <c r="J88" s="13" t="inlineStr">
        <is>
          <t>SI Table S3</t>
        </is>
      </c>
      <c r="K88" s="14" t="inlineStr">
        <is>
          <t>05 未取得指定原始表行</t>
        </is>
      </c>
      <c r="L88" s="13" t="inlineStr">
        <is>
          <t>原始论文的目标Table S2/S3/S4未取得</t>
        </is>
      </c>
      <c r="M88" s="13" t="inlineStr">
        <is>
          <t>Cardiff公开主文PDF；SI S2/S3/S4仍缺失</t>
        </is>
      </c>
      <c r="N88" s="13" t="inlineStr">
        <is>
          <t>U / SI行不可核</t>
        </is>
      </c>
      <c r="O88" s="13" t="inlineStr">
        <is>
          <t>原始主文仅能支持通用反应条件和Table1；不能证明SI表中的具体性能值。</t>
        </is>
      </c>
      <c r="P88" s="13" t="inlineStr">
        <is>
          <t>https://orca.cardiff.ac.uk/id/eprint/135088/13/cctc.202000974%20FINAL.pdf</t>
        </is>
      </c>
      <c r="Q88" s="13" t="inlineStr">
        <is>
          <t>留空：当前证据不足</t>
        </is>
      </c>
      <c r="R88" s="13" t="inlineStr">
        <is>
          <t>不可判定</t>
        </is>
      </c>
      <c r="S88" s="13" t="inlineStr">
        <is>
          <t>Esquius 2020 Wiley SI 1.2MB PDF Table S2/S3/S4</t>
        </is>
      </c>
    </row>
    <row r="89" ht="47" customHeight="1">
      <c r="A89" s="15" t="n">
        <v>88</v>
      </c>
      <c r="B89" s="15" t="inlineStr">
        <is>
          <t>Ruiz Esquius 2020</t>
        </is>
      </c>
      <c r="C89" s="15" t="inlineStr">
        <is>
          <t>10.1002/cctc.202000974</t>
        </is>
      </c>
      <c r="D89" s="15" t="inlineStr">
        <is>
          <t>ZnO</t>
        </is>
      </c>
      <c r="E89" s="15" t="inlineStr">
        <is>
          <t>SI Table S3, ZnO, 250 °C</t>
        </is>
      </c>
      <c r="F89" s="15" t="inlineStr">
        <is>
          <t>CH4 selectivity</t>
        </is>
      </c>
      <c r="G89" s="15" t="inlineStr">
        <is>
          <t>0</t>
        </is>
      </c>
      <c r="H89" s="15" t="inlineStr">
        <is>
          <t>%</t>
        </is>
      </c>
      <c r="I89" s="15" t="inlineStr">
        <is>
          <t>=</t>
        </is>
      </c>
      <c r="J89" s="15" t="inlineStr">
        <is>
          <t>SI Table S3</t>
        </is>
      </c>
      <c r="K89" s="14" t="inlineStr">
        <is>
          <t>05 未取得指定原始表行</t>
        </is>
      </c>
      <c r="L89" s="15" t="inlineStr">
        <is>
          <t>原始论文的目标Table S2/S3/S4未取得</t>
        </is>
      </c>
      <c r="M89" s="15" t="inlineStr">
        <is>
          <t>Cardiff公开主文PDF；SI S2/S3/S4仍缺失</t>
        </is>
      </c>
      <c r="N89" s="15" t="inlineStr">
        <is>
          <t>U / SI行不可核</t>
        </is>
      </c>
      <c r="O89" s="15" t="inlineStr">
        <is>
          <t>原始主文仅能支持通用反应条件和Table1；不能证明SI表中的具体性能值。</t>
        </is>
      </c>
      <c r="P89" s="15" t="inlineStr">
        <is>
          <t>https://orca.cardiff.ac.uk/id/eprint/135088/13/cctc.202000974%20FINAL.pdf</t>
        </is>
      </c>
      <c r="Q89" s="15" t="inlineStr">
        <is>
          <t>留空：当前证据不足</t>
        </is>
      </c>
      <c r="R89" s="15" t="inlineStr">
        <is>
          <t>不可判定</t>
        </is>
      </c>
      <c r="S89" s="15" t="inlineStr">
        <is>
          <t>Esquius 2020 Wiley SI 1.2MB PDF Table S2/S3/S4</t>
        </is>
      </c>
    </row>
    <row r="90" ht="47" customHeight="1">
      <c r="A90" s="13" t="n">
        <v>89</v>
      </c>
      <c r="B90" s="13" t="inlineStr">
        <is>
          <t>Ruiz Esquius 2020</t>
        </is>
      </c>
      <c r="C90" s="13" t="inlineStr">
        <is>
          <t>10.1002/cctc.202000974</t>
        </is>
      </c>
      <c r="D90" s="13" t="inlineStr">
        <is>
          <t>physical mixture of Pd/ZnO and TiO2</t>
        </is>
      </c>
      <c r="E90" s="13" t="inlineStr">
        <is>
          <t>Text, physical mixture Pd/ZnO and TiO2, 250°C</t>
        </is>
      </c>
      <c r="F90" s="13" t="inlineStr">
        <is>
          <t>CO selectivity</t>
        </is>
      </c>
      <c r="G90" s="13" t="inlineStr">
        <is>
          <t>73.3</t>
        </is>
      </c>
      <c r="H90" s="13" t="inlineStr">
        <is>
          <t>%</t>
        </is>
      </c>
      <c r="I90" s="13" t="inlineStr">
        <is>
          <t>=</t>
        </is>
      </c>
      <c r="J90" s="13" t="inlineStr">
        <is>
          <t>Results text</t>
        </is>
      </c>
      <c r="K90" s="14" t="inlineStr">
        <is>
          <t>05 未取得指定原始表行</t>
        </is>
      </c>
      <c r="L90" s="13" t="inlineStr">
        <is>
          <t>原始论文的目标Table S2/S3/S4未取得</t>
        </is>
      </c>
      <c r="M90" s="13" t="inlineStr">
        <is>
          <t>Cardiff公开主文PDF；SI S2/S3/S4仍缺失</t>
        </is>
      </c>
      <c r="N90" s="13" t="inlineStr">
        <is>
          <t>U / SI行不可核</t>
        </is>
      </c>
      <c r="O90" s="13" t="inlineStr">
        <is>
          <t>原始主文仅能支持通用反应条件和Table1；不能证明SI表中的具体性能值。</t>
        </is>
      </c>
      <c r="P90" s="13" t="inlineStr">
        <is>
          <t>https://orca.cardiff.ac.uk/id/eprint/135088/13/cctc.202000974%20FINAL.pdf</t>
        </is>
      </c>
      <c r="Q90" s="13" t="inlineStr">
        <is>
          <t>留空：当前证据不足</t>
        </is>
      </c>
      <c r="R90" s="13" t="inlineStr">
        <is>
          <t>不可判定</t>
        </is>
      </c>
      <c r="S90" s="13" t="inlineStr">
        <is>
          <t>Esquius 2020 Wiley SI 1.2MB PDF Table S2/S3/S4</t>
        </is>
      </c>
    </row>
    <row r="91" ht="47" customHeight="1">
      <c r="A91" s="15" t="n">
        <v>90</v>
      </c>
      <c r="B91" s="15" t="inlineStr">
        <is>
          <t>Ruiz Esquius 2020</t>
        </is>
      </c>
      <c r="C91" s="15" t="inlineStr">
        <is>
          <t>10.1002/cctc.202000974</t>
        </is>
      </c>
      <c r="D91" s="15" t="inlineStr">
        <is>
          <t>Pd/ZnO</t>
        </is>
      </c>
      <c r="E91" s="15" t="inlineStr">
        <is>
          <t>Table 1 row 2, 225°C</t>
        </is>
      </c>
      <c r="F91" s="15" t="inlineStr">
        <is>
          <t>H2/CO2</t>
        </is>
      </c>
      <c r="G91" s="15" t="inlineStr">
        <is>
          <t>3</t>
        </is>
      </c>
      <c r="H91" s="15" t="inlineStr">
        <is>
          <t>mol/mol</t>
        </is>
      </c>
      <c r="I91" s="15" t="inlineStr"/>
      <c r="J91" s="15" t="inlineStr">
        <is>
          <t>Table 1</t>
        </is>
      </c>
      <c r="K91" s="19" t="inlineStr">
        <is>
          <t>02 数值可溯源但经推算</t>
        </is>
      </c>
      <c r="L91" s="15" t="inlineStr">
        <is>
          <t>H₂ 60 vol%, CO₂ 20 vol%, N₂ 20 vol% → 60/20=3</t>
        </is>
      </c>
      <c r="M91" s="15" t="inlineStr">
        <is>
          <t>原始ChemCatChem主文 p3 Table1 反应条件说明</t>
        </is>
      </c>
      <c r="N91" s="15" t="inlineStr">
        <is>
          <t>D / 由原文进料组成计算</t>
        </is>
      </c>
      <c r="O91" s="15" t="inlineStr">
        <is>
          <t>文献进料还含20%N₂；Excel记录H₂/CO₂=3为等价比值，但不是原文单独给出的“3”字符串。</t>
        </is>
      </c>
      <c r="P91" s="15" t="inlineStr">
        <is>
          <t>https://orca.cardiff.ac.uk/id/eprint/135088/13/cctc.202000974%20FINAL.pdf</t>
        </is>
      </c>
      <c r="Q91" s="15" t="inlineStr">
        <is>
          <t>建议 correct/derived 分开报告；不是直印值</t>
        </is>
      </c>
      <c r="R91" s="15" t="inlineStr">
        <is>
          <t>高</t>
        </is>
      </c>
      <c r="S91" s="15" t="inlineStr">
        <is>
          <t>Esquius 2020 Wiley SI 1.2MB PDF Table S2/S3/S4</t>
        </is>
      </c>
    </row>
    <row r="92" ht="47" customHeight="1">
      <c r="A92" s="13" t="n">
        <v>91</v>
      </c>
      <c r="B92" s="13" t="inlineStr">
        <is>
          <t>Ota 2012</t>
        </is>
      </c>
      <c r="C92" s="13" t="inlineStr">
        <is>
          <t>10.1016/j.jcat.2012.05.020</t>
        </is>
      </c>
      <c r="D92" s="13" t="inlineStr">
        <is>
          <t>PdMgGa</t>
        </is>
      </c>
      <c r="E92" s="13" t="inlineStr">
        <is>
          <t>Table 2, PdMgGa</t>
        </is>
      </c>
      <c r="F92" s="13" t="inlineStr">
        <is>
          <t>CO2 conversion</t>
        </is>
      </c>
      <c r="G92" s="13" t="inlineStr">
        <is>
          <t>1</t>
        </is>
      </c>
      <c r="H92" s="13" t="inlineStr">
        <is>
          <t>%</t>
        </is>
      </c>
      <c r="I92" s="13" t="inlineStr">
        <is>
          <t>=</t>
        </is>
      </c>
      <c r="J92" s="13" t="inlineStr">
        <is>
          <t>Table 2</t>
        </is>
      </c>
      <c r="K92" s="17" t="inlineStr">
        <is>
          <t>01 数值相符 / 引文修订</t>
        </is>
      </c>
      <c r="L92" s="13" t="inlineStr">
        <is>
          <t>1.0%</t>
        </is>
      </c>
      <c r="M92" s="13" t="inlineStr">
        <is>
          <t>Ota 2012, accepted manuscript Table 2, PdMgGa</t>
        </is>
      </c>
      <c r="N92" s="13" t="inlineStr">
        <is>
          <t>Y / 原文表格数字或原单位</t>
        </is>
      </c>
      <c r="O92" s="13" t="inlineStr">
        <is>
          <t>催化剂要对应 PdMgGa，而不是 PdZnAl</t>
        </is>
      </c>
      <c r="P92" s="13" t="inlineStr">
        <is>
          <t>https://iris.unito.it/retrieve/handle/2318/122839/18808/COST_OA.pdf</t>
        </is>
      </c>
      <c r="Q92" s="13" t="inlineStr">
        <is>
          <t>建议 correct（须人工确认源页）</t>
        </is>
      </c>
      <c r="R92" s="13" t="inlineStr">
        <is>
          <t>中（本轮作者接受稿下载未复现）</t>
        </is>
      </c>
      <c r="S92" s="13" t="inlineStr">
        <is>
          <t>仅需独立作者确认</t>
        </is>
      </c>
    </row>
    <row r="93" ht="47" customHeight="1">
      <c r="A93" s="15" t="n">
        <v>92</v>
      </c>
      <c r="B93" s="15" t="inlineStr">
        <is>
          <t>Ota 2012</t>
        </is>
      </c>
      <c r="C93" s="15" t="inlineStr">
        <is>
          <t>10.1016/j.jcat.2012.05.020</t>
        </is>
      </c>
      <c r="D93" s="15" t="inlineStr">
        <is>
          <t>PdMgAl</t>
        </is>
      </c>
      <c r="E93" s="15" t="inlineStr">
        <is>
          <t>Table 2, PdMgAl</t>
        </is>
      </c>
      <c r="F93" s="15" t="inlineStr">
        <is>
          <t>CO2 conversion</t>
        </is>
      </c>
      <c r="G93" s="15" t="inlineStr">
        <is>
          <t>0.3</t>
        </is>
      </c>
      <c r="H93" s="15" t="inlineStr">
        <is>
          <t>%</t>
        </is>
      </c>
      <c r="I93" s="15" t="inlineStr">
        <is>
          <t>=</t>
        </is>
      </c>
      <c r="J93" s="15" t="inlineStr">
        <is>
          <t>Table 2</t>
        </is>
      </c>
      <c r="K93" s="17" t="inlineStr">
        <is>
          <t>01 数值相符 / 引文修订</t>
        </is>
      </c>
      <c r="L93" s="15" t="inlineStr">
        <is>
          <t>0.3%</t>
        </is>
      </c>
      <c r="M93" s="15" t="inlineStr">
        <is>
          <t>Ota 2012, accepted manuscript Table 2, PdMgAl</t>
        </is>
      </c>
      <c r="N93" s="15" t="inlineStr">
        <is>
          <t>Y / 原文表格数字或原单位</t>
        </is>
      </c>
      <c r="O93" s="15" t="inlineStr">
        <is>
          <t>CO₂ conversion 0.3%</t>
        </is>
      </c>
      <c r="P93" s="15" t="inlineStr">
        <is>
          <t>https://iris.unito.it/retrieve/handle/2318/122839/18808/COST_OA.pdf</t>
        </is>
      </c>
      <c r="Q93" s="15" t="inlineStr">
        <is>
          <t>建议 correct（须人工确认源页）</t>
        </is>
      </c>
      <c r="R93" s="15" t="inlineStr">
        <is>
          <t>中（本轮作者接受稿下载未复现）</t>
        </is>
      </c>
      <c r="S93" s="15" t="inlineStr">
        <is>
          <t>仅需独立作者确认</t>
        </is>
      </c>
    </row>
    <row r="94" ht="47" customHeight="1">
      <c r="A94" s="13" t="n">
        <v>93</v>
      </c>
      <c r="B94" s="13" t="inlineStr">
        <is>
          <t>Ota 2012</t>
        </is>
      </c>
      <c r="C94" s="13" t="inlineStr">
        <is>
          <t>10.1016/j.jcat.2012.05.020</t>
        </is>
      </c>
      <c r="D94" s="13" t="inlineStr">
        <is>
          <t>PdZnAl</t>
        </is>
      </c>
      <c r="E94" s="13" t="inlineStr">
        <is>
          <t>Table 2, PdZnAl</t>
        </is>
      </c>
      <c r="F94" s="13" t="inlineStr">
        <is>
          <t>CH4 selectivity</t>
        </is>
      </c>
      <c r="G94" s="13" t="inlineStr">
        <is>
          <t>0.1</t>
        </is>
      </c>
      <c r="H94" s="13" t="inlineStr">
        <is>
          <t>%</t>
        </is>
      </c>
      <c r="I94" s="13" t="inlineStr">
        <is>
          <t>&lt;</t>
        </is>
      </c>
      <c r="J94" s="13" t="inlineStr">
        <is>
          <t>Table 2</t>
        </is>
      </c>
      <c r="K94" s="18" t="inlineStr">
        <is>
          <t>03 限值或非直印，原文映射待核</t>
        </is>
      </c>
      <c r="L94" s="13" t="inlineStr">
        <is>
          <t>&lt; 0.1%（抽样CSV qualifier=&lt;；Excel缺符号）</t>
        </is>
      </c>
      <c r="M94" s="13" t="inlineStr">
        <is>
          <t>仓库gold_standard_sample.csv；Ota 2012 Table 2没有CH₄选择性列</t>
        </is>
      </c>
      <c r="N94" s="13" t="inlineStr">
        <is>
          <t>N / &lt;检出限，上界不是等号</t>
        </is>
      </c>
      <c r="O94" s="13" t="inlineStr">
        <is>
          <t>必须确认是否为原论文实验点的检出限上界；Excel不能把&lt;0.1%写成实测0.1%。在确认前不能判正确。</t>
        </is>
      </c>
      <c r="P94" s="13" t="inlineStr">
        <is>
          <t>https://iris.unito.it/retrieve/handle/2318/122839/18808/COST_OA.pdf</t>
        </is>
      </c>
      <c r="Q94" s="13" t="inlineStr">
        <is>
          <t>不得判 correct，先核限定符/印刷资格</t>
        </is>
      </c>
      <c r="R94" s="13" t="inlineStr">
        <is>
          <t>高（限值存在），低（原文映射）</t>
        </is>
      </c>
      <c r="S94" s="13" t="inlineStr">
        <is>
          <t>Ota 2012 逐行原文 CH4 selectivity来源（#93）</t>
        </is>
      </c>
    </row>
    <row r="95" ht="47" customHeight="1">
      <c r="A95" s="15" t="n">
        <v>94</v>
      </c>
      <c r="B95" s="15" t="inlineStr">
        <is>
          <t>Ota 2012</t>
        </is>
      </c>
      <c r="C95" s="15" t="inlineStr">
        <is>
          <t>10.1016/j.jcat.2012.05.020</t>
        </is>
      </c>
      <c r="D95" s="15" t="inlineStr">
        <is>
          <t>PdZnAl</t>
        </is>
      </c>
      <c r="E95" s="15" t="inlineStr">
        <is>
          <t>Table 2, PdZnAl</t>
        </is>
      </c>
      <c r="F95" s="15" t="inlineStr">
        <is>
          <t>temperature</t>
        </is>
      </c>
      <c r="G95" s="15" t="inlineStr">
        <is>
          <t>249.85</t>
        </is>
      </c>
      <c r="H95" s="15" t="inlineStr">
        <is>
          <t>°C (from K)</t>
        </is>
      </c>
      <c r="I95" s="15" t="inlineStr"/>
      <c r="J95" s="15" t="inlineStr">
        <is>
          <t>Table 2</t>
        </is>
      </c>
      <c r="K95" s="17" t="inlineStr">
        <is>
          <t>01 数值相符 / 引文修订</t>
        </is>
      </c>
      <c r="L95" s="15" t="inlineStr">
        <is>
          <t>250 °C (or 523 K)</t>
        </is>
      </c>
      <c r="M95" s="15" t="inlineStr">
        <is>
          <t>Ota 2012, accepted manuscript Table 2 heading</t>
        </is>
      </c>
      <c r="N95" s="15" t="inlineStr">
        <is>
          <t>C / K与°C舍入</t>
        </is>
      </c>
      <c r="O95" s="15" t="inlineStr">
        <is>
          <t>原表写250 °C（期刊排版版写523 K）；Excel249.85 °C=523 K精确换算，是四舍五入差非错误</t>
        </is>
      </c>
      <c r="P95" s="15" t="inlineStr">
        <is>
          <t>https://iris.unito.it/retrieve/handle/2318/122839/18808/COST_OA.pdf</t>
        </is>
      </c>
      <c r="Q95" s="15" t="inlineStr">
        <is>
          <t>建议 correct（须人工确认源页）</t>
        </is>
      </c>
      <c r="R95" s="15" t="inlineStr">
        <is>
          <t>中（本轮作者接受稿下载未复现）</t>
        </is>
      </c>
      <c r="S95" s="15" t="inlineStr">
        <is>
          <t>仅需独立作者确认</t>
        </is>
      </c>
    </row>
    <row r="96" ht="47" customHeight="1">
      <c r="A96" s="13" t="n">
        <v>95</v>
      </c>
      <c r="B96" s="13" t="inlineStr">
        <is>
          <t>Ota 2012</t>
        </is>
      </c>
      <c r="C96" s="13" t="inlineStr">
        <is>
          <t>10.1016/j.jcat.2012.05.020</t>
        </is>
      </c>
      <c r="D96" s="13" t="inlineStr">
        <is>
          <t>PdZnAl</t>
        </is>
      </c>
      <c r="E96" s="13" t="inlineStr">
        <is>
          <t>Table 2, PdZnAl</t>
        </is>
      </c>
      <c r="F96" s="13" t="inlineStr">
        <is>
          <t>H2/CO2</t>
        </is>
      </c>
      <c r="G96" s="13" t="inlineStr">
        <is>
          <t>3</t>
        </is>
      </c>
      <c r="H96" s="13" t="inlineStr">
        <is>
          <t>mol/mol</t>
        </is>
      </c>
      <c r="I96" s="13" t="inlineStr"/>
      <c r="J96" s="13" t="inlineStr">
        <is>
          <t>Table 2</t>
        </is>
      </c>
      <c r="K96" s="17" t="inlineStr">
        <is>
          <t>01 数值相符 / 引文修订</t>
        </is>
      </c>
      <c r="L96" s="13" t="inlineStr">
        <is>
          <t>CO₂:H₂ = 1:3</t>
        </is>
      </c>
      <c r="M96" s="13" t="inlineStr">
        <is>
          <t>Ota 2012, accepted manuscript Table 2 heading</t>
        </is>
      </c>
      <c r="N96" s="13" t="inlineStr">
        <is>
          <t>C / CO₂:H₂ 倒数表达</t>
        </is>
      </c>
      <c r="O96" s="13" t="inlineStr">
        <is>
          <t>从 CO₂:H₂=1:3 写成 H₂/CO₂=3，属于原文明确比值的倒数表达</t>
        </is>
      </c>
      <c r="P96" s="13" t="inlineStr">
        <is>
          <t>https://iris.unito.it/retrieve/handle/2318/122839/18808/COST_OA.pdf</t>
        </is>
      </c>
      <c r="Q96" s="13" t="inlineStr">
        <is>
          <t>建议 correct（须人工确认源页）</t>
        </is>
      </c>
      <c r="R96" s="13" t="inlineStr">
        <is>
          <t>中（本轮作者接受稿下载未复现）</t>
        </is>
      </c>
      <c r="S96" s="13" t="inlineStr">
        <is>
          <t>仅需独立作者确认</t>
        </is>
      </c>
    </row>
    <row r="97" ht="47" customHeight="1">
      <c r="A97" s="15" t="n">
        <v>96</v>
      </c>
      <c r="B97" s="15" t="inlineStr">
        <is>
          <t>Ota 2012</t>
        </is>
      </c>
      <c r="C97" s="15" t="inlineStr">
        <is>
          <t>10.1016/j.jcat.2012.05.020</t>
        </is>
      </c>
      <c r="D97" s="15" t="inlineStr">
        <is>
          <t>PdMgGa</t>
        </is>
      </c>
      <c r="E97" s="15" t="inlineStr">
        <is>
          <t>Table 2, PdMgGa</t>
        </is>
      </c>
      <c r="F97" s="15" t="inlineStr">
        <is>
          <t>H2/CO2</t>
        </is>
      </c>
      <c r="G97" s="15" t="inlineStr">
        <is>
          <t>3</t>
        </is>
      </c>
      <c r="H97" s="15" t="inlineStr">
        <is>
          <t>mol/mol</t>
        </is>
      </c>
      <c r="I97" s="15" t="inlineStr"/>
      <c r="J97" s="15" t="inlineStr">
        <is>
          <t>Table 2</t>
        </is>
      </c>
      <c r="K97" s="17" t="inlineStr">
        <is>
          <t>01 数值相符 / 引文修订</t>
        </is>
      </c>
      <c r="L97" s="15" t="inlineStr">
        <is>
          <t>CO₂:H₂ = 1:3</t>
        </is>
      </c>
      <c r="M97" s="15" t="inlineStr">
        <is>
          <t>Ota 2012, accepted manuscript Table 2 heading</t>
        </is>
      </c>
      <c r="N97" s="15" t="inlineStr">
        <is>
          <t>C / CO₂:H₂ 倒数表达</t>
        </is>
      </c>
      <c r="O97" s="15" t="inlineStr">
        <is>
          <t>从 CO₂:H₂=1:3 写成 H₂/CO₂=3，属于原文明确比值的倒数表达</t>
        </is>
      </c>
      <c r="P97" s="15" t="inlineStr">
        <is>
          <t>https://iris.unito.it/retrieve/handle/2318/122839/18808/COST_OA.pdf</t>
        </is>
      </c>
      <c r="Q97" s="15" t="inlineStr">
        <is>
          <t>建议 correct（须人工确认源页）</t>
        </is>
      </c>
      <c r="R97" s="15" t="inlineStr">
        <is>
          <t>中（本轮作者接受稿下载未复现）</t>
        </is>
      </c>
      <c r="S97" s="15" t="inlineStr">
        <is>
          <t>仅需独立作者确认</t>
        </is>
      </c>
    </row>
    <row r="98" ht="47" customHeight="1">
      <c r="A98" s="13" t="n">
        <v>97</v>
      </c>
      <c r="B98" s="13" t="inlineStr">
        <is>
          <t>Ota 2012</t>
        </is>
      </c>
      <c r="C98" s="13" t="inlineStr">
        <is>
          <t>10.1016/j.jcat.2012.05.020</t>
        </is>
      </c>
      <c r="D98" s="13" t="inlineStr">
        <is>
          <t>PdMgAl</t>
        </is>
      </c>
      <c r="E98" s="13" t="inlineStr">
        <is>
          <t>Table 2, PdMgAl</t>
        </is>
      </c>
      <c r="F98" s="13" t="inlineStr">
        <is>
          <t>temperature</t>
        </is>
      </c>
      <c r="G98" s="13" t="inlineStr">
        <is>
          <t>249.85</t>
        </is>
      </c>
      <c r="H98" s="13" t="inlineStr">
        <is>
          <t>°C (from K)</t>
        </is>
      </c>
      <c r="I98" s="13" t="inlineStr"/>
      <c r="J98" s="13" t="inlineStr">
        <is>
          <t>Table 2</t>
        </is>
      </c>
      <c r="K98" s="17" t="inlineStr">
        <is>
          <t>01 数值相符 / 引文修订</t>
        </is>
      </c>
      <c r="L98" s="13" t="inlineStr">
        <is>
          <t>250 °C (or 523 K)</t>
        </is>
      </c>
      <c r="M98" s="13" t="inlineStr">
        <is>
          <t>Ota 2012, accepted manuscript Table 2 heading</t>
        </is>
      </c>
      <c r="N98" s="13" t="inlineStr">
        <is>
          <t>C / K与°C舍入</t>
        </is>
      </c>
      <c r="O98" s="13" t="inlineStr">
        <is>
          <t>原表写250 °C（期刊排版版写523 K）；Excel249.85 °C=523 K精确换算，是四舍五入差非错误</t>
        </is>
      </c>
      <c r="P98" s="13" t="inlineStr">
        <is>
          <t>https://iris.unito.it/retrieve/handle/2318/122839/18808/COST_OA.pdf</t>
        </is>
      </c>
      <c r="Q98" s="13" t="inlineStr">
        <is>
          <t>建议 correct（须人工确认源页）</t>
        </is>
      </c>
      <c r="R98" s="13" t="inlineStr">
        <is>
          <t>中（本轮作者接受稿下载未复现）</t>
        </is>
      </c>
      <c r="S98" s="13" t="inlineStr">
        <is>
          <t>仅需独立作者确认</t>
        </is>
      </c>
    </row>
    <row r="99" ht="47" customHeight="1">
      <c r="A99" s="15" t="n">
        <v>98</v>
      </c>
      <c r="B99" s="15" t="inlineStr">
        <is>
          <t>Ota 2012</t>
        </is>
      </c>
      <c r="C99" s="15" t="inlineStr">
        <is>
          <t>10.1016/j.jcat.2012.05.020</t>
        </is>
      </c>
      <c r="D99" s="15" t="inlineStr">
        <is>
          <t>PdMgGa</t>
        </is>
      </c>
      <c r="E99" s="15" t="inlineStr">
        <is>
          <t>Table 2, PdMgGa</t>
        </is>
      </c>
      <c r="F99" s="15" t="inlineStr">
        <is>
          <t>temperature</t>
        </is>
      </c>
      <c r="G99" s="15" t="inlineStr">
        <is>
          <t>249.85</t>
        </is>
      </c>
      <c r="H99" s="15" t="inlineStr">
        <is>
          <t>°C (from K)</t>
        </is>
      </c>
      <c r="I99" s="15" t="inlineStr"/>
      <c r="J99" s="15" t="inlineStr">
        <is>
          <t>Table 2</t>
        </is>
      </c>
      <c r="K99" s="17" t="inlineStr">
        <is>
          <t>01 数值相符 / 引文修订</t>
        </is>
      </c>
      <c r="L99" s="15" t="inlineStr">
        <is>
          <t>250 °C (or 523 K)</t>
        </is>
      </c>
      <c r="M99" s="15" t="inlineStr">
        <is>
          <t>Ota 2012, accepted manuscript Table 2 heading</t>
        </is>
      </c>
      <c r="N99" s="15" t="inlineStr">
        <is>
          <t>C / K与°C舍入</t>
        </is>
      </c>
      <c r="O99" s="15" t="inlineStr">
        <is>
          <t>原表写250 °C（期刊排版版写523 K）；Excel249.85 °C=523 K精确换算，是四舍五入差非错误</t>
        </is>
      </c>
      <c r="P99" s="15" t="inlineStr">
        <is>
          <t>https://iris.unito.it/retrieve/handle/2318/122839/18808/COST_OA.pdf</t>
        </is>
      </c>
      <c r="Q99" s="15" t="inlineStr">
        <is>
          <t>建议 correct（须人工确认源页）</t>
        </is>
      </c>
      <c r="R99" s="15" t="inlineStr">
        <is>
          <t>中（本轮作者接受稿下载未复现）</t>
        </is>
      </c>
      <c r="S99" s="15" t="inlineStr">
        <is>
          <t>仅需独立作者确认</t>
        </is>
      </c>
    </row>
    <row r="100" ht="47" customHeight="1">
      <c r="A100" s="13" t="n">
        <v>99</v>
      </c>
      <c r="B100" s="13" t="inlineStr">
        <is>
          <t>Ota 2012</t>
        </is>
      </c>
      <c r="C100" s="13" t="inlineStr">
        <is>
          <t>10.1016/j.jcat.2012.05.020</t>
        </is>
      </c>
      <c r="D100" s="13" t="inlineStr">
        <is>
          <t>PdMgAl</t>
        </is>
      </c>
      <c r="E100" s="13" t="inlineStr">
        <is>
          <t>Table 2, PdMgAl</t>
        </is>
      </c>
      <c r="F100" s="13" t="inlineStr">
        <is>
          <t>STY (printed)</t>
        </is>
      </c>
      <c r="G100" s="13" t="inlineStr">
        <is>
          <t>0.3 µmol/min gcat</t>
        </is>
      </c>
      <c r="H100" s="13" t="inlineStr">
        <is>
          <t>as printed</t>
        </is>
      </c>
      <c r="I100" s="13" t="inlineStr">
        <is>
          <t>=</t>
        </is>
      </c>
      <c r="J100" s="13" t="inlineStr">
        <is>
          <t>Table 2</t>
        </is>
      </c>
      <c r="K100" s="17" t="inlineStr">
        <is>
          <t>01 数值相符 / 引文修订</t>
        </is>
      </c>
      <c r="L100" s="13" t="inlineStr">
        <is>
          <t>0.3 μmol min⁻¹ gcat⁻¹</t>
        </is>
      </c>
      <c r="M100" s="13" t="inlineStr">
        <is>
          <t>Ota 2012, accepted manuscript Table 2, PdMgAl, MeOH rate column</t>
        </is>
      </c>
      <c r="N100" s="13" t="inlineStr">
        <is>
          <t>Y / 原文表格数字或原单位</t>
        </is>
      </c>
      <c r="O100" s="13" t="inlineStr">
        <is>
          <t>表中是甲醇形成速率、摩尔单位；命名为“STY (printed)”虽沿用模型字段，论文需明确不等同于 g MeOH/gcat/h</t>
        </is>
      </c>
      <c r="P100" s="13" t="inlineStr">
        <is>
          <t>https://iris.unito.it/retrieve/handle/2318/122839/18808/COST_OA.pdf</t>
        </is>
      </c>
      <c r="Q100" s="13" t="inlineStr">
        <is>
          <t>建议 correct（须人工确认源页）</t>
        </is>
      </c>
      <c r="R100" s="13" t="inlineStr">
        <is>
          <t>中（本轮作者接受稿下载未复现）</t>
        </is>
      </c>
      <c r="S100" s="13" t="inlineStr">
        <is>
          <t>仅需独立作者确认</t>
        </is>
      </c>
    </row>
    <row r="101" ht="47" customHeight="1">
      <c r="A101" s="15" t="n">
        <v>100</v>
      </c>
      <c r="B101" s="15" t="inlineStr">
        <is>
          <t>Ota 2012</t>
        </is>
      </c>
      <c r="C101" s="15" t="inlineStr">
        <is>
          <t>10.1016/j.jcat.2012.05.020</t>
        </is>
      </c>
      <c r="D101" s="15" t="inlineStr">
        <is>
          <t>PdZnAl</t>
        </is>
      </c>
      <c r="E101" s="15" t="inlineStr">
        <is>
          <t>Table 2, PdZnAl</t>
        </is>
      </c>
      <c r="F101" s="15" t="inlineStr">
        <is>
          <t>CO2 conversion</t>
        </is>
      </c>
      <c r="G101" s="15" t="inlineStr">
        <is>
          <t>0.6</t>
        </is>
      </c>
      <c r="H101" s="15" t="inlineStr">
        <is>
          <t>%</t>
        </is>
      </c>
      <c r="I101" s="15" t="inlineStr">
        <is>
          <t>=</t>
        </is>
      </c>
      <c r="J101" s="15" t="inlineStr">
        <is>
          <t>Table 2</t>
        </is>
      </c>
      <c r="K101" s="17" t="inlineStr">
        <is>
          <t>01 数值相符 / 引文修订</t>
        </is>
      </c>
      <c r="L101" s="15" t="inlineStr">
        <is>
          <t>0.6%</t>
        </is>
      </c>
      <c r="M101" s="15" t="inlineStr">
        <is>
          <t>Ota 2012, accepted manuscript Table 2, PdZnAl</t>
        </is>
      </c>
      <c r="N101" s="15" t="inlineStr">
        <is>
          <t>Y / 原文表格数字或原单位</t>
        </is>
      </c>
      <c r="O101" s="15" t="inlineStr">
        <is>
          <t>原表 0.6%</t>
        </is>
      </c>
      <c r="P101" s="15" t="inlineStr">
        <is>
          <t>https://iris.unito.it/retrieve/handle/2318/122839/18808/COST_OA.pdf</t>
        </is>
      </c>
      <c r="Q101" s="15" t="inlineStr">
        <is>
          <t>建议 correct（须人工确认源页）</t>
        </is>
      </c>
      <c r="R101" s="15" t="inlineStr">
        <is>
          <t>中（本轮作者接受稿下载未复现）</t>
        </is>
      </c>
      <c r="S101" s="15" t="inlineStr">
        <is>
          <t>仅需独立作者确认</t>
        </is>
      </c>
    </row>
  </sheetData>
  <autoFilter ref="A1:S10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1" customWidth="1" min="2" max="2"/>
    <col width="13" customWidth="1" min="3" max="3"/>
    <col width="38" customWidth="1" min="4" max="4"/>
    <col width="62" customWidth="1" min="5" max="5"/>
    <col width="78" customWidth="1" min="6" max="6"/>
    <col width="17" customWidth="1" min="7" max="7"/>
    <col width="15" customWidth="1" min="8" max="8"/>
    <col width="74" customWidth="1" min="9" max="9"/>
  </cols>
  <sheetData>
    <row r="1" ht="42" customHeight="1">
      <c r="A1" s="12" t="inlineStr">
        <is>
          <t>文献</t>
        </is>
      </c>
      <c r="B1" s="12" t="inlineStr">
        <is>
          <t>DOI</t>
        </is>
      </c>
      <c r="C1" s="12" t="inlineStr">
        <is>
          <t>抽样ID</t>
        </is>
      </c>
      <c r="D1" s="12" t="inlineStr">
        <is>
          <t>本轮能直接访问的原始资料</t>
        </is>
      </c>
      <c r="E1" s="12" t="inlineStr">
        <is>
          <t>缺少的决定性材料</t>
        </is>
      </c>
      <c r="F1" s="12" t="inlineStr">
        <is>
          <t>源下载/替代网址</t>
        </is>
      </c>
      <c r="G1" s="12" t="inlineStr">
        <is>
          <t>本轮数值核验</t>
        </is>
      </c>
      <c r="H1" s="12" t="inlineStr">
        <is>
          <t>仍待核</t>
        </is>
      </c>
      <c r="I1" s="12" t="inlineStr">
        <is>
          <t>备注（避免拿SI代替正文）</t>
        </is>
      </c>
    </row>
    <row r="2" ht="64" customHeight="1">
      <c r="A2" s="13" t="inlineStr">
        <is>
          <t>Malik 2018</t>
        </is>
      </c>
      <c r="B2" s="13" t="inlineStr">
        <is>
          <t>10.1016/j.apcata.2018.04.036</t>
        </is>
      </c>
      <c r="C2" s="13" t="inlineStr">
        <is>
          <t>1–10</t>
        </is>
      </c>
      <c r="D2" s="13" t="inlineStr">
        <is>
          <t>出版社摘要/信息</t>
        </is>
      </c>
      <c r="E2" s="13" t="inlineStr">
        <is>
          <t>主文Table6页面或整篇可读PDF</t>
        </is>
      </c>
      <c r="F2" s="20" t="inlineStr">
        <is>
          <t>https://ars.els-cdn.com/content/image/1-s2.0-S0926860X18302084-mmc1.docx</t>
        </is>
      </c>
      <c r="G2" s="13" t="n">
        <v>0</v>
      </c>
      <c r="H2" s="13" t="n">
        <v>10</v>
      </c>
      <c r="I2" s="13" t="inlineStr">
        <is>
          <t>SI是mmc1.docx；当前目标数据多数在主文Table6</t>
        </is>
      </c>
    </row>
    <row r="3" ht="64" customHeight="1">
      <c r="A3" s="15" t="inlineStr">
        <is>
          <t>Meng 2021</t>
        </is>
      </c>
      <c r="B3" s="15" t="inlineStr">
        <is>
          <t>10.1126/sciadv.abi6012</t>
        </is>
      </c>
      <c r="C3" s="15" t="inlineStr">
        <is>
          <t>11–20</t>
        </is>
      </c>
      <c r="D3" s="15" t="inlineStr">
        <is>
          <t>Science Advances主文PDF</t>
        </is>
      </c>
      <c r="E3" s="15" t="inlineStr">
        <is>
          <t>sciadv.abi6012_sm.pdf（SI Table S2、S7）</t>
        </is>
      </c>
      <c r="F3" s="21" t="inlineStr">
        <is>
          <t>https://www.science.org/doi/suppl/10.1126/sciadv.abi6012/suppl_file/sciadv.abi6012_sm.pdf</t>
        </is>
      </c>
      <c r="G3" s="15" t="n">
        <v>3</v>
      </c>
      <c r="H3" s="15" t="n">
        <v>7</v>
      </c>
      <c r="I3" s="15" t="inlineStr">
        <is>
          <t>主文原始PDF已核；图2的数值仅有部分直接印刷</t>
        </is>
      </c>
    </row>
    <row r="4" ht="64" customHeight="1">
      <c r="A4" s="13" t="inlineStr">
        <is>
          <t>Bansode 2013</t>
        </is>
      </c>
      <c r="B4" s="13" t="inlineStr">
        <is>
          <t>10.1039/c2cy20604h</t>
        </is>
      </c>
      <c r="C4" s="13" t="inlineStr">
        <is>
          <t>21–30</t>
        </is>
      </c>
      <c r="D4" s="13" t="inlineStr">
        <is>
          <t>RSC ESI完整三表</t>
        </is>
      </c>
      <c r="E4" s="13" t="inlineStr">
        <is>
          <t>已取得：c2cy20604h.pdf，Tables S1-S3</t>
        </is>
      </c>
      <c r="F4" s="20" t="inlineStr">
        <is>
          <t>https://www.rsc.org/suppdata/cy/c2/c2cy20604h/c2cy20604h.pdf</t>
        </is>
      </c>
      <c r="G4" s="13" t="n">
        <v>10</v>
      </c>
      <c r="H4" s="13" t="n">
        <v>0</v>
      </c>
      <c r="I4" s="13" t="inlineStr">
        <is>
          <t>10项均能定位原SI表具体行</t>
        </is>
      </c>
    </row>
    <row r="5" ht="64" customHeight="1">
      <c r="A5" s="15" t="inlineStr">
        <is>
          <t>Frei 2019</t>
        </is>
      </c>
      <c r="B5" s="15" t="inlineStr">
        <is>
          <t>10.1038/s41467-019-11349-9</t>
        </is>
      </c>
      <c r="C5" s="15" t="inlineStr">
        <is>
          <t>31–40</t>
        </is>
      </c>
      <c r="D5" s="15" t="inlineStr">
        <is>
          <t>Nature Communications主文PDF</t>
        </is>
      </c>
      <c r="E5" s="15" t="inlineStr">
        <is>
          <t>已取得主文Fig6与Table2</t>
        </is>
      </c>
      <c r="F5" s="21" t="inlineStr">
        <is>
          <t>https://www.nature.com/articles/s41467-019-11349-9</t>
        </is>
      </c>
      <c r="G5" s="15" t="n">
        <v>10</v>
      </c>
      <c r="H5" s="15" t="n">
        <v>0</v>
      </c>
      <c r="I5" s="15" t="inlineStr">
        <is>
          <t>需修改#40源定位</t>
        </is>
      </c>
    </row>
    <row r="6" ht="64" customHeight="1">
      <c r="A6" s="13" t="inlineStr">
        <is>
          <t>Dang 2020</t>
        </is>
      </c>
      <c r="B6" s="13" t="inlineStr">
        <is>
          <t>10.1126/sciadv.aaz2060</t>
        </is>
      </c>
      <c r="C6" s="13" t="inlineStr">
        <is>
          <t>41–50</t>
        </is>
      </c>
      <c r="D6" s="13" t="inlineStr">
        <is>
          <t>Science Advances主文PDF</t>
        </is>
      </c>
      <c r="E6" s="13" t="inlineStr">
        <is>
          <t>已取得主文Fig5与正文结果</t>
        </is>
      </c>
      <c r="F6" s="20" t="inlineStr">
        <is>
          <t>https://pmc.ncbi.nlm.nih.gov/articles/PMC7299618/</t>
        </is>
      </c>
      <c r="G6" s="13" t="n">
        <v>9</v>
      </c>
      <c r="H6" s="13" t="n">
        <v>1</v>
      </c>
      <c r="I6" s="13" t="inlineStr">
        <is>
          <t>#45=73/24是推算值；#49是正文直接印刷</t>
        </is>
      </c>
    </row>
    <row r="7" ht="64" customHeight="1">
      <c r="A7" s="15" t="inlineStr">
        <is>
          <t>Gao 2015</t>
        </is>
      </c>
      <c r="B7" s="15" t="inlineStr">
        <is>
          <t>10.1039/c5cy00372e</t>
        </is>
      </c>
      <c r="C7" s="15" t="inlineStr">
        <is>
          <t>51–60</t>
        </is>
      </c>
      <c r="D7" s="15" t="inlineStr">
        <is>
          <t>RSC ESI（无正文Table6）</t>
        </is>
      </c>
      <c r="E7" s="15" t="inlineStr">
        <is>
          <t>需主文Table 6（不是ESI）</t>
        </is>
      </c>
      <c r="F7" s="21" t="inlineStr">
        <is>
          <t>https://www.rsc.org/suppdata/c5/cy/c5cy00372e/c5cy00372e1.pdf</t>
        </is>
      </c>
      <c r="G7" s="15" t="n">
        <v>0</v>
      </c>
      <c r="H7" s="15" t="n">
        <v>10</v>
      </c>
      <c r="I7" s="15" t="inlineStr">
        <is>
          <t>8页ESI已找到，但只有FigS1–S10，不含Table6</t>
        </is>
      </c>
    </row>
    <row r="8" ht="64" customHeight="1">
      <c r="A8" s="13" t="inlineStr">
        <is>
          <t>Rui 2017</t>
        </is>
      </c>
      <c r="B8" s="13" t="inlineStr">
        <is>
          <t>10.1016/j.apcatb.2017.06.069</t>
        </is>
      </c>
      <c r="C8" s="13" t="inlineStr">
        <is>
          <t>61–70</t>
        </is>
      </c>
      <c r="D8" s="13" t="inlineStr">
        <is>
          <t>出版社摘要/信息</t>
        </is>
      </c>
      <c r="E8" s="13" t="inlineStr">
        <is>
          <t>10_1016_j_apcatb_2017_06_069__mmc1.docx（SI S1/S2）</t>
        </is>
      </c>
      <c r="F8" s="20" t="inlineStr">
        <is>
          <t>https://ars.els-cdn.com/content/image/1-s2.0-S0926337317306197-mmc1.docx</t>
        </is>
      </c>
      <c r="G8" s="13" t="n">
        <v>0</v>
      </c>
      <c r="H8" s="13" t="n">
        <v>10</v>
      </c>
      <c r="I8" s="13" t="inlineStr">
        <is>
          <t>目前仅能佐证摘要中T=300C、P=5MPa</t>
        </is>
      </c>
    </row>
    <row r="9" ht="64" customHeight="1">
      <c r="A9" s="15" t="inlineStr">
        <is>
          <t>Energy Technol 2018</t>
        </is>
      </c>
      <c r="B9" s="15" t="inlineStr">
        <is>
          <t>10.1002/ente.201800747</t>
        </is>
      </c>
      <c r="C9" s="15" t="inlineStr">
        <is>
          <t>71–80</t>
        </is>
      </c>
      <c r="D9" s="15" t="inlineStr">
        <is>
          <t>出版社摘要/信息</t>
        </is>
      </c>
      <c r="E9" s="15" t="inlineStr">
        <is>
          <t>ente201800747-sup-0001-SuppData-S1.pdf</t>
        </is>
      </c>
      <c r="F9" s="21" t="inlineStr">
        <is>
          <t>https://onlinelibrary.wiley.com/action/downloadSupplement?doi=10.1002%2Fente.201800747&amp;file=ente201800747-sup-0001-SuppData-S1.pdf</t>
        </is>
      </c>
      <c r="G9" s="15" t="n">
        <v>0</v>
      </c>
      <c r="H9" s="15" t="n">
        <v>10</v>
      </c>
      <c r="I9" s="15" t="inlineStr">
        <is>
          <t>主要需要SI Table S1</t>
        </is>
      </c>
    </row>
    <row r="10" ht="64" customHeight="1">
      <c r="A10" s="13" t="inlineStr">
        <is>
          <t>Ruiz Esquius 2020</t>
        </is>
      </c>
      <c r="B10" s="13" t="inlineStr">
        <is>
          <t>10.1002/cctc.202000974</t>
        </is>
      </c>
      <c r="C10" s="13" t="inlineStr">
        <is>
          <t>81–90</t>
        </is>
      </c>
      <c r="D10" s="13" t="inlineStr">
        <is>
          <t>Cardiff原始主文PDF</t>
        </is>
      </c>
      <c r="E10" s="13" t="inlineStr">
        <is>
          <t>cctc202000974-sup-0001-misc_information.pdf</t>
        </is>
      </c>
      <c r="F10" s="20" t="inlineStr">
        <is>
          <t>https://chemistry-europe.onlinelibrary.wiley.com/action/downloadSupplement?doi=10.1002%2Fcctc.202000974&amp;file=cctc202000974-sup-0001-misc_information.pdf</t>
        </is>
      </c>
      <c r="G10" s="13" t="n">
        <v>1</v>
      </c>
      <c r="H10" s="13" t="n">
        <v>9</v>
      </c>
      <c r="I10" s="13" t="inlineStr">
        <is>
          <t>主文Table1已核；SI Tables S2–S4待核</t>
        </is>
      </c>
    </row>
    <row r="11" ht="64" customHeight="1">
      <c r="A11" s="15" t="inlineStr">
        <is>
          <t>Ota 2012</t>
        </is>
      </c>
      <c r="B11" s="15" t="inlineStr">
        <is>
          <t>10.1016/j.jcat.2012.05.020</t>
        </is>
      </c>
      <c r="C11" s="15" t="inlineStr">
        <is>
          <t>91–100</t>
        </is>
      </c>
      <c r="D11" s="15" t="inlineStr">
        <is>
          <t>上轮审过作者接受稿</t>
        </is>
      </c>
      <c r="E11" s="15" t="inlineStr">
        <is>
          <t>作者接受稿Table2上轮已核；本轮下载需恢复</t>
        </is>
      </c>
      <c r="F11" s="21" t="inlineStr">
        <is>
          <t>https://iris.unito.it/retrieve/handle/2318/122839/18808/COST_OA.pdf</t>
        </is>
      </c>
      <c r="G11" s="15" t="n">
        <v>9</v>
      </c>
      <c r="H11" s="15" t="n">
        <v>1</v>
      </c>
      <c r="I11" s="15" t="inlineStr">
        <is>
          <t>#93原论文Table2没有CH4选择性列，需独立确认上界依据</t>
        </is>
      </c>
    </row>
  </sheetData>
  <autoFilter ref="A1:I1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116" customWidth="1" min="3" max="3"/>
  </cols>
  <sheetData>
    <row r="1" ht="42" customHeight="1">
      <c r="A1" s="12" t="inlineStr">
        <is>
          <t>项目</t>
        </is>
      </c>
      <c r="B1" s="12" t="inlineStr">
        <is>
          <t>结果</t>
        </is>
      </c>
      <c r="C1" s="12" t="inlineStr">
        <is>
          <t>审计解释 / 可复核出处</t>
        </is>
      </c>
    </row>
    <row r="2" ht="48" customHeight="1">
      <c r="A2" s="13" t="inlineStr">
        <is>
          <t>原抽样记录数</t>
        </is>
      </c>
      <c r="B2" s="13" t="n">
        <v>100</v>
      </c>
      <c r="C2" s="13" t="inlineStr">
        <is>
          <t>原 Excel sheet「核对表」 A2:A101；金标准的人工判定区N:R原本全部为空</t>
        </is>
      </c>
    </row>
    <row r="3" ht="48" customHeight="1">
      <c r="A3" s="15" t="inlineStr">
        <is>
          <t>原抽样论文数</t>
        </is>
      </c>
      <c r="B3" s="15" t="n">
        <v>10</v>
      </c>
      <c r="C3" s="15" t="inlineStr">
        <is>
          <t>10篇，每篇10个值；原抽样脚本固定随机种子20261008</t>
        </is>
      </c>
    </row>
    <row r="4" ht="48" customHeight="1">
      <c r="A4" s="13" t="inlineStr">
        <is>
          <t>抽样时的原总体候选</t>
        </is>
      </c>
      <c r="B4" s="13" t="n">
        <v>307</v>
      </c>
      <c r="C4" s="13" t="inlineStr">
        <is>
          <t>分析脚本 meoh_decomposition.py旧去重键与当前有差异</t>
        </is>
      </c>
    </row>
    <row r="5" ht="48" customHeight="1">
      <c r="A5" s="15" t="inlineStr">
        <is>
          <t>抽样时的原总体字段值</t>
        </is>
      </c>
      <c r="B5" s="15" t="n">
        <v>2222</v>
      </c>
      <c r="C5" s="15" t="inlineStr">
        <is>
          <t>原gold_standard_sample.py报告的旧总体，勿当成当前新总体</t>
        </is>
      </c>
    </row>
    <row r="6" ht="48" customHeight="1">
      <c r="A6" s="13" t="inlineStr">
        <is>
          <t>当前冻结S5参与比较候选</t>
        </is>
      </c>
      <c r="B6" s="13" t="n">
        <v>310</v>
      </c>
      <c r="C6" s="13" t="inlineStr">
        <is>
          <t>分析/甲醇文献 ranking summary.json，40组、28篇</t>
        </is>
      </c>
    </row>
    <row r="7" ht="48" customHeight="1">
      <c r="A7" s="15" t="inlineStr">
        <is>
          <t>当前冻结S5比较组数</t>
        </is>
      </c>
      <c r="B7" s="15" t="n">
        <v>40</v>
      </c>
      <c r="C7" s="15" t="inlineStr">
        <is>
          <t>冻结分支的 literature_candidates.csv 统计每组n≥2</t>
        </is>
      </c>
    </row>
    <row r="8" ht="48" customHeight="1">
      <c r="A8" s="13" t="inlineStr">
        <is>
          <t>100条当前冻结候选归属核验</t>
        </is>
      </c>
      <c r="B8" s="13" t="n">
        <v>100</v>
      </c>
      <c r="C8" s="13" t="inlineStr">
        <is>
          <t>与现行310条的 DOI、entry、catalyst_key 三键一一匹配；本轮GitHub数据逐项比对</t>
        </is>
      </c>
    </row>
    <row r="9" ht="48" customHeight="1">
      <c r="A9" s="15" t="inlineStr">
        <is>
          <t>当前抽样是否为重新独立随机抽样</t>
        </is>
      </c>
      <c r="B9" s="15" t="inlineStr">
        <is>
          <t>否</t>
        </is>
      </c>
      <c r="C9" s="15" t="inlineStr">
        <is>
          <t>抽样时总体与去重规则已变化；可用于原文逐值核验，不能直接称重新随机抽取</t>
        </is>
      </c>
    </row>
    <row r="10" ht="48" customHeight="1">
      <c r="A10" s="13" t="inlineStr">
        <is>
          <t>本轮人工签字/复核完成度</t>
        </is>
      </c>
      <c r="B10" s="13" t="n">
        <v>0</v>
      </c>
      <c r="C10" s="13" t="inlineStr">
        <is>
          <t>AI不能冒充人工；原表N:R保持未填。AI建议全部另置「逐项原文核验」</t>
        </is>
      </c>
    </row>
    <row r="11" ht="48" customHeight="1">
      <c r="A11" s="15" t="inlineStr">
        <is>
          <t>样本分配方法</t>
        </is>
      </c>
      <c r="B11" s="15" t="inlineStr">
        <is>
          <t>10篇×10值</t>
        </is>
      </c>
      <c r="C11" s="15" t="inlineStr">
        <is>
          <t>按论文抽样与论文内字段抽样两阶段；不能把未加权correct/100视为全集统一估计</t>
        </is>
      </c>
    </row>
    <row r="12" ht="48" customHeight="1">
      <c r="A12" s="13" t="inlineStr">
        <is>
          <t>可疑限定符</t>
        </is>
      </c>
      <c r="B12" s="13" t="inlineStr">
        <is>
          <t>ID93</t>
        </is>
      </c>
      <c r="C12" s="13" t="inlineStr">
        <is>
          <t>抽样CSV qualifier=“&lt;”；旧Excel未显示；应核原始测量限并披露模型置0的预处理</t>
        </is>
      </c>
    </row>
  </sheetData>
  <autoFilter ref="A1:C12"/>
  <hyperlinks>
    <hyperlink xmlns:r="http://schemas.openxmlformats.org/officeDocument/2006/relationships" ref="C7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甲醇文献抽取：人工金标准核对表</t>
        </is>
      </c>
    </row>
    <row r="2">
      <c r="A2" s="2" t="inlineStr"/>
    </row>
    <row r="3">
      <c r="A3" s="2" t="inlineStr">
        <is>
          <t>抽样规则（抽样前固定，见 analysis/verify_2026_10_08/gold_standard_sample.py）：</t>
        </is>
      </c>
    </row>
    <row r="4">
      <c r="A4" s="2" t="inlineStr">
        <is>
          <t>总体 = 只用印刷值时进入甲醇主结果的全部数值：2222 个数，307 个条目，28 篇论文。</t>
        </is>
      </c>
    </row>
    <row r="5">
      <c r="A5" s="2" t="inlineStr">
        <is>
          <t>随机种子 20261008：先随机抽 10 篇论文，每篇随机抽 10 个数，共 100 个数。</t>
        </is>
      </c>
    </row>
    <row r="6">
      <c r="A6" s="2" t="inlineStr"/>
    </row>
    <row r="7">
      <c r="A7" s="2" t="inlineStr">
        <is>
          <t>核对方法（必须本人对照原文或 SI 完成，不用任何程序或模型判断）：</t>
        </is>
      </c>
    </row>
    <row r="8">
      <c r="A8" s="2" t="inlineStr">
        <is>
          <t>1. 打开 pdf / si 列给出的文件（位于 agent/extraction/ 下，已下载的工作目录中），按 entry、record_location、record_page 找到该条目。</t>
        </is>
      </c>
    </row>
    <row r="9">
      <c r="A9" s="2" t="inlineStr">
        <is>
          <t>2. found_where：写出这个数在原文印刷的位置（如 'Table 2, p.5' 或 'SI Table S3'）。</t>
        </is>
      </c>
    </row>
    <row r="10">
      <c r="A10" s="2" t="inlineStr">
        <is>
          <t>3. value_in_paper：抄下原文印刷的数（原单位）。</t>
        </is>
      </c>
    </row>
    <row r="11">
      <c r="A11" s="2" t="inlineStr">
        <is>
          <t>4. printed_number：原文是印刷的数字填 Y；只能从图上读填 N。</t>
        </is>
      </c>
    </row>
    <row r="12">
      <c r="A12" s="2" t="inlineStr">
        <is>
          <t>5. judgment：correct = 换算单位后与原文一致；rounding = 只在原文印刷位数之外有差；wrong = 不一致。</t>
        </is>
      </c>
    </row>
    <row r="13">
      <c r="A13" s="2" t="inlineStr">
        <is>
          <t>6. note：其他说明（如单位换算、原文自相矛盾）。</t>
        </is>
      </c>
    </row>
    <row r="14">
      <c r="A14" s="2" t="inlineStr"/>
    </row>
    <row r="15">
      <c r="A15" s="2" t="inlineStr">
        <is>
          <t>字段说明：temperature 已从 K 换算成 °C；pressure 单位 bar（1 MPa = 10 bar）；</t>
        </is>
      </c>
    </row>
    <row r="16">
      <c r="A16" s="2" t="inlineStr">
        <is>
          <t>STY (printed) 和 space velocity 给的是原文写法（as printed）。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0" customWidth="1" min="4" max="4"/>
    <col width="18" customWidth="1" min="5" max="5"/>
    <col width="12" customWidth="1" min="6" max="6"/>
    <col width="12" customWidth="1" min="7" max="7"/>
    <col width="28" customWidth="1" min="8" max="8"/>
    <col width="8" customWidth="1" min="9" max="9"/>
    <col width="10" customWidth="1" min="10" max="10"/>
    <col width="18" customWidth="1" min="11" max="11"/>
    <col width="30" customWidth="1" min="12" max="12"/>
    <col width="30" customWidth="1" min="13" max="13"/>
    <col width="22" customWidth="1" min="14" max="14"/>
    <col width="14" customWidth="1" min="15" max="15"/>
    <col width="10" customWidth="1" min="16" max="16"/>
    <col width="12" customWidth="1" min="17" max="17"/>
    <col width="30" customWidth="1" min="18" max="18"/>
  </cols>
  <sheetData>
    <row r="1">
      <c r="A1" s="3" t="inlineStr">
        <is>
          <t>id</t>
        </is>
      </c>
      <c r="B1" s="3" t="inlineStr">
        <is>
          <t>doi</t>
        </is>
      </c>
      <c r="C1" s="3" t="inlineStr">
        <is>
          <t>catalyst</t>
        </is>
      </c>
      <c r="D1" s="3" t="inlineStr">
        <is>
          <t>entry</t>
        </is>
      </c>
      <c r="E1" s="3" t="inlineStr">
        <is>
          <t>field</t>
        </is>
      </c>
      <c r="F1" s="3" t="inlineStr">
        <is>
          <t>extracted</t>
        </is>
      </c>
      <c r="G1" s="3" t="inlineStr">
        <is>
          <t>unit</t>
        </is>
      </c>
      <c r="H1" s="3" t="inlineStr">
        <is>
          <t>record_location</t>
        </is>
      </c>
      <c r="I1" s="3" t="inlineStr">
        <is>
          <t>record_page</t>
        </is>
      </c>
      <c r="J1" s="3" t="inlineStr">
        <is>
          <t>value_source</t>
        </is>
      </c>
      <c r="K1" s="3" t="inlineStr">
        <is>
          <t>filled</t>
        </is>
      </c>
      <c r="L1" s="3" t="inlineStr">
        <is>
          <t>pdf</t>
        </is>
      </c>
      <c r="M1" s="3" t="inlineStr">
        <is>
          <t>si</t>
        </is>
      </c>
      <c r="N1" s="4" t="inlineStr">
        <is>
          <t>found_where</t>
        </is>
      </c>
      <c r="O1" s="4" t="inlineStr">
        <is>
          <t>value_in_paper</t>
        </is>
      </c>
      <c r="P1" s="4" t="inlineStr">
        <is>
          <t>printed_number</t>
        </is>
      </c>
      <c r="Q1" s="4" t="inlineStr">
        <is>
          <t>judgment</t>
        </is>
      </c>
      <c r="R1" s="4" t="inlineStr">
        <is>
          <t>note</t>
        </is>
      </c>
    </row>
    <row r="2">
      <c r="A2" s="5" t="n">
        <v>1</v>
      </c>
      <c r="B2" s="5" t="inlineStr">
        <is>
          <t>10.1016/j.apcata.2018.04.036</t>
        </is>
      </c>
      <c r="C2" s="5" t="inlineStr">
        <is>
          <t>0.5Ca5P5ZC</t>
        </is>
      </c>
      <c r="D2" s="5" t="inlineStr">
        <is>
          <t>Fig 10a,b/text, 0.5Ca5P5ZC, 270 °C</t>
        </is>
      </c>
      <c r="E2" s="5" t="inlineStr">
        <is>
          <t>H2/CO2</t>
        </is>
      </c>
      <c r="F2" s="5" t="n">
        <v>3</v>
      </c>
      <c r="G2" s="5" t="inlineStr">
        <is>
          <t>mol/mol</t>
        </is>
      </c>
      <c r="H2" s="5" t="inlineStr">
        <is>
          <t>Text Section 4 and Figure 10a,b</t>
        </is>
      </c>
      <c r="I2" s="5" t="n">
        <v>8</v>
      </c>
      <c r="J2" s="5" t="n"/>
      <c r="K2" s="5" t="inlineStr"/>
      <c r="L2" s="5" t="inlineStr">
        <is>
          <t>pdf/Malik_2018_Development of highly selective PdZnCeO2 and Ca-doped PdZnCeO2 catalysts for met.pdf</t>
        </is>
      </c>
      <c r="M2" s="5" t="inlineStr">
        <is>
          <t>si/10_1016_j_apcata_2018_04_036__mmc1.docx</t>
        </is>
      </c>
      <c r="N2" s="6" t="inlineStr"/>
      <c r="O2" s="6" t="inlineStr"/>
      <c r="P2" s="6" t="inlineStr"/>
      <c r="Q2" s="6" t="inlineStr"/>
      <c r="R2" s="6" t="inlineStr"/>
    </row>
    <row r="3">
      <c r="A3" s="5" t="n">
        <v>2</v>
      </c>
      <c r="B3" s="5" t="inlineStr">
        <is>
          <t>10.1016/j.apcata.2018.04.036</t>
        </is>
      </c>
      <c r="C3" s="5" t="inlineStr">
        <is>
          <t>5P5ZC</t>
        </is>
      </c>
      <c r="D3" s="5" t="inlineStr">
        <is>
          <t>Table 6, 5P5ZC, 220 °C</t>
        </is>
      </c>
      <c r="E3" s="5" t="inlineStr">
        <is>
          <t>CO selectivity</t>
        </is>
      </c>
      <c r="F3" s="5" t="n">
        <v>0</v>
      </c>
      <c r="G3" s="5" t="inlineStr">
        <is>
          <t>%</t>
        </is>
      </c>
      <c r="H3" s="5" t="inlineStr">
        <is>
          <t>Table 6</t>
        </is>
      </c>
      <c r="I3" s="5" t="n">
        <v>8</v>
      </c>
      <c r="J3" s="5" t="inlineStr">
        <is>
          <t>table</t>
        </is>
      </c>
      <c r="K3" s="5" t="inlineStr"/>
      <c r="L3" s="5" t="inlineStr">
        <is>
          <t>pdf/Malik_2018_Development of highly selective PdZnCeO2 and Ca-doped PdZnCeO2 catalysts for met.pdf</t>
        </is>
      </c>
      <c r="M3" s="5" t="inlineStr">
        <is>
          <t>si/10_1016_j_apcata_2018_04_036__mmc1.docx</t>
        </is>
      </c>
      <c r="N3" s="6" t="inlineStr"/>
      <c r="O3" s="6" t="inlineStr"/>
      <c r="P3" s="6" t="inlineStr"/>
      <c r="Q3" s="6" t="inlineStr"/>
      <c r="R3" s="6" t="inlineStr"/>
    </row>
    <row r="4">
      <c r="A4" s="5" t="n">
        <v>3</v>
      </c>
      <c r="B4" s="5" t="inlineStr">
        <is>
          <t>10.1016/j.apcata.2018.04.036</t>
        </is>
      </c>
      <c r="C4" s="5" t="inlineStr">
        <is>
          <t>5P5ZC</t>
        </is>
      </c>
      <c r="D4" s="5" t="inlineStr">
        <is>
          <t>Table 6, 5P5ZC, 220 °C</t>
        </is>
      </c>
      <c r="E4" s="5" t="inlineStr">
        <is>
          <t>pressure</t>
        </is>
      </c>
      <c r="F4" s="5" t="n">
        <v>30</v>
      </c>
      <c r="G4" s="5" t="inlineStr">
        <is>
          <t>bar</t>
        </is>
      </c>
      <c r="H4" s="5" t="inlineStr">
        <is>
          <t>Table 6</t>
        </is>
      </c>
      <c r="I4" s="5" t="n">
        <v>8</v>
      </c>
      <c r="J4" s="5" t="n"/>
      <c r="K4" s="5" t="inlineStr"/>
      <c r="L4" s="5" t="inlineStr">
        <is>
          <t>pdf/Malik_2018_Development of highly selective PdZnCeO2 and Ca-doped PdZnCeO2 catalysts for met.pdf</t>
        </is>
      </c>
      <c r="M4" s="5" t="inlineStr">
        <is>
          <t>si/10_1016_j_apcata_2018_04_036__mmc1.docx</t>
        </is>
      </c>
      <c r="N4" s="6" t="inlineStr"/>
      <c r="O4" s="6" t="inlineStr"/>
      <c r="P4" s="6" t="inlineStr"/>
      <c r="Q4" s="6" t="inlineStr"/>
      <c r="R4" s="6" t="inlineStr"/>
    </row>
    <row r="5">
      <c r="A5" s="5" t="n">
        <v>4</v>
      </c>
      <c r="B5" s="5" t="inlineStr">
        <is>
          <t>10.1016/j.apcata.2018.04.036</t>
        </is>
      </c>
      <c r="C5" s="5" t="inlineStr">
        <is>
          <t>5PC</t>
        </is>
      </c>
      <c r="D5" s="5" t="inlineStr">
        <is>
          <t>Table 6, 5PC, 220 °C</t>
        </is>
      </c>
      <c r="E5" s="5" t="inlineStr">
        <is>
          <t>CH3OH selectivity</t>
        </is>
      </c>
      <c r="F5" s="5" t="n">
        <v>70.09999999999999</v>
      </c>
      <c r="G5" s="5" t="inlineStr">
        <is>
          <t>%</t>
        </is>
      </c>
      <c r="H5" s="5" t="inlineStr">
        <is>
          <t>Table 6</t>
        </is>
      </c>
      <c r="I5" s="5" t="n">
        <v>8</v>
      </c>
      <c r="J5" s="5" t="inlineStr">
        <is>
          <t>table</t>
        </is>
      </c>
      <c r="K5" s="5" t="inlineStr"/>
      <c r="L5" s="5" t="inlineStr">
        <is>
          <t>pdf/Malik_2018_Development of highly selective PdZnCeO2 and Ca-doped PdZnCeO2 catalysts for met.pdf</t>
        </is>
      </c>
      <c r="M5" s="5" t="inlineStr">
        <is>
          <t>si/10_1016_j_apcata_2018_04_036__mmc1.docx</t>
        </is>
      </c>
      <c r="N5" s="6" t="inlineStr"/>
      <c r="O5" s="6" t="inlineStr"/>
      <c r="P5" s="6" t="inlineStr"/>
      <c r="Q5" s="6" t="inlineStr"/>
      <c r="R5" s="6" t="inlineStr"/>
    </row>
    <row r="6">
      <c r="A6" s="5" t="n">
        <v>5</v>
      </c>
      <c r="B6" s="5" t="inlineStr">
        <is>
          <t>10.1016/j.apcata.2018.04.036</t>
        </is>
      </c>
      <c r="C6" s="5" t="inlineStr">
        <is>
          <t>0.5Ca5P5ZC</t>
        </is>
      </c>
      <c r="D6" s="5" t="inlineStr">
        <is>
          <t>Table 6, 0.5Ca5P5ZC, 220 °C</t>
        </is>
      </c>
      <c r="E6" s="5" t="inlineStr">
        <is>
          <t>CH4 selectivity</t>
        </is>
      </c>
      <c r="F6" s="5" t="n">
        <v>0</v>
      </c>
      <c r="G6" s="5" t="inlineStr">
        <is>
          <t>%</t>
        </is>
      </c>
      <c r="H6" s="5" t="inlineStr">
        <is>
          <t>Table 6</t>
        </is>
      </c>
      <c r="I6" s="5" t="n">
        <v>8</v>
      </c>
      <c r="J6" s="5" t="inlineStr">
        <is>
          <t>table</t>
        </is>
      </c>
      <c r="K6" s="5" t="inlineStr"/>
      <c r="L6" s="5" t="inlineStr">
        <is>
          <t>pdf/Malik_2018_Development of highly selective PdZnCeO2 and Ca-doped PdZnCeO2 catalysts for met.pdf</t>
        </is>
      </c>
      <c r="M6" s="5" t="inlineStr">
        <is>
          <t>si/10_1016_j_apcata_2018_04_036__mmc1.docx</t>
        </is>
      </c>
      <c r="N6" s="6" t="inlineStr"/>
      <c r="O6" s="6" t="inlineStr"/>
      <c r="P6" s="6" t="inlineStr"/>
      <c r="Q6" s="6" t="inlineStr"/>
      <c r="R6" s="6" t="inlineStr"/>
    </row>
    <row r="7">
      <c r="A7" s="5" t="n">
        <v>6</v>
      </c>
      <c r="B7" s="5" t="inlineStr">
        <is>
          <t>10.1016/j.apcata.2018.04.036</t>
        </is>
      </c>
      <c r="C7" s="5" t="inlineStr">
        <is>
          <t>5PC</t>
        </is>
      </c>
      <c r="D7" s="5" t="inlineStr">
        <is>
          <t>Table 6, 5PC, 220 °C</t>
        </is>
      </c>
      <c r="E7" s="5" t="inlineStr">
        <is>
          <t>H2/CO2</t>
        </is>
      </c>
      <c r="F7" s="5" t="n">
        <v>3</v>
      </c>
      <c r="G7" s="5" t="inlineStr">
        <is>
          <t>mol/mol</t>
        </is>
      </c>
      <c r="H7" s="5" t="inlineStr">
        <is>
          <t>Table 6</t>
        </is>
      </c>
      <c r="I7" s="5" t="n">
        <v>8</v>
      </c>
      <c r="J7" s="5" t="n"/>
      <c r="K7" s="5" t="inlineStr"/>
      <c r="L7" s="5" t="inlineStr">
        <is>
          <t>pdf/Malik_2018_Development of highly selective PdZnCeO2 and Ca-doped PdZnCeO2 catalysts for met.pdf</t>
        </is>
      </c>
      <c r="M7" s="5" t="inlineStr">
        <is>
          <t>si/10_1016_j_apcata_2018_04_036__mmc1.docx</t>
        </is>
      </c>
      <c r="N7" s="6" t="inlineStr"/>
      <c r="O7" s="6" t="inlineStr"/>
      <c r="P7" s="6" t="inlineStr"/>
      <c r="Q7" s="6" t="inlineStr"/>
      <c r="R7" s="6" t="inlineStr"/>
    </row>
    <row r="8">
      <c r="A8" s="5" t="n">
        <v>7</v>
      </c>
      <c r="B8" s="5" t="inlineStr">
        <is>
          <t>10.1016/j.apcata.2018.04.036</t>
        </is>
      </c>
      <c r="C8" s="5" t="inlineStr">
        <is>
          <t>5PC</t>
        </is>
      </c>
      <c r="D8" s="5" t="inlineStr">
        <is>
          <t>Table 6, 5PC, 220 °C</t>
        </is>
      </c>
      <c r="E8" s="5" t="inlineStr">
        <is>
          <t>CH4 selectivity</t>
        </is>
      </c>
      <c r="F8" s="5" t="n">
        <v>2.3</v>
      </c>
      <c r="G8" s="5" t="inlineStr">
        <is>
          <t>%</t>
        </is>
      </c>
      <c r="H8" s="5" t="inlineStr">
        <is>
          <t>Table 6</t>
        </is>
      </c>
      <c r="I8" s="5" t="n">
        <v>8</v>
      </c>
      <c r="J8" s="5" t="inlineStr">
        <is>
          <t>table</t>
        </is>
      </c>
      <c r="K8" s="5" t="inlineStr"/>
      <c r="L8" s="5" t="inlineStr">
        <is>
          <t>pdf/Malik_2018_Development of highly selective PdZnCeO2 and Ca-doped PdZnCeO2 catalysts for met.pdf</t>
        </is>
      </c>
      <c r="M8" s="5" t="inlineStr">
        <is>
          <t>si/10_1016_j_apcata_2018_04_036__mmc1.docx</t>
        </is>
      </c>
      <c r="N8" s="6" t="inlineStr"/>
      <c r="O8" s="6" t="inlineStr"/>
      <c r="P8" s="6" t="inlineStr"/>
      <c r="Q8" s="6" t="inlineStr"/>
      <c r="R8" s="6" t="inlineStr"/>
    </row>
    <row r="9">
      <c r="A9" s="5" t="n">
        <v>8</v>
      </c>
      <c r="B9" s="5" t="inlineStr">
        <is>
          <t>10.1016/j.apcata.2018.04.036</t>
        </is>
      </c>
      <c r="C9" s="5" t="inlineStr">
        <is>
          <t>5PC</t>
        </is>
      </c>
      <c r="D9" s="5" t="inlineStr">
        <is>
          <t>Table 6, 5PC, 220 °C</t>
        </is>
      </c>
      <c r="E9" s="5" t="inlineStr">
        <is>
          <t>CO2 conversion</t>
        </is>
      </c>
      <c r="F9" s="5" t="n">
        <v>1.7</v>
      </c>
      <c r="G9" s="5" t="inlineStr">
        <is>
          <t>%</t>
        </is>
      </c>
      <c r="H9" s="5" t="inlineStr">
        <is>
          <t>Table 6</t>
        </is>
      </c>
      <c r="I9" s="5" t="n">
        <v>8</v>
      </c>
      <c r="J9" s="5" t="inlineStr">
        <is>
          <t>table</t>
        </is>
      </c>
      <c r="K9" s="5" t="inlineStr"/>
      <c r="L9" s="5" t="inlineStr">
        <is>
          <t>pdf/Malik_2018_Development of highly selective PdZnCeO2 and Ca-doped PdZnCeO2 catalysts for met.pdf</t>
        </is>
      </c>
      <c r="M9" s="5" t="inlineStr">
        <is>
          <t>si/10_1016_j_apcata_2018_04_036__mmc1.docx</t>
        </is>
      </c>
      <c r="N9" s="6" t="inlineStr"/>
      <c r="O9" s="6" t="inlineStr"/>
      <c r="P9" s="6" t="inlineStr"/>
      <c r="Q9" s="6" t="inlineStr"/>
      <c r="R9" s="6" t="inlineStr"/>
    </row>
    <row r="10">
      <c r="A10" s="5" t="n">
        <v>9</v>
      </c>
      <c r="B10" s="5" t="inlineStr">
        <is>
          <t>10.1016/j.apcata.2018.04.036</t>
        </is>
      </c>
      <c r="C10" s="5" t="inlineStr">
        <is>
          <t>5P5ZC</t>
        </is>
      </c>
      <c r="D10" s="5" t="inlineStr">
        <is>
          <t>Table 6, 5P5ZC, 220 °C</t>
        </is>
      </c>
      <c r="E10" s="5" t="inlineStr">
        <is>
          <t>H2/CO2</t>
        </is>
      </c>
      <c r="F10" s="5" t="n">
        <v>3</v>
      </c>
      <c r="G10" s="5" t="inlineStr">
        <is>
          <t>mol/mol</t>
        </is>
      </c>
      <c r="H10" s="5" t="inlineStr">
        <is>
          <t>Table 6</t>
        </is>
      </c>
      <c r="I10" s="5" t="n">
        <v>8</v>
      </c>
      <c r="J10" s="5" t="n"/>
      <c r="K10" s="5" t="inlineStr"/>
      <c r="L10" s="5" t="inlineStr">
        <is>
          <t>pdf/Malik_2018_Development of highly selective PdZnCeO2 and Ca-doped PdZnCeO2 catalysts for met.pdf</t>
        </is>
      </c>
      <c r="M10" s="5" t="inlineStr">
        <is>
          <t>si/10_1016_j_apcata_2018_04_036__mmc1.docx</t>
        </is>
      </c>
      <c r="N10" s="6" t="inlineStr"/>
      <c r="O10" s="6" t="inlineStr"/>
      <c r="P10" s="6" t="inlineStr"/>
      <c r="Q10" s="6" t="inlineStr"/>
      <c r="R10" s="6" t="inlineStr"/>
    </row>
    <row r="11">
      <c r="A11" s="5" t="n">
        <v>10</v>
      </c>
      <c r="B11" s="5" t="inlineStr">
        <is>
          <t>10.1016/j.apcata.2018.04.036</t>
        </is>
      </c>
      <c r="C11" s="5" t="inlineStr">
        <is>
          <t>0.5Ca5P5ZC</t>
        </is>
      </c>
      <c r="D11" s="5" t="inlineStr">
        <is>
          <t>Table 6, 0.5Ca5P5ZC, 220 °C</t>
        </is>
      </c>
      <c r="E11" s="5" t="inlineStr">
        <is>
          <t>CO selectivity</t>
        </is>
      </c>
      <c r="F11" s="5" t="n">
        <v>0</v>
      </c>
      <c r="G11" s="5" t="inlineStr">
        <is>
          <t>%</t>
        </is>
      </c>
      <c r="H11" s="5" t="inlineStr">
        <is>
          <t>Table 6</t>
        </is>
      </c>
      <c r="I11" s="5" t="n">
        <v>8</v>
      </c>
      <c r="J11" s="5" t="inlineStr">
        <is>
          <t>table</t>
        </is>
      </c>
      <c r="K11" s="5" t="inlineStr"/>
      <c r="L11" s="5" t="inlineStr">
        <is>
          <t>pdf/Malik_2018_Development of highly selective PdZnCeO2 and Ca-doped PdZnCeO2 catalysts for met.pdf</t>
        </is>
      </c>
      <c r="M11" s="5" t="inlineStr">
        <is>
          <t>si/10_1016_j_apcata_2018_04_036__mmc1.docx</t>
        </is>
      </c>
      <c r="N11" s="6" t="inlineStr"/>
      <c r="O11" s="6" t="inlineStr"/>
      <c r="P11" s="6" t="inlineStr"/>
      <c r="Q11" s="6" t="inlineStr"/>
      <c r="R11" s="6" t="inlineStr"/>
    </row>
    <row r="12">
      <c r="A12" s="5" t="n">
        <v>11</v>
      </c>
      <c r="B12" s="5" t="inlineStr">
        <is>
          <t>10.1126/sciadv.abi6012</t>
        </is>
      </c>
      <c r="C12" s="5" t="inlineStr">
        <is>
          <t>a-ZrO2</t>
        </is>
      </c>
      <c r="D12" s="5" t="inlineStr">
        <is>
          <t>SI Table S2 row a-ZrO2</t>
        </is>
      </c>
      <c r="E12" s="5" t="inlineStr">
        <is>
          <t>CO selectivity</t>
        </is>
      </c>
      <c r="F12" s="5" t="n">
        <v>26.8</v>
      </c>
      <c r="G12" s="5" t="inlineStr">
        <is>
          <t>%</t>
        </is>
      </c>
      <c r="H12" s="5" t="inlineStr">
        <is>
          <t>SI Table S2</t>
        </is>
      </c>
      <c r="I12" s="5" t="n">
        <v>19</v>
      </c>
      <c r="J12" s="5" t="inlineStr">
        <is>
          <t>SI</t>
        </is>
      </c>
      <c r="K12" s="5" t="inlineStr">
        <is>
          <t>cat_mass_g&lt;-figures</t>
        </is>
      </c>
      <c r="L12" s="5" t="inlineStr">
        <is>
          <t>pdf/Meng_2021_Oxygen-deficient metal oxides supported nano-intermetallic InNi 3 C 05 toward ef.pdf</t>
        </is>
      </c>
      <c r="M12" s="5" t="inlineStr">
        <is>
          <t>si/10_1126_sciadv_abi6012__si1.pdf</t>
        </is>
      </c>
      <c r="N12" s="6" t="inlineStr"/>
      <c r="O12" s="6" t="inlineStr"/>
      <c r="P12" s="6" t="inlineStr"/>
      <c r="Q12" s="6" t="inlineStr"/>
      <c r="R12" s="6" t="inlineStr"/>
    </row>
    <row r="13">
      <c r="A13" s="5" t="n">
        <v>12</v>
      </c>
      <c r="B13" s="5" t="inlineStr">
        <is>
          <t>10.1126/sciadv.abi6012</t>
        </is>
      </c>
      <c r="C13" s="5" t="inlineStr">
        <is>
          <t>InNi3C0.5/t-ZrO2</t>
        </is>
      </c>
      <c r="D13" s="5" t="inlineStr">
        <is>
          <t>Fig. 2B, InNi3C0.5/t-ZrO2, 24000 ml gcat-1 hour-1</t>
        </is>
      </c>
      <c r="E13" s="5" t="inlineStr">
        <is>
          <t>STY (printed)</t>
        </is>
      </c>
      <c r="F13" s="5" t="inlineStr">
        <is>
          <t>0.3 gMeOH gcat−1 hour−1</t>
        </is>
      </c>
      <c r="G13" s="5" t="inlineStr">
        <is>
          <t>as printed</t>
        </is>
      </c>
      <c r="H13" s="5" t="inlineStr">
        <is>
          <t>Fig. 2B and Results text</t>
        </is>
      </c>
      <c r="I13" s="5" t="n">
        <v>3</v>
      </c>
      <c r="J13" s="5" t="inlineStr">
        <is>
          <t>mixed</t>
        </is>
      </c>
      <c r="K13" s="5" t="inlineStr">
        <is>
          <t>X_CO2&lt;-si;S_MeOH&lt;-si;S_CO&lt;-si;S_CH4&lt;-si</t>
        </is>
      </c>
      <c r="L13" s="5" t="inlineStr">
        <is>
          <t>pdf/Meng_2021_Oxygen-deficient metal oxides supported nano-intermetallic InNi 3 C 05 toward ef.pdf</t>
        </is>
      </c>
      <c r="M13" s="5" t="inlineStr">
        <is>
          <t>si/10_1126_sciadv_abi6012__si1.pdf</t>
        </is>
      </c>
      <c r="N13" s="6" t="inlineStr"/>
      <c r="O13" s="6" t="inlineStr"/>
      <c r="P13" s="6" t="inlineStr"/>
      <c r="Q13" s="6" t="inlineStr"/>
      <c r="R13" s="6" t="inlineStr"/>
    </row>
    <row r="14">
      <c r="A14" s="5" t="n">
        <v>13</v>
      </c>
      <c r="B14" s="5" t="inlineStr">
        <is>
          <t>10.1126/sciadv.abi6012</t>
        </is>
      </c>
      <c r="C14" s="5" t="inlineStr">
        <is>
          <t>SiO2</t>
        </is>
      </c>
      <c r="D14" s="5" t="inlineStr">
        <is>
          <t>SI Table S2 row SiO2</t>
        </is>
      </c>
      <c r="E14" s="5" t="inlineStr">
        <is>
          <t>H2/CO2</t>
        </is>
      </c>
      <c r="F14" s="5" t="n">
        <v>3</v>
      </c>
      <c r="G14" s="5" t="inlineStr">
        <is>
          <t>mol/mol</t>
        </is>
      </c>
      <c r="H14" s="5" t="inlineStr">
        <is>
          <t>SI Table S2</t>
        </is>
      </c>
      <c r="I14" s="5" t="n">
        <v>19</v>
      </c>
      <c r="J14" s="5" t="n"/>
      <c r="K14" s="5" t="inlineStr"/>
      <c r="L14" s="5" t="inlineStr">
        <is>
          <t>pdf/Meng_2021_Oxygen-deficient metal oxides supported nano-intermetallic InNi 3 C 05 toward ef.pdf</t>
        </is>
      </c>
      <c r="M14" s="5" t="inlineStr">
        <is>
          <t>si/10_1126_sciadv_abi6012__si1.pdf</t>
        </is>
      </c>
      <c r="N14" s="6" t="inlineStr"/>
      <c r="O14" s="6" t="inlineStr"/>
      <c r="P14" s="6" t="inlineStr"/>
      <c r="Q14" s="6" t="inlineStr"/>
      <c r="R14" s="6" t="inlineStr"/>
    </row>
    <row r="15">
      <c r="A15" s="5" t="n">
        <v>14</v>
      </c>
      <c r="B15" s="5" t="inlineStr">
        <is>
          <t>10.1126/sciadv.abi6012</t>
        </is>
      </c>
      <c r="C15" s="5" t="inlineStr">
        <is>
          <t>InNi3C0.5/ZnO</t>
        </is>
      </c>
      <c r="D15" s="5" t="inlineStr">
        <is>
          <t>SI Table S2 row InNi3C0.5/ZnO</t>
        </is>
      </c>
      <c r="E15" s="5" t="inlineStr">
        <is>
          <t>CO2 conversion</t>
        </is>
      </c>
      <c r="F15" s="5" t="n">
        <v>7.8</v>
      </c>
      <c r="G15" s="5" t="inlineStr">
        <is>
          <t>%</t>
        </is>
      </c>
      <c r="H15" s="5" t="inlineStr">
        <is>
          <t>SI Table S2</t>
        </is>
      </c>
      <c r="I15" s="5" t="n">
        <v>19</v>
      </c>
      <c r="J15" s="5" t="inlineStr">
        <is>
          <t>SI</t>
        </is>
      </c>
      <c r="K15" s="5" t="inlineStr"/>
      <c r="L15" s="5" t="inlineStr">
        <is>
          <t>pdf/Meng_2021_Oxygen-deficient metal oxides supported nano-intermetallic InNi 3 C 05 toward ef.pdf</t>
        </is>
      </c>
      <c r="M15" s="5" t="inlineStr">
        <is>
          <t>si/10_1126_sciadv_abi6012__si1.pdf</t>
        </is>
      </c>
      <c r="N15" s="6" t="inlineStr"/>
      <c r="O15" s="6" t="inlineStr"/>
      <c r="P15" s="6" t="inlineStr"/>
      <c r="Q15" s="6" t="inlineStr"/>
      <c r="R15" s="6" t="inlineStr"/>
    </row>
    <row r="16">
      <c r="A16" s="5" t="n">
        <v>15</v>
      </c>
      <c r="B16" s="5" t="inlineStr">
        <is>
          <t>10.1126/sciadv.abi6012</t>
        </is>
      </c>
      <c r="C16" s="5" t="inlineStr">
        <is>
          <t>InNi3C0.5/TiO2</t>
        </is>
      </c>
      <c r="D16" s="5" t="inlineStr">
        <is>
          <t>SI Table S2 row InNi3C0.5/TiO2</t>
        </is>
      </c>
      <c r="E16" s="5" t="inlineStr">
        <is>
          <t>CH3OH selectivity</t>
        </is>
      </c>
      <c r="F16" s="5" t="n">
        <v>66.3</v>
      </c>
      <c r="G16" s="5" t="inlineStr">
        <is>
          <t>%</t>
        </is>
      </c>
      <c r="H16" s="5" t="inlineStr">
        <is>
          <t>SI Table S2</t>
        </is>
      </c>
      <c r="I16" s="5" t="n">
        <v>19</v>
      </c>
      <c r="J16" s="5" t="inlineStr">
        <is>
          <t>SI</t>
        </is>
      </c>
      <c r="K16" s="5" t="inlineStr"/>
      <c r="L16" s="5" t="inlineStr">
        <is>
          <t>pdf/Meng_2021_Oxygen-deficient metal oxides supported nano-intermetallic InNi 3 C 05 toward ef.pdf</t>
        </is>
      </c>
      <c r="M16" s="5" t="inlineStr">
        <is>
          <t>si/10_1126_sciadv_abi6012__si1.pdf</t>
        </is>
      </c>
      <c r="N16" s="6" t="inlineStr"/>
      <c r="O16" s="6" t="inlineStr"/>
      <c r="P16" s="6" t="inlineStr"/>
      <c r="Q16" s="6" t="inlineStr"/>
      <c r="R16" s="6" t="inlineStr"/>
    </row>
    <row r="17">
      <c r="A17" s="5" t="n">
        <v>16</v>
      </c>
      <c r="B17" s="5" t="inlineStr">
        <is>
          <t>10.1126/sciadv.abi6012</t>
        </is>
      </c>
      <c r="C17" s="5" t="inlineStr">
        <is>
          <t>m-ZrO2</t>
        </is>
      </c>
      <c r="D17" s="5" t="inlineStr">
        <is>
          <t>SI Table S2 row m-ZrO2</t>
        </is>
      </c>
      <c r="E17" s="5" t="inlineStr">
        <is>
          <t>space velocity</t>
        </is>
      </c>
      <c r="F17" s="5" t="inlineStr">
        <is>
          <t>12000 mL gcat−1 h−1</t>
        </is>
      </c>
      <c r="G17" s="5" t="inlineStr">
        <is>
          <t>as printed</t>
        </is>
      </c>
      <c r="H17" s="5" t="inlineStr">
        <is>
          <t>SI Table S2</t>
        </is>
      </c>
      <c r="I17" s="5" t="n">
        <v>19</v>
      </c>
      <c r="J17" s="5" t="inlineStr">
        <is>
          <t>SI</t>
        </is>
      </c>
      <c r="K17" s="5" t="inlineStr">
        <is>
          <t>cat_mass_g&lt;-figures</t>
        </is>
      </c>
      <c r="L17" s="5" t="inlineStr">
        <is>
          <t>pdf/Meng_2021_Oxygen-deficient metal oxides supported nano-intermetallic InNi 3 C 05 toward ef.pdf</t>
        </is>
      </c>
      <c r="M17" s="5" t="inlineStr">
        <is>
          <t>si/10_1126_sciadv_abi6012__si1.pdf</t>
        </is>
      </c>
      <c r="N17" s="6" t="inlineStr"/>
      <c r="O17" s="6" t="inlineStr"/>
      <c r="P17" s="6" t="inlineStr"/>
      <c r="Q17" s="6" t="inlineStr"/>
      <c r="R17" s="6" t="inlineStr"/>
    </row>
    <row r="18">
      <c r="A18" s="5" t="n">
        <v>17</v>
      </c>
      <c r="B18" s="5" t="inlineStr">
        <is>
          <t>10.1126/sciadv.abi6012</t>
        </is>
      </c>
      <c r="C18" s="5" t="inlineStr">
        <is>
          <t>InNi3C0.5/a-ZrO2</t>
        </is>
      </c>
      <c r="D18" s="5" t="inlineStr">
        <is>
          <t>Fig. 2A, InNi3C0.5/a-ZrO2, 12000 ml gcat-1 hour-1</t>
        </is>
      </c>
      <c r="E18" s="5" t="inlineStr">
        <is>
          <t>CH4 selectivity</t>
        </is>
      </c>
      <c r="F18" s="5" t="n">
        <v>0.4</v>
      </c>
      <c r="G18" s="5" t="inlineStr">
        <is>
          <t>%</t>
        </is>
      </c>
      <c r="H18" s="5" t="inlineStr">
        <is>
          <t>Fig. 2A</t>
        </is>
      </c>
      <c r="I18" s="5" t="n">
        <v>3</v>
      </c>
      <c r="J18" s="5" t="inlineStr">
        <is>
          <t>SI</t>
        </is>
      </c>
      <c r="K18" s="5" t="inlineStr">
        <is>
          <t>X_CO2&lt;-si;S_MeOH&lt;-si;S_CO&lt;-si;S_CH4&lt;-si;GHSV&lt;-si;H2_CO2&lt;-si</t>
        </is>
      </c>
      <c r="L18" s="5" t="inlineStr">
        <is>
          <t>pdf/Meng_2021_Oxygen-deficient metal oxides supported nano-intermetallic InNi 3 C 05 toward ef.pdf</t>
        </is>
      </c>
      <c r="M18" s="5" t="inlineStr">
        <is>
          <t>si/10_1126_sciadv_abi6012__si1.pdf</t>
        </is>
      </c>
      <c r="N18" s="6" t="inlineStr"/>
      <c r="O18" s="6" t="inlineStr"/>
      <c r="P18" s="6" t="inlineStr"/>
      <c r="Q18" s="6" t="inlineStr"/>
      <c r="R18" s="6" t="inlineStr"/>
    </row>
    <row r="19">
      <c r="A19" s="5" t="n">
        <v>18</v>
      </c>
      <c r="B19" s="5" t="inlineStr">
        <is>
          <t>10.1126/sciadv.abi6012</t>
        </is>
      </c>
      <c r="C19" s="5" t="inlineStr">
        <is>
          <t>InNi3C0.5/m-ZrO2</t>
        </is>
      </c>
      <c r="D19" s="5" t="inlineStr">
        <is>
          <t>Fig. 2A, InNi3C0.5/m-ZrO2, 12000 ml gcat-1 hour-1</t>
        </is>
      </c>
      <c r="E19" s="5" t="inlineStr">
        <is>
          <t>H2/CO2</t>
        </is>
      </c>
      <c r="F19" s="5" t="n">
        <v>3</v>
      </c>
      <c r="G19" s="5" t="inlineStr">
        <is>
          <t>mol/mol</t>
        </is>
      </c>
      <c r="H19" s="5" t="inlineStr">
        <is>
          <t>Fig. 2A and Results text</t>
        </is>
      </c>
      <c r="I19" s="5" t="n">
        <v>3</v>
      </c>
      <c r="J19" s="5" t="n"/>
      <c r="K19" s="5" t="inlineStr">
        <is>
          <t>S_CO&lt;-si;S_CH4&lt;-si</t>
        </is>
      </c>
      <c r="L19" s="5" t="inlineStr">
        <is>
          <t>pdf/Meng_2021_Oxygen-deficient metal oxides supported nano-intermetallic InNi 3 C 05 toward ef.pdf</t>
        </is>
      </c>
      <c r="M19" s="5" t="inlineStr">
        <is>
          <t>si/10_1126_sciadv_abi6012__si1.pdf</t>
        </is>
      </c>
      <c r="N19" s="6" t="inlineStr"/>
      <c r="O19" s="6" t="inlineStr"/>
      <c r="P19" s="6" t="inlineStr"/>
      <c r="Q19" s="6" t="inlineStr"/>
      <c r="R19" s="6" t="inlineStr"/>
    </row>
    <row r="20">
      <c r="A20" s="5" t="n">
        <v>19</v>
      </c>
      <c r="B20" s="5" t="inlineStr">
        <is>
          <t>10.1126/sciadv.abi6012</t>
        </is>
      </c>
      <c r="C20" s="5" t="inlineStr">
        <is>
          <t>m-ZrO2</t>
        </is>
      </c>
      <c r="D20" s="5" t="inlineStr">
        <is>
          <t>SI Table S2 row m-ZrO2</t>
        </is>
      </c>
      <c r="E20" s="5" t="inlineStr">
        <is>
          <t>temperature</t>
        </is>
      </c>
      <c r="F20" s="5" t="n">
        <v>300</v>
      </c>
      <c r="G20" s="5" t="inlineStr">
        <is>
          <t>°C (from K)</t>
        </is>
      </c>
      <c r="H20" s="5" t="inlineStr">
        <is>
          <t>SI Table S2</t>
        </is>
      </c>
      <c r="I20" s="5" t="n">
        <v>19</v>
      </c>
      <c r="J20" s="5" t="n"/>
      <c r="K20" s="5" t="inlineStr">
        <is>
          <t>cat_mass_g&lt;-figures</t>
        </is>
      </c>
      <c r="L20" s="5" t="inlineStr">
        <is>
          <t>pdf/Meng_2021_Oxygen-deficient metal oxides supported nano-intermetallic InNi 3 C 05 toward ef.pdf</t>
        </is>
      </c>
      <c r="M20" s="5" t="inlineStr">
        <is>
          <t>si/10_1126_sciadv_abi6012__si1.pdf</t>
        </is>
      </c>
      <c r="N20" s="6" t="inlineStr"/>
      <c r="O20" s="6" t="inlineStr"/>
      <c r="P20" s="6" t="inlineStr"/>
      <c r="Q20" s="6" t="inlineStr"/>
      <c r="R20" s="6" t="inlineStr"/>
    </row>
    <row r="21">
      <c r="A21" s="5" t="n">
        <v>20</v>
      </c>
      <c r="B21" s="5" t="inlineStr">
        <is>
          <t>10.1126/sciadv.abi6012</t>
        </is>
      </c>
      <c r="C21" s="5" t="inlineStr">
        <is>
          <t>InNi3C0.5/Fe3O4</t>
        </is>
      </c>
      <c r="D21" s="5" t="inlineStr">
        <is>
          <t>Text/Table S7, InNi3C0.5/Fe3O4, 325C, 4.0 MPa, H2/CO2 8:1, GHSV 30000</t>
        </is>
      </c>
      <c r="E21" s="5" t="inlineStr">
        <is>
          <t>pressure</t>
        </is>
      </c>
      <c r="F21" s="5" t="n">
        <v>40</v>
      </c>
      <c r="G21" s="5" t="inlineStr">
        <is>
          <t>bar</t>
        </is>
      </c>
      <c r="H21" s="5" t="inlineStr">
        <is>
          <t>Results text, Tailoring more advanced InNi3C0.5 catalyst</t>
        </is>
      </c>
      <c r="I21" s="5" t="n">
        <v>6</v>
      </c>
      <c r="J21" s="5" t="n"/>
      <c r="K21" s="5" t="inlineStr">
        <is>
          <t>S_CO&lt;-si;STY&lt;-si</t>
        </is>
      </c>
      <c r="L21" s="5" t="inlineStr">
        <is>
          <t>pdf/Meng_2021_Oxygen-deficient metal oxides supported nano-intermetallic InNi 3 C 05 toward ef.pdf</t>
        </is>
      </c>
      <c r="M21" s="5" t="inlineStr">
        <is>
          <t>si/10_1126_sciadv_abi6012__si1.pdf</t>
        </is>
      </c>
      <c r="N21" s="6" t="inlineStr"/>
      <c r="O21" s="6" t="inlineStr"/>
      <c r="P21" s="6" t="inlineStr"/>
      <c r="Q21" s="6" t="inlineStr"/>
      <c r="R21" s="6" t="inlineStr"/>
    </row>
    <row r="22">
      <c r="A22" s="5" t="n">
        <v>21</v>
      </c>
      <c r="B22" s="5" t="inlineStr">
        <is>
          <t>10.1039/c2cy20604h</t>
        </is>
      </c>
      <c r="C22" s="5" t="inlineStr">
        <is>
          <t>Cu–Ba/Al2O3</t>
        </is>
      </c>
      <c r="D22" s="5" t="inlineStr">
        <is>
          <t>Text, Cu-Ba/Al2O3, 443 K, 36 MPa</t>
        </is>
      </c>
      <c r="E22" s="5" t="inlineStr">
        <is>
          <t>temperature</t>
        </is>
      </c>
      <c r="F22" s="5" t="n">
        <v>169.85</v>
      </c>
      <c r="G22" s="5" t="inlineStr">
        <is>
          <t>°C (from K)</t>
        </is>
      </c>
      <c r="H22" s="5" t="inlineStr">
        <is>
          <t>Text discussing methyl formate formation</t>
        </is>
      </c>
      <c r="I22" s="5" t="n">
        <v>7</v>
      </c>
      <c r="J22" s="5" t="n"/>
      <c r="K22" s="5" t="inlineStr">
        <is>
          <t>X_CO2&lt;-si;S_MeOH&lt;-si;S_CO&lt;-si;STY&lt;-si</t>
        </is>
      </c>
      <c r="L22" s="5" t="inlineStr">
        <is>
          <t>pdf/Bansode_2013_Impact of K and Ba promoters on CO 2 hydrogenation over CuAl 2 O 3 catalysts at.pdf</t>
        </is>
      </c>
      <c r="M22" s="5" t="inlineStr">
        <is>
          <t>si/10_1039_c2cy20604h__si1.pdf</t>
        </is>
      </c>
      <c r="N22" s="6" t="inlineStr"/>
      <c r="O22" s="6" t="inlineStr"/>
      <c r="P22" s="6" t="inlineStr"/>
      <c r="Q22" s="6" t="inlineStr"/>
      <c r="R22" s="6" t="inlineStr"/>
    </row>
    <row r="23">
      <c r="A23" s="5" t="n">
        <v>22</v>
      </c>
      <c r="B23" s="5" t="inlineStr">
        <is>
          <t>10.1039/c2cy20604h</t>
        </is>
      </c>
      <c r="C23" s="5" t="inlineStr">
        <is>
          <t>Cu–Ba/Al2O3</t>
        </is>
      </c>
      <c r="D23" s="5" t="inlineStr">
        <is>
          <t>SI Table 3, 503 K, 36 MPa</t>
        </is>
      </c>
      <c r="E23" s="5" t="inlineStr">
        <is>
          <t>STY (printed)</t>
        </is>
      </c>
      <c r="F23" s="5" t="inlineStr">
        <is>
          <t>56.5 mg gcat-1 h-1</t>
        </is>
      </c>
      <c r="G23" s="5" t="inlineStr">
        <is>
          <t>as printed</t>
        </is>
      </c>
      <c r="H23" s="5" t="inlineStr">
        <is>
          <t>SI Table 3</t>
        </is>
      </c>
      <c r="I23" s="5" t="n">
        <v>4</v>
      </c>
      <c r="J23" s="5" t="inlineStr">
        <is>
          <t>SI</t>
        </is>
      </c>
      <c r="K23" s="5" t="inlineStr"/>
      <c r="L23" s="5" t="inlineStr">
        <is>
          <t>pdf/Bansode_2013_Impact of K and Ba promoters on CO 2 hydrogenation over CuAl 2 O 3 catalysts at.pdf</t>
        </is>
      </c>
      <c r="M23" s="5" t="inlineStr">
        <is>
          <t>si/10_1039_c2cy20604h__si1.pdf</t>
        </is>
      </c>
      <c r="N23" s="6" t="inlineStr"/>
      <c r="O23" s="6" t="inlineStr"/>
      <c r="P23" s="6" t="inlineStr"/>
      <c r="Q23" s="6" t="inlineStr"/>
      <c r="R23" s="6" t="inlineStr"/>
    </row>
    <row r="24">
      <c r="A24" s="5" t="n">
        <v>23</v>
      </c>
      <c r="B24" s="5" t="inlineStr">
        <is>
          <t>10.1039/c2cy20604h</t>
        </is>
      </c>
      <c r="C24" s="5" t="inlineStr">
        <is>
          <t>Cu–Ba/Al2O3</t>
        </is>
      </c>
      <c r="D24" s="5" t="inlineStr">
        <is>
          <t>SI Table 3, 533 K, 0.4 MPa</t>
        </is>
      </c>
      <c r="E24" s="5" t="inlineStr">
        <is>
          <t>CH3OH selectivity</t>
        </is>
      </c>
      <c r="F24" s="5" t="n">
        <v>4.4</v>
      </c>
      <c r="G24" s="5" t="inlineStr">
        <is>
          <t>%</t>
        </is>
      </c>
      <c r="H24" s="5" t="inlineStr">
        <is>
          <t>SI Table 3</t>
        </is>
      </c>
      <c r="I24" s="5" t="n">
        <v>4</v>
      </c>
      <c r="J24" s="5" t="inlineStr">
        <is>
          <t>SI</t>
        </is>
      </c>
      <c r="K24" s="5" t="inlineStr"/>
      <c r="L24" s="5" t="inlineStr">
        <is>
          <t>pdf/Bansode_2013_Impact of K and Ba promoters on CO 2 hydrogenation over CuAl 2 O 3 catalysts at.pdf</t>
        </is>
      </c>
      <c r="M24" s="5" t="inlineStr">
        <is>
          <t>si/10_1039_c2cy20604h__si1.pdf</t>
        </is>
      </c>
      <c r="N24" s="6" t="inlineStr"/>
      <c r="O24" s="6" t="inlineStr"/>
      <c r="P24" s="6" t="inlineStr"/>
      <c r="Q24" s="6" t="inlineStr"/>
      <c r="R24" s="6" t="inlineStr"/>
    </row>
    <row r="25">
      <c r="A25" s="5" t="n">
        <v>24</v>
      </c>
      <c r="B25" s="5" t="inlineStr">
        <is>
          <t>10.1039/c2cy20604h</t>
        </is>
      </c>
      <c r="C25" s="5" t="inlineStr">
        <is>
          <t>Cu/Al2O3</t>
        </is>
      </c>
      <c r="D25" s="5" t="inlineStr">
        <is>
          <t>Fig 5/Fig 6, Cu/Al2O3, 443 K, 10 MPa</t>
        </is>
      </c>
      <c r="E25" s="5" t="inlineStr">
        <is>
          <t>CH3OH selectivity</t>
        </is>
      </c>
      <c r="F25" s="5" t="n">
        <v>80</v>
      </c>
      <c r="G25" s="5" t="inlineStr">
        <is>
          <t>%</t>
        </is>
      </c>
      <c r="H25" s="5" t="inlineStr">
        <is>
          <t>Figure 5 and text on page 7</t>
        </is>
      </c>
      <c r="I25" s="5" t="n">
        <v>6</v>
      </c>
      <c r="J25" s="5" t="inlineStr">
        <is>
          <t>mixed</t>
        </is>
      </c>
      <c r="K25" s="5" t="inlineStr">
        <is>
          <t>X_CO2&lt;-si;S_CO&lt;-si;STY&lt;-si;GHSV&lt;-figures</t>
        </is>
      </c>
      <c r="L25" s="5" t="inlineStr">
        <is>
          <t>pdf/Bansode_2013_Impact of K and Ba promoters on CO 2 hydrogenation over CuAl 2 O 3 catalysts at.pdf</t>
        </is>
      </c>
      <c r="M25" s="5" t="inlineStr">
        <is>
          <t>si/10_1039_c2cy20604h__si1.pdf</t>
        </is>
      </c>
      <c r="N25" s="6" t="inlineStr"/>
      <c r="O25" s="6" t="inlineStr"/>
      <c r="P25" s="6" t="inlineStr"/>
      <c r="Q25" s="6" t="inlineStr"/>
      <c r="R25" s="6" t="inlineStr"/>
    </row>
    <row r="26">
      <c r="A26" s="5" t="n">
        <v>25</v>
      </c>
      <c r="B26" s="5" t="inlineStr">
        <is>
          <t>10.1039/c2cy20604h</t>
        </is>
      </c>
      <c r="C26" s="5" t="inlineStr">
        <is>
          <t>Cu–K/Al2O3</t>
        </is>
      </c>
      <c r="D26" s="5" t="inlineStr">
        <is>
          <t>Fig 7, Cu-K/Al2O3, 533 K, 36 MPa</t>
        </is>
      </c>
      <c r="E26" s="5" t="inlineStr">
        <is>
          <t>STY (printed)</t>
        </is>
      </c>
      <c r="F26" s="5" t="inlineStr">
        <is>
          <t>10.6 mg gcat-1 h-1</t>
        </is>
      </c>
      <c r="G26" s="5" t="inlineStr">
        <is>
          <t>as printed</t>
        </is>
      </c>
      <c r="H26" s="5" t="inlineStr">
        <is>
          <t>Figure 7</t>
        </is>
      </c>
      <c r="I26" s="5" t="n">
        <v>7</v>
      </c>
      <c r="J26" s="5" t="inlineStr">
        <is>
          <t>SI</t>
        </is>
      </c>
      <c r="K26" s="5" t="inlineStr">
        <is>
          <t>X_CO2&lt;-si;S_MeOH&lt;-si;S_CO&lt;-si;STY&lt;-si;H2_CO2&lt;-si;GHSV&lt;-figures</t>
        </is>
      </c>
      <c r="L26" s="5" t="inlineStr">
        <is>
          <t>pdf/Bansode_2013_Impact of K and Ba promoters on CO 2 hydrogenation over CuAl 2 O 3 catalysts at.pdf</t>
        </is>
      </c>
      <c r="M26" s="5" t="inlineStr">
        <is>
          <t>si/10_1039_c2cy20604h__si1.pdf</t>
        </is>
      </c>
      <c r="N26" s="6" t="inlineStr"/>
      <c r="O26" s="6" t="inlineStr"/>
      <c r="P26" s="6" t="inlineStr"/>
      <c r="Q26" s="6" t="inlineStr"/>
      <c r="R26" s="6" t="inlineStr"/>
    </row>
    <row r="27">
      <c r="A27" s="5" t="n">
        <v>26</v>
      </c>
      <c r="B27" s="5" t="inlineStr">
        <is>
          <t>10.1039/c2cy20604h</t>
        </is>
      </c>
      <c r="C27" s="5" t="inlineStr">
        <is>
          <t>Cu–Ba/Al2O3</t>
        </is>
      </c>
      <c r="D27" s="5" t="inlineStr">
        <is>
          <t>SI Table 3, 553 K, 0.4 MPa</t>
        </is>
      </c>
      <c r="E27" s="5" t="inlineStr">
        <is>
          <t>CO selectivity</t>
        </is>
      </c>
      <c r="F27" s="5" t="n">
        <v>98.09999999999999</v>
      </c>
      <c r="G27" s="5" t="inlineStr">
        <is>
          <t>%</t>
        </is>
      </c>
      <c r="H27" s="5" t="inlineStr">
        <is>
          <t>SI Table 3</t>
        </is>
      </c>
      <c r="I27" s="5" t="n">
        <v>4</v>
      </c>
      <c r="J27" s="5" t="inlineStr">
        <is>
          <t>SI</t>
        </is>
      </c>
      <c r="K27" s="5" t="inlineStr"/>
      <c r="L27" s="5" t="inlineStr">
        <is>
          <t>pdf/Bansode_2013_Impact of K and Ba promoters on CO 2 hydrogenation over CuAl 2 O 3 catalysts at.pdf</t>
        </is>
      </c>
      <c r="M27" s="5" t="inlineStr">
        <is>
          <t>si/10_1039_c2cy20604h__si1.pdf</t>
        </is>
      </c>
      <c r="N27" s="6" t="inlineStr"/>
      <c r="O27" s="6" t="inlineStr"/>
      <c r="P27" s="6" t="inlineStr"/>
      <c r="Q27" s="6" t="inlineStr"/>
      <c r="R27" s="6" t="inlineStr"/>
    </row>
    <row r="28">
      <c r="A28" s="5" t="n">
        <v>27</v>
      </c>
      <c r="B28" s="5" t="inlineStr">
        <is>
          <t>10.1039/c2cy20604h</t>
        </is>
      </c>
      <c r="C28" s="5" t="inlineStr">
        <is>
          <t>Cu–Ba/Al2O3</t>
        </is>
      </c>
      <c r="D28" s="5" t="inlineStr">
        <is>
          <t>SI Table 3, 443 K, 0.4 MPa</t>
        </is>
      </c>
      <c r="E28" s="5" t="inlineStr">
        <is>
          <t>CO selectivity</t>
        </is>
      </c>
      <c r="F28" s="5" t="n">
        <v>72.5</v>
      </c>
      <c r="G28" s="5" t="inlineStr">
        <is>
          <t>%</t>
        </is>
      </c>
      <c r="H28" s="5" t="inlineStr">
        <is>
          <t>SI Table 3</t>
        </is>
      </c>
      <c r="I28" s="5" t="n">
        <v>4</v>
      </c>
      <c r="J28" s="5" t="inlineStr">
        <is>
          <t>SI</t>
        </is>
      </c>
      <c r="K28" s="5" t="inlineStr"/>
      <c r="L28" s="5" t="inlineStr">
        <is>
          <t>pdf/Bansode_2013_Impact of K and Ba promoters on CO 2 hydrogenation over CuAl 2 O 3 catalysts at.pdf</t>
        </is>
      </c>
      <c r="M28" s="5" t="inlineStr">
        <is>
          <t>si/10_1039_c2cy20604h__si1.pdf</t>
        </is>
      </c>
      <c r="N28" s="6" t="inlineStr"/>
      <c r="O28" s="6" t="inlineStr"/>
      <c r="P28" s="6" t="inlineStr"/>
      <c r="Q28" s="6" t="inlineStr"/>
      <c r="R28" s="6" t="inlineStr"/>
    </row>
    <row r="29">
      <c r="A29" s="5" t="n">
        <v>28</v>
      </c>
      <c r="B29" s="5" t="inlineStr">
        <is>
          <t>10.1039/c2cy20604h</t>
        </is>
      </c>
      <c r="C29" s="5" t="inlineStr">
        <is>
          <t>Cu–Ba/Al2O3</t>
        </is>
      </c>
      <c r="D29" s="5" t="inlineStr">
        <is>
          <t>Fig 8, Cu-Ba/Al2O3, 473 K, 10 MPa</t>
        </is>
      </c>
      <c r="E29" s="5" t="inlineStr">
        <is>
          <t>temperature</t>
        </is>
      </c>
      <c r="F29" s="5" t="n">
        <v>199.85</v>
      </c>
      <c r="G29" s="5" t="inlineStr">
        <is>
          <t>°C (from K)</t>
        </is>
      </c>
      <c r="H29" s="5" t="inlineStr">
        <is>
          <t>Figure 8 and abstract</t>
        </is>
      </c>
      <c r="I29" s="5" t="n">
        <v>7</v>
      </c>
      <c r="J29" s="5" t="n"/>
      <c r="K29" s="5" t="inlineStr">
        <is>
          <t>X_CO2&lt;-si;S_CO&lt;-si;STY&lt;-si;GHSV&lt;-figures</t>
        </is>
      </c>
      <c r="L29" s="5" t="inlineStr">
        <is>
          <t>pdf/Bansode_2013_Impact of K and Ba promoters on CO 2 hydrogenation over CuAl 2 O 3 catalysts at.pdf</t>
        </is>
      </c>
      <c r="M29" s="5" t="inlineStr">
        <is>
          <t>si/10_1039_c2cy20604h__si1.pdf</t>
        </is>
      </c>
      <c r="N29" s="6" t="inlineStr"/>
      <c r="O29" s="6" t="inlineStr"/>
      <c r="P29" s="6" t="inlineStr"/>
      <c r="Q29" s="6" t="inlineStr"/>
      <c r="R29" s="6" t="inlineStr"/>
    </row>
    <row r="30">
      <c r="A30" s="5" t="n">
        <v>29</v>
      </c>
      <c r="B30" s="5" t="inlineStr">
        <is>
          <t>10.1039/c2cy20604h</t>
        </is>
      </c>
      <c r="C30" s="5" t="inlineStr">
        <is>
          <t>Cu–K/Al2O3</t>
        </is>
      </c>
      <c r="D30" s="5" t="inlineStr">
        <is>
          <t>Fig 7/Fig 8, Cu-K/Al2O3, 473 K, 36 MPa</t>
        </is>
      </c>
      <c r="E30" s="5" t="inlineStr">
        <is>
          <t>CO2 conversion</t>
        </is>
      </c>
      <c r="F30" s="5" t="n">
        <v>8.9</v>
      </c>
      <c r="G30" s="5" t="inlineStr">
        <is>
          <t>%</t>
        </is>
      </c>
      <c r="H30" s="5" t="inlineStr">
        <is>
          <t>Figure 7 and Figure 8</t>
        </is>
      </c>
      <c r="I30" s="5" t="n">
        <v>7</v>
      </c>
      <c r="J30" s="5" t="inlineStr">
        <is>
          <t>SI</t>
        </is>
      </c>
      <c r="K30" s="5" t="inlineStr">
        <is>
          <t>X_CO2&lt;-si;S_MeOH&lt;-si;S_CO&lt;-si;STY&lt;-si;H2_CO2&lt;-si;GHSV&lt;-figures</t>
        </is>
      </c>
      <c r="L30" s="5" t="inlineStr">
        <is>
          <t>pdf/Bansode_2013_Impact of K and Ba promoters on CO 2 hydrogenation over CuAl 2 O 3 catalysts at.pdf</t>
        </is>
      </c>
      <c r="M30" s="5" t="inlineStr">
        <is>
          <t>si/10_1039_c2cy20604h__si1.pdf</t>
        </is>
      </c>
      <c r="N30" s="6" t="inlineStr"/>
      <c r="O30" s="6" t="inlineStr"/>
      <c r="P30" s="6" t="inlineStr"/>
      <c r="Q30" s="6" t="inlineStr"/>
      <c r="R30" s="6" t="inlineStr"/>
    </row>
    <row r="31">
      <c r="A31" s="5" t="n">
        <v>30</v>
      </c>
      <c r="B31" s="5" t="inlineStr">
        <is>
          <t>10.1039/c2cy20604h</t>
        </is>
      </c>
      <c r="C31" s="5" t="inlineStr">
        <is>
          <t>Cu–K/Al2O3</t>
        </is>
      </c>
      <c r="D31" s="5" t="inlineStr">
        <is>
          <t>Fig 7, Cu-K/Al2O3, 533 K, 3 MPa</t>
        </is>
      </c>
      <c r="E31" s="5" t="inlineStr">
        <is>
          <t>CO selectivity</t>
        </is>
      </c>
      <c r="F31" s="5" t="n">
        <v>98.09999999999999</v>
      </c>
      <c r="G31" s="5" t="inlineStr">
        <is>
          <t>%</t>
        </is>
      </c>
      <c r="H31" s="5" t="inlineStr">
        <is>
          <t>Figure 7</t>
        </is>
      </c>
      <c r="I31" s="5" t="n">
        <v>7</v>
      </c>
      <c r="J31" s="5" t="inlineStr">
        <is>
          <t>SI</t>
        </is>
      </c>
      <c r="K31" s="5" t="inlineStr">
        <is>
          <t>X_CO2&lt;-si;S_MeOH&lt;-si;S_CO&lt;-si;STY&lt;-si;H2_CO2&lt;-si;GHSV&lt;-figures</t>
        </is>
      </c>
      <c r="L31" s="5" t="inlineStr">
        <is>
          <t>pdf/Bansode_2013_Impact of K and Ba promoters on CO 2 hydrogenation over CuAl 2 O 3 catalysts at.pdf</t>
        </is>
      </c>
      <c r="M31" s="5" t="inlineStr">
        <is>
          <t>si/10_1039_c2cy20604h__si1.pdf</t>
        </is>
      </c>
      <c r="N31" s="6" t="inlineStr"/>
      <c r="O31" s="6" t="inlineStr"/>
      <c r="P31" s="6" t="inlineStr"/>
      <c r="Q31" s="6" t="inlineStr"/>
      <c r="R31" s="6" t="inlineStr"/>
    </row>
    <row r="32">
      <c r="A32" s="5" t="n">
        <v>31</v>
      </c>
      <c r="B32" s="5" t="inlineStr">
        <is>
          <t>10.1038/s41467-019-11349-9</t>
        </is>
      </c>
      <c r="C32" s="5" t="inlineStr">
        <is>
          <t>Pd–In2O3 CP</t>
        </is>
      </c>
      <c r="D32" s="5" t="inlineStr">
        <is>
          <t>Table 2 Pd–In2O3 CP, WHSV 48,000 initial</t>
        </is>
      </c>
      <c r="E32" s="5" t="inlineStr">
        <is>
          <t>pressure</t>
        </is>
      </c>
      <c r="F32" s="5" t="n">
        <v>50</v>
      </c>
      <c r="G32" s="5" t="inlineStr">
        <is>
          <t>bar</t>
        </is>
      </c>
      <c r="H32" s="5" t="inlineStr">
        <is>
          <t>Table 2</t>
        </is>
      </c>
      <c r="I32" s="5" t="n">
        <v>9</v>
      </c>
      <c r="J32" s="5" t="n"/>
      <c r="K32" s="5" t="inlineStr"/>
      <c r="L32" s="5" t="inlineStr">
        <is>
          <t>pdf/Frei_2019_Atomic-scale engineering of indium oxide promotion by palladium for methanol pro.pdf</t>
        </is>
      </c>
      <c r="M32" s="5" t="inlineStr">
        <is>
          <t>si/10_1038_s41467_019_11349_9__si1.pdf; si/10_1038_s41467_019_11349_9__si2.pdf</t>
        </is>
      </c>
      <c r="N32" s="6" t="inlineStr"/>
      <c r="O32" s="6" t="inlineStr"/>
      <c r="P32" s="6" t="inlineStr"/>
      <c r="Q32" s="6" t="inlineStr"/>
      <c r="R32" s="6" t="inlineStr"/>
    </row>
    <row r="33">
      <c r="A33" s="5" t="n">
        <v>32</v>
      </c>
      <c r="B33" s="5" t="inlineStr">
        <is>
          <t>10.1038/s41467-019-11349-9</t>
        </is>
      </c>
      <c r="C33" s="5" t="inlineStr">
        <is>
          <t>CP</t>
        </is>
      </c>
      <c r="D33" s="5" t="inlineStr">
        <is>
          <t>Fig. 6/text Pd–In2O3 CP stability, start</t>
        </is>
      </c>
      <c r="E33" s="5" t="inlineStr">
        <is>
          <t>CH3OH selectivity</t>
        </is>
      </c>
      <c r="F33" s="5" t="n">
        <v>75</v>
      </c>
      <c r="G33" s="5" t="inlineStr">
        <is>
          <t>%</t>
        </is>
      </c>
      <c r="H33" s="5" t="inlineStr">
        <is>
          <t>Fig. 6 and Results text</t>
        </is>
      </c>
      <c r="I33" s="5" t="n">
        <v>8</v>
      </c>
      <c r="J33" s="5" t="inlineStr">
        <is>
          <t>mixed</t>
        </is>
      </c>
      <c r="K33" s="5" t="inlineStr"/>
      <c r="L33" s="5" t="inlineStr">
        <is>
          <t>pdf/Frei_2019_Atomic-scale engineering of indium oxide promotion by palladium for methanol pro.pdf</t>
        </is>
      </c>
      <c r="M33" s="5" t="inlineStr">
        <is>
          <t>si/10_1038_s41467_019_11349_9__si1.pdf; si/10_1038_s41467_019_11349_9__si2.pdf</t>
        </is>
      </c>
      <c r="N33" s="6" t="inlineStr"/>
      <c r="O33" s="6" t="inlineStr"/>
      <c r="P33" s="6" t="inlineStr"/>
      <c r="Q33" s="6" t="inlineStr"/>
      <c r="R33" s="6" t="inlineStr"/>
    </row>
    <row r="34">
      <c r="A34" s="5" t="n">
        <v>33</v>
      </c>
      <c r="B34" s="5" t="inlineStr">
        <is>
          <t>10.1038/s41467-019-11349-9</t>
        </is>
      </c>
      <c r="C34" s="5" t="inlineStr">
        <is>
          <t>Pd–In2O3 CP</t>
        </is>
      </c>
      <c r="D34" s="5" t="inlineStr">
        <is>
          <t>Table 2 Pd–In2O3 CP, WHSV 48,000 initial</t>
        </is>
      </c>
      <c r="E34" s="5" t="inlineStr">
        <is>
          <t>temperature</t>
        </is>
      </c>
      <c r="F34" s="5" t="n">
        <v>279.85</v>
      </c>
      <c r="G34" s="5" t="inlineStr">
        <is>
          <t>°C (from K)</t>
        </is>
      </c>
      <c r="H34" s="5" t="inlineStr">
        <is>
          <t>Table 2</t>
        </is>
      </c>
      <c r="I34" s="5" t="n">
        <v>9</v>
      </c>
      <c r="J34" s="5" t="n"/>
      <c r="K34" s="5" t="inlineStr"/>
      <c r="L34" s="5" t="inlineStr">
        <is>
          <t>pdf/Frei_2019_Atomic-scale engineering of indium oxide promotion by palladium for methanol pro.pdf</t>
        </is>
      </c>
      <c r="M34" s="5" t="inlineStr">
        <is>
          <t>si/10_1038_s41467_019_11349_9__si1.pdf; si/10_1038_s41467_019_11349_9__si2.pdf</t>
        </is>
      </c>
      <c r="N34" s="6" t="inlineStr"/>
      <c r="O34" s="6" t="inlineStr"/>
      <c r="P34" s="6" t="inlineStr"/>
      <c r="Q34" s="6" t="inlineStr"/>
      <c r="R34" s="6" t="inlineStr"/>
    </row>
    <row r="35">
      <c r="A35" s="5" t="n">
        <v>34</v>
      </c>
      <c r="B35" s="5" t="inlineStr">
        <is>
          <t>10.1038/s41467-019-11349-9</t>
        </is>
      </c>
      <c r="C35" s="5" t="inlineStr">
        <is>
          <t>CP</t>
        </is>
      </c>
      <c r="D35" s="5" t="inlineStr">
        <is>
          <t>Fig. 6/text Pd–In2O3 CP stability, after 500 h</t>
        </is>
      </c>
      <c r="E35" s="5" t="inlineStr">
        <is>
          <t>temperature</t>
        </is>
      </c>
      <c r="F35" s="5" t="n">
        <v>279.85</v>
      </c>
      <c r="G35" s="5" t="inlineStr">
        <is>
          <t>°C (from K)</t>
        </is>
      </c>
      <c r="H35" s="5" t="inlineStr">
        <is>
          <t>Fig. 6 and Results text</t>
        </is>
      </c>
      <c r="I35" s="5" t="n">
        <v>8</v>
      </c>
      <c r="J35" s="5" t="n"/>
      <c r="K35" s="5" t="inlineStr"/>
      <c r="L35" s="5" t="inlineStr">
        <is>
          <t>pdf/Frei_2019_Atomic-scale engineering of indium oxide promotion by palladium for methanol pro.pdf</t>
        </is>
      </c>
      <c r="M35" s="5" t="inlineStr">
        <is>
          <t>si/10_1038_s41467_019_11349_9__si1.pdf; si/10_1038_s41467_019_11349_9__si2.pdf</t>
        </is>
      </c>
      <c r="N35" s="6" t="inlineStr"/>
      <c r="O35" s="6" t="inlineStr"/>
      <c r="P35" s="6" t="inlineStr"/>
      <c r="Q35" s="6" t="inlineStr"/>
      <c r="R35" s="6" t="inlineStr"/>
    </row>
    <row r="36">
      <c r="A36" s="5" t="n">
        <v>35</v>
      </c>
      <c r="B36" s="5" t="inlineStr">
        <is>
          <t>10.1038/s41467-019-11349-9</t>
        </is>
      </c>
      <c r="C36" s="5" t="inlineStr">
        <is>
          <t>CP</t>
        </is>
      </c>
      <c r="D36" s="5" t="inlineStr">
        <is>
          <t>Fig. 6/text Pd–In2O3 CP stability, start</t>
        </is>
      </c>
      <c r="E36" s="5" t="inlineStr">
        <is>
          <t>CO2 conversion</t>
        </is>
      </c>
      <c r="F36" s="5" t="n">
        <v>9.699999999999999</v>
      </c>
      <c r="G36" s="5" t="inlineStr">
        <is>
          <t>%</t>
        </is>
      </c>
      <c r="H36" s="5" t="inlineStr">
        <is>
          <t>Fig. 6 and Results text</t>
        </is>
      </c>
      <c r="I36" s="5" t="n">
        <v>8</v>
      </c>
      <c r="J36" s="5" t="inlineStr">
        <is>
          <t>mixed</t>
        </is>
      </c>
      <c r="K36" s="5" t="inlineStr"/>
      <c r="L36" s="5" t="inlineStr">
        <is>
          <t>pdf/Frei_2019_Atomic-scale engineering of indium oxide promotion by palladium for methanol pro.pdf</t>
        </is>
      </c>
      <c r="M36" s="5" t="inlineStr">
        <is>
          <t>si/10_1038_s41467_019_11349_9__si1.pdf; si/10_1038_s41467_019_11349_9__si2.pdf</t>
        </is>
      </c>
      <c r="N36" s="6" t="inlineStr"/>
      <c r="O36" s="6" t="inlineStr"/>
      <c r="P36" s="6" t="inlineStr"/>
      <c r="Q36" s="6" t="inlineStr"/>
      <c r="R36" s="6" t="inlineStr"/>
    </row>
    <row r="37">
      <c r="A37" s="5" t="n">
        <v>36</v>
      </c>
      <c r="B37" s="5" t="inlineStr">
        <is>
          <t>10.1038/s41467-019-11349-9</t>
        </is>
      </c>
      <c r="C37" s="5" t="inlineStr">
        <is>
          <t>CP</t>
        </is>
      </c>
      <c r="D37" s="5" t="inlineStr">
        <is>
          <t>Fig. 6/text Pd–In2O3 CP stability, start</t>
        </is>
      </c>
      <c r="E37" s="5" t="inlineStr">
        <is>
          <t>H2/CO2</t>
        </is>
      </c>
      <c r="F37" s="5" t="n">
        <v>4</v>
      </c>
      <c r="G37" s="5" t="inlineStr">
        <is>
          <t>mol/mol</t>
        </is>
      </c>
      <c r="H37" s="5" t="inlineStr">
        <is>
          <t>Fig. 6 and Results text</t>
        </is>
      </c>
      <c r="I37" s="5" t="n">
        <v>8</v>
      </c>
      <c r="J37" s="5" t="n"/>
      <c r="K37" s="5" t="inlineStr"/>
      <c r="L37" s="5" t="inlineStr">
        <is>
          <t>pdf/Frei_2019_Atomic-scale engineering of indium oxide promotion by palladium for methanol pro.pdf</t>
        </is>
      </c>
      <c r="M37" s="5" t="inlineStr">
        <is>
          <t>si/10_1038_s41467_019_11349_9__si1.pdf; si/10_1038_s41467_019_11349_9__si2.pdf</t>
        </is>
      </c>
      <c r="N37" s="6" t="inlineStr"/>
      <c r="O37" s="6" t="inlineStr"/>
      <c r="P37" s="6" t="inlineStr"/>
      <c r="Q37" s="6" t="inlineStr"/>
      <c r="R37" s="6" t="inlineStr"/>
    </row>
    <row r="38">
      <c r="A38" s="5" t="n">
        <v>37</v>
      </c>
      <c r="B38" s="5" t="inlineStr">
        <is>
          <t>10.1038/s41467-019-11349-9</t>
        </is>
      </c>
      <c r="C38" s="5" t="inlineStr">
        <is>
          <t>CP</t>
        </is>
      </c>
      <c r="D38" s="5" t="inlineStr">
        <is>
          <t>Fig. 6/text Pd–In2O3 CP stability, after 500 h</t>
        </is>
      </c>
      <c r="E38" s="5" t="inlineStr">
        <is>
          <t>CO2 conversion</t>
        </is>
      </c>
      <c r="F38" s="5" t="n">
        <v>9.199999999999999</v>
      </c>
      <c r="G38" s="5" t="inlineStr">
        <is>
          <t>%</t>
        </is>
      </c>
      <c r="H38" s="5" t="inlineStr">
        <is>
          <t>Fig. 6 and Results text</t>
        </is>
      </c>
      <c r="I38" s="5" t="n">
        <v>8</v>
      </c>
      <c r="J38" s="5" t="inlineStr">
        <is>
          <t>mixed</t>
        </is>
      </c>
      <c r="K38" s="5" t="inlineStr"/>
      <c r="L38" s="5" t="inlineStr">
        <is>
          <t>pdf/Frei_2019_Atomic-scale engineering of indium oxide promotion by palladium for methanol pro.pdf</t>
        </is>
      </c>
      <c r="M38" s="5" t="inlineStr">
        <is>
          <t>si/10_1038_s41467_019_11349_9__si1.pdf; si/10_1038_s41467_019_11349_9__si2.pdf</t>
        </is>
      </c>
      <c r="N38" s="6" t="inlineStr"/>
      <c r="O38" s="6" t="inlineStr"/>
      <c r="P38" s="6" t="inlineStr"/>
      <c r="Q38" s="6" t="inlineStr"/>
      <c r="R38" s="6" t="inlineStr"/>
    </row>
    <row r="39">
      <c r="A39" s="5" t="n">
        <v>38</v>
      </c>
      <c r="B39" s="5" t="inlineStr">
        <is>
          <t>10.1038/s41467-019-11349-9</t>
        </is>
      </c>
      <c r="C39" s="5" t="inlineStr">
        <is>
          <t>CP</t>
        </is>
      </c>
      <c r="D39" s="5" t="inlineStr">
        <is>
          <t>Fig. 6/text Pd–In2O3 CP stability, start</t>
        </is>
      </c>
      <c r="E39" s="5" t="inlineStr">
        <is>
          <t>temperature</t>
        </is>
      </c>
      <c r="F39" s="5" t="n">
        <v>279.85</v>
      </c>
      <c r="G39" s="5" t="inlineStr">
        <is>
          <t>°C (from K)</t>
        </is>
      </c>
      <c r="H39" s="5" t="inlineStr">
        <is>
          <t>Fig. 6 and Results text</t>
        </is>
      </c>
      <c r="I39" s="5" t="n">
        <v>8</v>
      </c>
      <c r="J39" s="5" t="n"/>
      <c r="K39" s="5" t="inlineStr"/>
      <c r="L39" s="5" t="inlineStr">
        <is>
          <t>pdf/Frei_2019_Atomic-scale engineering of indium oxide promotion by palladium for methanol pro.pdf</t>
        </is>
      </c>
      <c r="M39" s="5" t="inlineStr">
        <is>
          <t>si/10_1038_s41467_019_11349_9__si1.pdf; si/10_1038_s41467_019_11349_9__si2.pdf</t>
        </is>
      </c>
      <c r="N39" s="6" t="inlineStr"/>
      <c r="O39" s="6" t="inlineStr"/>
      <c r="P39" s="6" t="inlineStr"/>
      <c r="Q39" s="6" t="inlineStr"/>
      <c r="R39" s="6" t="inlineStr"/>
    </row>
    <row r="40">
      <c r="A40" s="5" t="n">
        <v>39</v>
      </c>
      <c r="B40" s="5" t="inlineStr">
        <is>
          <t>10.1038/s41467-019-11349-9</t>
        </is>
      </c>
      <c r="C40" s="5" t="inlineStr">
        <is>
          <t>CP</t>
        </is>
      </c>
      <c r="D40" s="5" t="inlineStr">
        <is>
          <t>Fig. 6/text Pd–In2O3 CP stability, start</t>
        </is>
      </c>
      <c r="E40" s="5" t="inlineStr">
        <is>
          <t>pressure</t>
        </is>
      </c>
      <c r="F40" s="5" t="n">
        <v>50</v>
      </c>
      <c r="G40" s="5" t="inlineStr">
        <is>
          <t>bar</t>
        </is>
      </c>
      <c r="H40" s="5" t="inlineStr">
        <is>
          <t>Fig. 6 and Results text</t>
        </is>
      </c>
      <c r="I40" s="5" t="n">
        <v>8</v>
      </c>
      <c r="J40" s="5" t="n"/>
      <c r="K40" s="5" t="inlineStr"/>
      <c r="L40" s="5" t="inlineStr">
        <is>
          <t>pdf/Frei_2019_Atomic-scale engineering of indium oxide promotion by palladium for methanol pro.pdf</t>
        </is>
      </c>
      <c r="M40" s="5" t="inlineStr">
        <is>
          <t>si/10_1038_s41467_019_11349_9__si1.pdf; si/10_1038_s41467_019_11349_9__si2.pdf</t>
        </is>
      </c>
      <c r="N40" s="6" t="inlineStr"/>
      <c r="O40" s="6" t="inlineStr"/>
      <c r="P40" s="6" t="inlineStr"/>
      <c r="Q40" s="6" t="inlineStr"/>
      <c r="R40" s="6" t="inlineStr"/>
    </row>
    <row r="41">
      <c r="A41" s="5" t="n">
        <v>40</v>
      </c>
      <c r="B41" s="5" t="inlineStr">
        <is>
          <t>10.1038/s41467-019-11349-9</t>
        </is>
      </c>
      <c r="C41" s="5" t="inlineStr">
        <is>
          <t>Pd–In2O3 CP</t>
        </is>
      </c>
      <c r="D41" s="5" t="inlineStr">
        <is>
          <t>Table 2 Pd–In2O3 CP, WHSV 48,000 initial</t>
        </is>
      </c>
      <c r="E41" s="5" t="inlineStr">
        <is>
          <t>CO2 conversion</t>
        </is>
      </c>
      <c r="F41" s="5" t="n">
        <v>9.699999999999999</v>
      </c>
      <c r="G41" s="5" t="inlineStr">
        <is>
          <t>%</t>
        </is>
      </c>
      <c r="H41" s="5" t="inlineStr">
        <is>
          <t>Table 2</t>
        </is>
      </c>
      <c r="I41" s="5" t="n">
        <v>9</v>
      </c>
      <c r="J41" s="5" t="inlineStr">
        <is>
          <t>mixed</t>
        </is>
      </c>
      <c r="K41" s="5" t="inlineStr"/>
      <c r="L41" s="5" t="inlineStr">
        <is>
          <t>pdf/Frei_2019_Atomic-scale engineering of indium oxide promotion by palladium for methanol pro.pdf</t>
        </is>
      </c>
      <c r="M41" s="5" t="inlineStr">
        <is>
          <t>si/10_1038_s41467_019_11349_9__si1.pdf; si/10_1038_s41467_019_11349_9__si2.pdf</t>
        </is>
      </c>
      <c r="N41" s="6" t="inlineStr"/>
      <c r="O41" s="6" t="inlineStr"/>
      <c r="P41" s="6" t="inlineStr"/>
      <c r="Q41" s="6" t="inlineStr"/>
      <c r="R41" s="6" t="inlineStr"/>
    </row>
    <row r="42">
      <c r="A42" s="5" t="n">
        <v>41</v>
      </c>
      <c r="B42" s="5" t="inlineStr">
        <is>
          <t>10.1126/sciadv.aaz2060</t>
        </is>
      </c>
      <c r="C42" s="5" t="inlineStr">
        <is>
          <t>h–In2O3-R</t>
        </is>
      </c>
      <c r="D42" s="5" t="inlineStr">
        <is>
          <t>Fig. 5B/C, h–In2O3-R, 240°C, standard feed</t>
        </is>
      </c>
      <c r="E42" s="5" t="inlineStr">
        <is>
          <t>space velocity</t>
        </is>
      </c>
      <c r="F42" s="5" t="inlineStr">
        <is>
          <t>9000 ml gcat−1 hour−1</t>
        </is>
      </c>
      <c r="G42" s="5" t="inlineStr">
        <is>
          <t>as printed</t>
        </is>
      </c>
      <c r="H42" s="5" t="inlineStr">
        <is>
          <t>Figure 5B and Figure 5C</t>
        </is>
      </c>
      <c r="I42" s="5" t="n">
        <v>7</v>
      </c>
      <c r="J42" s="5" t="inlineStr">
        <is>
          <t>mixed</t>
        </is>
      </c>
      <c r="K42" s="5" t="inlineStr"/>
      <c r="L42" s="5" t="inlineStr">
        <is>
          <t>pdf/Dang_2020_Rationally designed indium oxide catalysts for CO 2 hydrogenation to methanol wi.pdf</t>
        </is>
      </c>
      <c r="M42" s="5" t="inlineStr">
        <is>
          <t>si/10_1126_sciadv_aaz2060__si1.pdf</t>
        </is>
      </c>
      <c r="N42" s="6" t="inlineStr"/>
      <c r="O42" s="6" t="inlineStr"/>
      <c r="P42" s="6" t="inlineStr"/>
      <c r="Q42" s="6" t="inlineStr"/>
      <c r="R42" s="6" t="inlineStr"/>
    </row>
    <row r="43">
      <c r="A43" s="5" t="n">
        <v>42</v>
      </c>
      <c r="B43" s="5" t="inlineStr">
        <is>
          <t>10.1126/sciadv.aaz2060</t>
        </is>
      </c>
      <c r="C43" s="5" t="inlineStr">
        <is>
          <t>h–In2O3-R</t>
        </is>
      </c>
      <c r="D43" s="5" t="inlineStr">
        <is>
          <t>Fig. 5E/text, h–In2O3-R stability, initial</t>
        </is>
      </c>
      <c r="E43" s="5" t="inlineStr">
        <is>
          <t>CH3OH selectivity</t>
        </is>
      </c>
      <c r="F43" s="5" t="n">
        <v>71</v>
      </c>
      <c r="G43" s="5" t="inlineStr">
        <is>
          <t>%</t>
        </is>
      </c>
      <c r="H43" s="5" t="inlineStr">
        <is>
          <t>Figure 5E and text on page 6</t>
        </is>
      </c>
      <c r="I43" s="5" t="n">
        <v>7</v>
      </c>
      <c r="J43" s="5" t="inlineStr">
        <is>
          <t>mixed</t>
        </is>
      </c>
      <c r="K43" s="5" t="inlineStr"/>
      <c r="L43" s="5" t="inlineStr">
        <is>
          <t>pdf/Dang_2020_Rationally designed indium oxide catalysts for CO 2 hydrogenation to methanol wi.pdf</t>
        </is>
      </c>
      <c r="M43" s="5" t="inlineStr">
        <is>
          <t>si/10_1126_sciadv_aaz2060__si1.pdf</t>
        </is>
      </c>
      <c r="N43" s="6" t="inlineStr"/>
      <c r="O43" s="6" t="inlineStr"/>
      <c r="P43" s="6" t="inlineStr"/>
      <c r="Q43" s="6" t="inlineStr"/>
      <c r="R43" s="6" t="inlineStr"/>
    </row>
    <row r="44">
      <c r="A44" s="5" t="n">
        <v>43</v>
      </c>
      <c r="B44" s="5" t="inlineStr">
        <is>
          <t>10.1126/sciadv.aaz2060</t>
        </is>
      </c>
      <c r="C44" s="5" t="inlineStr">
        <is>
          <t>h–In2O3-R</t>
        </is>
      </c>
      <c r="D44" s="5" t="inlineStr">
        <is>
          <t>Fig. 5B/C, h–In2O3-R, 240°C, standard feed</t>
        </is>
      </c>
      <c r="E44" s="5" t="inlineStr">
        <is>
          <t>temperature</t>
        </is>
      </c>
      <c r="F44" s="5" t="n">
        <v>240</v>
      </c>
      <c r="G44" s="5" t="inlineStr">
        <is>
          <t>°C (from K)</t>
        </is>
      </c>
      <c r="H44" s="5" t="inlineStr">
        <is>
          <t>Figure 5B and Figure 5C</t>
        </is>
      </c>
      <c r="I44" s="5" t="n">
        <v>7</v>
      </c>
      <c r="J44" s="5" t="n"/>
      <c r="K44" s="5" t="inlineStr"/>
      <c r="L44" s="5" t="inlineStr">
        <is>
          <t>pdf/Dang_2020_Rationally designed indium oxide catalysts for CO 2 hydrogenation to methanol wi.pdf</t>
        </is>
      </c>
      <c r="M44" s="5" t="inlineStr">
        <is>
          <t>si/10_1126_sciadv_aaz2060__si1.pdf</t>
        </is>
      </c>
      <c r="N44" s="6" t="inlineStr"/>
      <c r="O44" s="6" t="inlineStr"/>
      <c r="P44" s="6" t="inlineStr"/>
      <c r="Q44" s="6" t="inlineStr"/>
      <c r="R44" s="6" t="inlineStr"/>
    </row>
    <row r="45">
      <c r="A45" s="5" t="n">
        <v>44</v>
      </c>
      <c r="B45" s="5" t="inlineStr">
        <is>
          <t>10.1126/sciadv.aaz2060</t>
        </is>
      </c>
      <c r="C45" s="5" t="inlineStr">
        <is>
          <t>h–In2O3-R</t>
        </is>
      </c>
      <c r="D45" s="5" t="inlineStr">
        <is>
          <t>Fig. 5E/text, h–In2O3-R stability, 44 h</t>
        </is>
      </c>
      <c r="E45" s="5" t="inlineStr">
        <is>
          <t>pressure</t>
        </is>
      </c>
      <c r="F45" s="5" t="n">
        <v>50</v>
      </c>
      <c r="G45" s="5" t="inlineStr">
        <is>
          <t>bar</t>
        </is>
      </c>
      <c r="H45" s="5" t="inlineStr">
        <is>
          <t>Figure 5E and text on page 6</t>
        </is>
      </c>
      <c r="I45" s="5" t="n">
        <v>7</v>
      </c>
      <c r="J45" s="5" t="n"/>
      <c r="K45" s="5" t="inlineStr"/>
      <c r="L45" s="5" t="inlineStr">
        <is>
          <t>pdf/Dang_2020_Rationally designed indium oxide catalysts for CO 2 hydrogenation to methanol wi.pdf</t>
        </is>
      </c>
      <c r="M45" s="5" t="inlineStr">
        <is>
          <t>si/10_1126_sciadv_aaz2060__si1.pdf</t>
        </is>
      </c>
      <c r="N45" s="6" t="inlineStr"/>
      <c r="O45" s="6" t="inlineStr"/>
      <c r="P45" s="6" t="inlineStr"/>
      <c r="Q45" s="6" t="inlineStr"/>
      <c r="R45" s="6" t="inlineStr"/>
    </row>
    <row r="46">
      <c r="A46" s="5" t="n">
        <v>45</v>
      </c>
      <c r="B46" s="5" t="inlineStr">
        <is>
          <t>10.1126/sciadv.aaz2060</t>
        </is>
      </c>
      <c r="C46" s="5" t="inlineStr">
        <is>
          <t>h–In2O3-R</t>
        </is>
      </c>
      <c r="D46" s="5" t="inlineStr">
        <is>
          <t>Fig. 5E/text, h–In2O3-R stability, initial</t>
        </is>
      </c>
      <c r="E46" s="5" t="inlineStr">
        <is>
          <t>H2/CO2</t>
        </is>
      </c>
      <c r="F46" s="5" t="n">
        <v>3.041666666666667</v>
      </c>
      <c r="G46" s="5" t="inlineStr">
        <is>
          <t>mol/mol</t>
        </is>
      </c>
      <c r="H46" s="5" t="inlineStr">
        <is>
          <t>Figure 5E and text on page 6</t>
        </is>
      </c>
      <c r="I46" s="5" t="n">
        <v>7</v>
      </c>
      <c r="J46" s="5" t="n"/>
      <c r="K46" s="5" t="inlineStr"/>
      <c r="L46" s="5" t="inlineStr">
        <is>
          <t>pdf/Dang_2020_Rationally designed indium oxide catalysts for CO 2 hydrogenation to methanol wi.pdf</t>
        </is>
      </c>
      <c r="M46" s="5" t="inlineStr">
        <is>
          <t>si/10_1126_sciadv_aaz2060__si1.pdf</t>
        </is>
      </c>
      <c r="N46" s="6" t="inlineStr"/>
      <c r="O46" s="6" t="inlineStr"/>
      <c r="P46" s="6" t="inlineStr"/>
      <c r="Q46" s="6" t="inlineStr"/>
      <c r="R46" s="6" t="inlineStr"/>
    </row>
    <row r="47">
      <c r="A47" s="5" t="n">
        <v>46</v>
      </c>
      <c r="B47" s="5" t="inlineStr">
        <is>
          <t>10.1126/sciadv.aaz2060</t>
        </is>
      </c>
      <c r="C47" s="5" t="inlineStr">
        <is>
          <t>h–In2O3-R</t>
        </is>
      </c>
      <c r="D47" s="5" t="inlineStr">
        <is>
          <t>Fig. 5E/text, h–In2O3-R stability, initial</t>
        </is>
      </c>
      <c r="E47" s="5" t="inlineStr">
        <is>
          <t>pressure</t>
        </is>
      </c>
      <c r="F47" s="5" t="n">
        <v>50</v>
      </c>
      <c r="G47" s="5" t="inlineStr">
        <is>
          <t>bar</t>
        </is>
      </c>
      <c r="H47" s="5" t="inlineStr">
        <is>
          <t>Figure 5E and text on page 6</t>
        </is>
      </c>
      <c r="I47" s="5" t="n">
        <v>7</v>
      </c>
      <c r="J47" s="5" t="n"/>
      <c r="K47" s="5" t="inlineStr"/>
      <c r="L47" s="5" t="inlineStr">
        <is>
          <t>pdf/Dang_2020_Rationally designed indium oxide catalysts for CO 2 hydrogenation to methanol wi.pdf</t>
        </is>
      </c>
      <c r="M47" s="5" t="inlineStr">
        <is>
          <t>si/10_1126_sciadv_aaz2060__si1.pdf</t>
        </is>
      </c>
      <c r="N47" s="6" t="inlineStr"/>
      <c r="O47" s="6" t="inlineStr"/>
      <c r="P47" s="6" t="inlineStr"/>
      <c r="Q47" s="6" t="inlineStr"/>
      <c r="R47" s="6" t="inlineStr"/>
    </row>
    <row r="48">
      <c r="A48" s="5" t="n">
        <v>47</v>
      </c>
      <c r="B48" s="5" t="inlineStr">
        <is>
          <t>10.1126/sciadv.aaz2060</t>
        </is>
      </c>
      <c r="C48" s="5" t="inlineStr">
        <is>
          <t>h–In2O3-R</t>
        </is>
      </c>
      <c r="D48" s="5" t="inlineStr">
        <is>
          <t>Fig. 5E/text, h–In2O3-R stability, 44 h</t>
        </is>
      </c>
      <c r="E48" s="5" t="inlineStr">
        <is>
          <t>space velocity</t>
        </is>
      </c>
      <c r="F48" s="5" t="inlineStr">
        <is>
          <t>9000 ml gcat−1 hour−1</t>
        </is>
      </c>
      <c r="G48" s="5" t="inlineStr">
        <is>
          <t>as printed</t>
        </is>
      </c>
      <c r="H48" s="5" t="inlineStr">
        <is>
          <t>Figure 5E and text on page 6</t>
        </is>
      </c>
      <c r="I48" s="5" t="n">
        <v>7</v>
      </c>
      <c r="J48" s="5" t="inlineStr">
        <is>
          <t>mixed</t>
        </is>
      </c>
      <c r="K48" s="5" t="inlineStr"/>
      <c r="L48" s="5" t="inlineStr">
        <is>
          <t>pdf/Dang_2020_Rationally designed indium oxide catalysts for CO 2 hydrogenation to methanol wi.pdf</t>
        </is>
      </c>
      <c r="M48" s="5" t="inlineStr">
        <is>
          <t>si/10_1126_sciadv_aaz2060__si1.pdf</t>
        </is>
      </c>
      <c r="N48" s="6" t="inlineStr"/>
      <c r="O48" s="6" t="inlineStr"/>
      <c r="P48" s="6" t="inlineStr"/>
      <c r="Q48" s="6" t="inlineStr"/>
      <c r="R48" s="6" t="inlineStr"/>
    </row>
    <row r="49">
      <c r="A49" s="5" t="n">
        <v>48</v>
      </c>
      <c r="B49" s="5" t="inlineStr">
        <is>
          <t>10.1126/sciadv.aaz2060</t>
        </is>
      </c>
      <c r="C49" s="5" t="inlineStr">
        <is>
          <t>h–In2O3-R</t>
        </is>
      </c>
      <c r="D49" s="5" t="inlineStr">
        <is>
          <t>Fig. 5B/C, h–In2O3-R, 360°C, standard feed</t>
        </is>
      </c>
      <c r="E49" s="5" t="inlineStr">
        <is>
          <t>temperature</t>
        </is>
      </c>
      <c r="F49" s="5" t="n">
        <v>360</v>
      </c>
      <c r="G49" s="5" t="inlineStr">
        <is>
          <t>°C (from K)</t>
        </is>
      </c>
      <c r="H49" s="5" t="inlineStr">
        <is>
          <t>Figure 5B and Figure 5C</t>
        </is>
      </c>
      <c r="I49" s="5" t="n">
        <v>7</v>
      </c>
      <c r="J49" s="5" t="n"/>
      <c r="K49" s="5" t="inlineStr"/>
      <c r="L49" s="5" t="inlineStr">
        <is>
          <t>pdf/Dang_2020_Rationally designed indium oxide catalysts for CO 2 hydrogenation to methanol wi.pdf</t>
        </is>
      </c>
      <c r="M49" s="5" t="inlineStr">
        <is>
          <t>si/10_1126_sciadv_aaz2060__si1.pdf</t>
        </is>
      </c>
      <c r="N49" s="6" t="inlineStr"/>
      <c r="O49" s="6" t="inlineStr"/>
      <c r="P49" s="6" t="inlineStr"/>
      <c r="Q49" s="6" t="inlineStr"/>
      <c r="R49" s="6" t="inlineStr"/>
    </row>
    <row r="50">
      <c r="A50" s="5" t="n">
        <v>49</v>
      </c>
      <c r="B50" s="5" t="inlineStr">
        <is>
          <t>10.1126/sciadv.aaz2060</t>
        </is>
      </c>
      <c r="C50" s="5" t="inlineStr">
        <is>
          <t>h–In2O3-R</t>
        </is>
      </c>
      <c r="D50" s="5" t="inlineStr">
        <is>
          <t>Fig. 5B/C, h–In2O3-R, 360°C, standard feed</t>
        </is>
      </c>
      <c r="E50" s="5" t="inlineStr">
        <is>
          <t>CO2 conversion</t>
        </is>
      </c>
      <c r="F50" s="5" t="n">
        <v>15.4</v>
      </c>
      <c r="G50" s="5" t="inlineStr">
        <is>
          <t>%</t>
        </is>
      </c>
      <c r="H50" s="5" t="inlineStr">
        <is>
          <t>Figure 5B and Figure 5C</t>
        </is>
      </c>
      <c r="I50" s="5" t="n">
        <v>7</v>
      </c>
      <c r="J50" s="5" t="inlineStr">
        <is>
          <t>mixed</t>
        </is>
      </c>
      <c r="K50" s="5" t="inlineStr"/>
      <c r="L50" s="5" t="inlineStr">
        <is>
          <t>pdf/Dang_2020_Rationally designed indium oxide catalysts for CO 2 hydrogenation to methanol wi.pdf</t>
        </is>
      </c>
      <c r="M50" s="5" t="inlineStr">
        <is>
          <t>si/10_1126_sciadv_aaz2060__si1.pdf</t>
        </is>
      </c>
      <c r="N50" s="6" t="inlineStr"/>
      <c r="O50" s="6" t="inlineStr"/>
      <c r="P50" s="6" t="inlineStr"/>
      <c r="Q50" s="6" t="inlineStr"/>
      <c r="R50" s="6" t="inlineStr"/>
    </row>
    <row r="51">
      <c r="A51" s="5" t="n">
        <v>50</v>
      </c>
      <c r="B51" s="5" t="inlineStr">
        <is>
          <t>10.1126/sciadv.aaz2060</t>
        </is>
      </c>
      <c r="C51" s="5" t="inlineStr">
        <is>
          <t>h–In2O3-R</t>
        </is>
      </c>
      <c r="D51" s="5" t="inlineStr">
        <is>
          <t>Fig. 5B/C, h–In2O3-R, 360°C, standard feed</t>
        </is>
      </c>
      <c r="E51" s="5" t="inlineStr">
        <is>
          <t>pressure</t>
        </is>
      </c>
      <c r="F51" s="5" t="n">
        <v>50</v>
      </c>
      <c r="G51" s="5" t="inlineStr">
        <is>
          <t>bar</t>
        </is>
      </c>
      <c r="H51" s="5" t="inlineStr">
        <is>
          <t>Figure 5B and Figure 5C</t>
        </is>
      </c>
      <c r="I51" s="5" t="n">
        <v>7</v>
      </c>
      <c r="J51" s="5" t="n"/>
      <c r="K51" s="5" t="inlineStr"/>
      <c r="L51" s="5" t="inlineStr">
        <is>
          <t>pdf/Dang_2020_Rationally designed indium oxide catalysts for CO 2 hydrogenation to methanol wi.pdf</t>
        </is>
      </c>
      <c r="M51" s="5" t="inlineStr">
        <is>
          <t>si/10_1126_sciadv_aaz2060__si1.pdf</t>
        </is>
      </c>
      <c r="N51" s="6" t="inlineStr"/>
      <c r="O51" s="6" t="inlineStr"/>
      <c r="P51" s="6" t="inlineStr"/>
      <c r="Q51" s="6" t="inlineStr"/>
      <c r="R51" s="6" t="inlineStr"/>
    </row>
    <row r="52">
      <c r="A52" s="5" t="n">
        <v>51</v>
      </c>
      <c r="B52" s="5" t="inlineStr">
        <is>
          <t>10.1039/c5cy00372e</t>
        </is>
      </c>
      <c r="C52" s="5" t="inlineStr">
        <is>
          <t>CHT-Y0.1</t>
        </is>
      </c>
      <c r="D52" s="5" t="inlineStr">
        <is>
          <t>Table 6 row CHT-Y0.1</t>
        </is>
      </c>
      <c r="E52" s="5" t="inlineStr">
        <is>
          <t>temperature</t>
        </is>
      </c>
      <c r="F52" s="5" t="n">
        <v>229.85</v>
      </c>
      <c r="G52" s="5" t="inlineStr">
        <is>
          <t>°C (from K)</t>
        </is>
      </c>
      <c r="H52" s="5" t="inlineStr">
        <is>
          <t>Table 6</t>
        </is>
      </c>
      <c r="I52" s="5" t="n">
        <v>11</v>
      </c>
      <c r="J52" s="5" t="n"/>
      <c r="K52" s="5" t="inlineStr"/>
      <c r="L52" s="5" t="inlineStr">
        <is>
          <t>pdf/Gao_2015_Yttrium oxide modified CuZnOAl 2 O 3 catalysts via hydrotalcite-like precursors.pdf</t>
        </is>
      </c>
      <c r="M52" s="5" t="inlineStr">
        <is>
          <t>si/10_1039_c5cy00372e__si1.pdf; si/10_1039_c5cy00372e__si2.pdf</t>
        </is>
      </c>
      <c r="N52" s="6" t="inlineStr"/>
      <c r="O52" s="6" t="inlineStr"/>
      <c r="P52" s="6" t="inlineStr"/>
      <c r="Q52" s="6" t="inlineStr"/>
      <c r="R52" s="6" t="inlineStr"/>
    </row>
    <row r="53">
      <c r="A53" s="5" t="n">
        <v>52</v>
      </c>
      <c r="B53" s="5" t="inlineStr">
        <is>
          <t>10.1039/c5cy00372e</t>
        </is>
      </c>
      <c r="C53" s="5" t="inlineStr">
        <is>
          <t>CHT-Y0.5</t>
        </is>
      </c>
      <c r="D53" s="5" t="inlineStr">
        <is>
          <t>Table 6 row CHT-Y0.5</t>
        </is>
      </c>
      <c r="E53" s="5" t="inlineStr">
        <is>
          <t>CO selectivity</t>
        </is>
      </c>
      <c r="F53" s="5" t="n">
        <v>33.1</v>
      </c>
      <c r="G53" s="5" t="inlineStr">
        <is>
          <t>%</t>
        </is>
      </c>
      <c r="H53" s="5" t="inlineStr">
        <is>
          <t>Table 6</t>
        </is>
      </c>
      <c r="I53" s="5" t="n">
        <v>11</v>
      </c>
      <c r="J53" s="5" t="inlineStr">
        <is>
          <t>table</t>
        </is>
      </c>
      <c r="K53" s="5" t="inlineStr"/>
      <c r="L53" s="5" t="inlineStr">
        <is>
          <t>pdf/Gao_2015_Yttrium oxide modified CuZnOAl 2 O 3 catalysts via hydrotalcite-like precursors.pdf</t>
        </is>
      </c>
      <c r="M53" s="5" t="inlineStr">
        <is>
          <t>si/10_1039_c5cy00372e__si1.pdf; si/10_1039_c5cy00372e__si2.pdf</t>
        </is>
      </c>
      <c r="N53" s="6" t="inlineStr"/>
      <c r="O53" s="6" t="inlineStr"/>
      <c r="P53" s="6" t="inlineStr"/>
      <c r="Q53" s="6" t="inlineStr"/>
      <c r="R53" s="6" t="inlineStr"/>
    </row>
    <row r="54">
      <c r="A54" s="5" t="n">
        <v>53</v>
      </c>
      <c r="B54" s="5" t="inlineStr">
        <is>
          <t>10.1039/c5cy00372e</t>
        </is>
      </c>
      <c r="C54" s="5" t="inlineStr">
        <is>
          <t>CHT-Y0.05</t>
        </is>
      </c>
      <c r="D54" s="5" t="inlineStr">
        <is>
          <t>Table 6 row CHT-Y0.05</t>
        </is>
      </c>
      <c r="E54" s="5" t="inlineStr">
        <is>
          <t>CH4 selectivity</t>
        </is>
      </c>
      <c r="F54" s="5" t="n">
        <v>0.2</v>
      </c>
      <c r="G54" s="5" t="inlineStr">
        <is>
          <t>%</t>
        </is>
      </c>
      <c r="H54" s="5" t="inlineStr">
        <is>
          <t>Table 6</t>
        </is>
      </c>
      <c r="I54" s="5" t="n">
        <v>11</v>
      </c>
      <c r="J54" s="5" t="inlineStr">
        <is>
          <t>table</t>
        </is>
      </c>
      <c r="K54" s="5" t="inlineStr"/>
      <c r="L54" s="5" t="inlineStr">
        <is>
          <t>pdf/Gao_2015_Yttrium oxide modified CuZnOAl 2 O 3 catalysts via hydrotalcite-like precursors.pdf</t>
        </is>
      </c>
      <c r="M54" s="5" t="inlineStr">
        <is>
          <t>si/10_1039_c5cy00372e__si1.pdf; si/10_1039_c5cy00372e__si2.pdf</t>
        </is>
      </c>
      <c r="N54" s="6" t="inlineStr"/>
      <c r="O54" s="6" t="inlineStr"/>
      <c r="P54" s="6" t="inlineStr"/>
      <c r="Q54" s="6" t="inlineStr"/>
      <c r="R54" s="6" t="inlineStr"/>
    </row>
    <row r="55">
      <c r="A55" s="5" t="n">
        <v>54</v>
      </c>
      <c r="B55" s="5" t="inlineStr">
        <is>
          <t>10.1039/c5cy00372e</t>
        </is>
      </c>
      <c r="C55" s="5" t="inlineStr">
        <is>
          <t>CHT-Y0</t>
        </is>
      </c>
      <c r="D55" s="5" t="inlineStr">
        <is>
          <t>Table 6 row CHT-Y0</t>
        </is>
      </c>
      <c r="E55" s="5" t="inlineStr">
        <is>
          <t>CO selectivity</t>
        </is>
      </c>
      <c r="F55" s="5" t="n">
        <v>41.6</v>
      </c>
      <c r="G55" s="5" t="inlineStr">
        <is>
          <t>%</t>
        </is>
      </c>
      <c r="H55" s="5" t="inlineStr">
        <is>
          <t>Table 6</t>
        </is>
      </c>
      <c r="I55" s="5" t="n">
        <v>11</v>
      </c>
      <c r="J55" s="5" t="inlineStr">
        <is>
          <t>table</t>
        </is>
      </c>
      <c r="K55" s="5" t="inlineStr"/>
      <c r="L55" s="5" t="inlineStr">
        <is>
          <t>pdf/Gao_2015_Yttrium oxide modified CuZnOAl 2 O 3 catalysts via hydrotalcite-like precursors.pdf</t>
        </is>
      </c>
      <c r="M55" s="5" t="inlineStr">
        <is>
          <t>si/10_1039_c5cy00372e__si1.pdf; si/10_1039_c5cy00372e__si2.pdf</t>
        </is>
      </c>
      <c r="N55" s="6" t="inlineStr"/>
      <c r="O55" s="6" t="inlineStr"/>
      <c r="P55" s="6" t="inlineStr"/>
      <c r="Q55" s="6" t="inlineStr"/>
      <c r="R55" s="6" t="inlineStr"/>
    </row>
    <row r="56">
      <c r="A56" s="5" t="n">
        <v>55</v>
      </c>
      <c r="B56" s="5" t="inlineStr">
        <is>
          <t>10.1039/c5cy00372e</t>
        </is>
      </c>
      <c r="C56" s="5" t="inlineStr">
        <is>
          <t>CHT-Y0.2</t>
        </is>
      </c>
      <c r="D56" s="5" t="inlineStr">
        <is>
          <t>Table 6 row CHT-Y0.2</t>
        </is>
      </c>
      <c r="E56" s="5" t="inlineStr">
        <is>
          <t>CH3OH selectivity</t>
        </is>
      </c>
      <c r="F56" s="5" t="n">
        <v>70.5</v>
      </c>
      <c r="G56" s="5" t="inlineStr">
        <is>
          <t>%</t>
        </is>
      </c>
      <c r="H56" s="5" t="inlineStr">
        <is>
          <t>Table 6</t>
        </is>
      </c>
      <c r="I56" s="5" t="n">
        <v>11</v>
      </c>
      <c r="J56" s="5" t="inlineStr">
        <is>
          <t>table</t>
        </is>
      </c>
      <c r="K56" s="5" t="inlineStr"/>
      <c r="L56" s="5" t="inlineStr">
        <is>
          <t>pdf/Gao_2015_Yttrium oxide modified CuZnOAl 2 O 3 catalysts via hydrotalcite-like precursors.pdf</t>
        </is>
      </c>
      <c r="M56" s="5" t="inlineStr">
        <is>
          <t>si/10_1039_c5cy00372e__si1.pdf; si/10_1039_c5cy00372e__si2.pdf</t>
        </is>
      </c>
      <c r="N56" s="6" t="inlineStr"/>
      <c r="O56" s="6" t="inlineStr"/>
      <c r="P56" s="6" t="inlineStr"/>
      <c r="Q56" s="6" t="inlineStr"/>
      <c r="R56" s="6" t="inlineStr"/>
    </row>
    <row r="57">
      <c r="A57" s="5" t="n">
        <v>56</v>
      </c>
      <c r="B57" s="5" t="inlineStr">
        <is>
          <t>10.1039/c5cy00372e</t>
        </is>
      </c>
      <c r="C57" s="5" t="inlineStr">
        <is>
          <t>CHT-Y0</t>
        </is>
      </c>
      <c r="D57" s="5" t="inlineStr">
        <is>
          <t>Table 6 row CHT-Y0</t>
        </is>
      </c>
      <c r="E57" s="5" t="inlineStr">
        <is>
          <t>CH3OH selectivity</t>
        </is>
      </c>
      <c r="F57" s="5" t="n">
        <v>58.1</v>
      </c>
      <c r="G57" s="5" t="inlineStr">
        <is>
          <t>%</t>
        </is>
      </c>
      <c r="H57" s="5" t="inlineStr">
        <is>
          <t>Table 6</t>
        </is>
      </c>
      <c r="I57" s="5" t="n">
        <v>11</v>
      </c>
      <c r="J57" s="5" t="inlineStr">
        <is>
          <t>table</t>
        </is>
      </c>
      <c r="K57" s="5" t="inlineStr"/>
      <c r="L57" s="5" t="inlineStr">
        <is>
          <t>pdf/Gao_2015_Yttrium oxide modified CuZnOAl 2 O 3 catalysts via hydrotalcite-like precursors.pdf</t>
        </is>
      </c>
      <c r="M57" s="5" t="inlineStr">
        <is>
          <t>si/10_1039_c5cy00372e__si1.pdf; si/10_1039_c5cy00372e__si2.pdf</t>
        </is>
      </c>
      <c r="N57" s="6" t="inlineStr"/>
      <c r="O57" s="6" t="inlineStr"/>
      <c r="P57" s="6" t="inlineStr"/>
      <c r="Q57" s="6" t="inlineStr"/>
      <c r="R57" s="6" t="inlineStr"/>
    </row>
    <row r="58">
      <c r="A58" s="5" t="n">
        <v>57</v>
      </c>
      <c r="B58" s="5" t="inlineStr">
        <is>
          <t>10.1039/c5cy00372e</t>
        </is>
      </c>
      <c r="C58" s="5" t="inlineStr">
        <is>
          <t>CHT-Y0.2</t>
        </is>
      </c>
      <c r="D58" s="5" t="inlineStr">
        <is>
          <t>Table 6 row CHT-Y0.2</t>
        </is>
      </c>
      <c r="E58" s="5" t="inlineStr">
        <is>
          <t>CH4 selectivity</t>
        </is>
      </c>
      <c r="F58" s="5" t="n">
        <v>0.1</v>
      </c>
      <c r="G58" s="5" t="inlineStr">
        <is>
          <t>%</t>
        </is>
      </c>
      <c r="H58" s="5" t="inlineStr">
        <is>
          <t>Table 6</t>
        </is>
      </c>
      <c r="I58" s="5" t="n">
        <v>11</v>
      </c>
      <c r="J58" s="5" t="inlineStr">
        <is>
          <t>table</t>
        </is>
      </c>
      <c r="K58" s="5" t="inlineStr"/>
      <c r="L58" s="5" t="inlineStr">
        <is>
          <t>pdf/Gao_2015_Yttrium oxide modified CuZnOAl 2 O 3 catalysts via hydrotalcite-like precursors.pdf</t>
        </is>
      </c>
      <c r="M58" s="5" t="inlineStr">
        <is>
          <t>si/10_1039_c5cy00372e__si1.pdf; si/10_1039_c5cy00372e__si2.pdf</t>
        </is>
      </c>
      <c r="N58" s="6" t="inlineStr"/>
      <c r="O58" s="6" t="inlineStr"/>
      <c r="P58" s="6" t="inlineStr"/>
      <c r="Q58" s="6" t="inlineStr"/>
      <c r="R58" s="6" t="inlineStr"/>
    </row>
    <row r="59">
      <c r="A59" s="5" t="n">
        <v>58</v>
      </c>
      <c r="B59" s="5" t="inlineStr">
        <is>
          <t>10.1039/c5cy00372e</t>
        </is>
      </c>
      <c r="C59" s="5" t="inlineStr">
        <is>
          <t>CHT-Y0</t>
        </is>
      </c>
      <c r="D59" s="5" t="inlineStr">
        <is>
          <t>Table 6 row CHT-Y0</t>
        </is>
      </c>
      <c r="E59" s="5" t="inlineStr">
        <is>
          <t>CH4 selectivity</t>
        </is>
      </c>
      <c r="F59" s="5" t="n">
        <v>0.3</v>
      </c>
      <c r="G59" s="5" t="inlineStr">
        <is>
          <t>%</t>
        </is>
      </c>
      <c r="H59" s="5" t="inlineStr">
        <is>
          <t>Table 6</t>
        </is>
      </c>
      <c r="I59" s="5" t="n">
        <v>11</v>
      </c>
      <c r="J59" s="5" t="inlineStr">
        <is>
          <t>table</t>
        </is>
      </c>
      <c r="K59" s="5" t="inlineStr"/>
      <c r="L59" s="5" t="inlineStr">
        <is>
          <t>pdf/Gao_2015_Yttrium oxide modified CuZnOAl 2 O 3 catalysts via hydrotalcite-like precursors.pdf</t>
        </is>
      </c>
      <c r="M59" s="5" t="inlineStr">
        <is>
          <t>si/10_1039_c5cy00372e__si1.pdf; si/10_1039_c5cy00372e__si2.pdf</t>
        </is>
      </c>
      <c r="N59" s="6" t="inlineStr"/>
      <c r="O59" s="6" t="inlineStr"/>
      <c r="P59" s="6" t="inlineStr"/>
      <c r="Q59" s="6" t="inlineStr"/>
      <c r="R59" s="6" t="inlineStr"/>
    </row>
    <row r="60">
      <c r="A60" s="5" t="n">
        <v>59</v>
      </c>
      <c r="B60" s="5" t="inlineStr">
        <is>
          <t>10.1039/c5cy00372e</t>
        </is>
      </c>
      <c r="C60" s="5" t="inlineStr">
        <is>
          <t>CHT-Y0.1</t>
        </is>
      </c>
      <c r="D60" s="5" t="inlineStr">
        <is>
          <t>Table 6 row CHT-Y0.1</t>
        </is>
      </c>
      <c r="E60" s="5" t="inlineStr">
        <is>
          <t>STY (printed)</t>
        </is>
      </c>
      <c r="F60" s="5" t="inlineStr">
        <is>
          <t>0.39 g gcat−1 h−1</t>
        </is>
      </c>
      <c r="G60" s="5" t="inlineStr">
        <is>
          <t>as printed</t>
        </is>
      </c>
      <c r="H60" s="5" t="inlineStr">
        <is>
          <t>Table 6</t>
        </is>
      </c>
      <c r="I60" s="5" t="n">
        <v>11</v>
      </c>
      <c r="J60" s="5" t="inlineStr">
        <is>
          <t>table</t>
        </is>
      </c>
      <c r="K60" s="5" t="inlineStr"/>
      <c r="L60" s="5" t="inlineStr">
        <is>
          <t>pdf/Gao_2015_Yttrium oxide modified CuZnOAl 2 O 3 catalysts via hydrotalcite-like precursors.pdf</t>
        </is>
      </c>
      <c r="M60" s="5" t="inlineStr">
        <is>
          <t>si/10_1039_c5cy00372e__si1.pdf; si/10_1039_c5cy00372e__si2.pdf</t>
        </is>
      </c>
      <c r="N60" s="6" t="inlineStr"/>
      <c r="O60" s="6" t="inlineStr"/>
      <c r="P60" s="6" t="inlineStr"/>
      <c r="Q60" s="6" t="inlineStr"/>
      <c r="R60" s="6" t="inlineStr"/>
    </row>
    <row r="61">
      <c r="A61" s="5" t="n">
        <v>60</v>
      </c>
      <c r="B61" s="5" t="inlineStr">
        <is>
          <t>10.1039/c5cy00372e</t>
        </is>
      </c>
      <c r="C61" s="5" t="inlineStr">
        <is>
          <t>CHT-Y0</t>
        </is>
      </c>
      <c r="D61" s="5" t="inlineStr">
        <is>
          <t>Table 6 row CHT-Y0</t>
        </is>
      </c>
      <c r="E61" s="5" t="inlineStr">
        <is>
          <t>pressure</t>
        </is>
      </c>
      <c r="F61" s="5" t="n">
        <v>50</v>
      </c>
      <c r="G61" s="5" t="inlineStr">
        <is>
          <t>bar</t>
        </is>
      </c>
      <c r="H61" s="5" t="inlineStr">
        <is>
          <t>Table 6</t>
        </is>
      </c>
      <c r="I61" s="5" t="n">
        <v>11</v>
      </c>
      <c r="J61" s="5" t="n"/>
      <c r="K61" s="5" t="inlineStr"/>
      <c r="L61" s="5" t="inlineStr">
        <is>
          <t>pdf/Gao_2015_Yttrium oxide modified CuZnOAl 2 O 3 catalysts via hydrotalcite-like precursors.pdf</t>
        </is>
      </c>
      <c r="M61" s="5" t="inlineStr">
        <is>
          <t>si/10_1039_c5cy00372e__si1.pdf; si/10_1039_c5cy00372e__si2.pdf</t>
        </is>
      </c>
      <c r="N61" s="6" t="inlineStr"/>
      <c r="O61" s="6" t="inlineStr"/>
      <c r="P61" s="6" t="inlineStr"/>
      <c r="Q61" s="6" t="inlineStr"/>
      <c r="R61" s="6" t="inlineStr"/>
    </row>
    <row r="62">
      <c r="A62" s="5" t="n">
        <v>61</v>
      </c>
      <c r="B62" s="5" t="inlineStr">
        <is>
          <t>10.1016/j.apcatb.2017.06.069</t>
        </is>
      </c>
      <c r="C62" s="5" t="inlineStr">
        <is>
          <t>In2O3</t>
        </is>
      </c>
      <c r="D62" s="5" t="inlineStr">
        <is>
          <t>SI Table S1, In2O3 This work</t>
        </is>
      </c>
      <c r="E62" s="5" t="inlineStr">
        <is>
          <t>temperature</t>
        </is>
      </c>
      <c r="F62" s="5" t="n">
        <v>300</v>
      </c>
      <c r="G62" s="5" t="inlineStr">
        <is>
          <t>°C (from K)</t>
        </is>
      </c>
      <c r="H62" s="5" t="inlineStr">
        <is>
          <t>SI Table S1</t>
        </is>
      </c>
      <c r="I62" s="5" t="n">
        <v>2</v>
      </c>
      <c r="J62" s="5" t="n"/>
      <c r="K62" s="5" t="inlineStr">
        <is>
          <t>H2_CO2&lt;-figures;cat_mass_g&lt;-figures</t>
        </is>
      </c>
      <c r="L62" s="5" t="inlineStr">
        <is>
          <t>pdf/Rui_2017_CO2 hydrogenation to methanol over PdIn2O3 effects of Pd and oxygen vacancy.pdf</t>
        </is>
      </c>
      <c r="M62" s="5" t="inlineStr">
        <is>
          <t>si/10_1016_j_apcatb_2017_06_069__mmc1.docx</t>
        </is>
      </c>
      <c r="N62" s="6" t="inlineStr"/>
      <c r="O62" s="6" t="inlineStr"/>
      <c r="P62" s="6" t="inlineStr"/>
      <c r="Q62" s="6" t="inlineStr"/>
      <c r="R62" s="6" t="inlineStr"/>
    </row>
    <row r="63">
      <c r="A63" s="5" t="n">
        <v>62</v>
      </c>
      <c r="B63" s="5" t="inlineStr">
        <is>
          <t>10.1016/j.apcatb.2017.06.069</t>
        </is>
      </c>
      <c r="C63" s="5" t="inlineStr">
        <is>
          <t>In2O3</t>
        </is>
      </c>
      <c r="D63" s="5" t="inlineStr">
        <is>
          <t>SI Table S1, In2O3 This work</t>
        </is>
      </c>
      <c r="E63" s="5" t="inlineStr">
        <is>
          <t>STY (printed)</t>
        </is>
      </c>
      <c r="F63" s="5" t="inlineStr">
        <is>
          <t>0.352 gMeOH h-1 gcat-1</t>
        </is>
      </c>
      <c r="G63" s="5" t="inlineStr">
        <is>
          <t>as printed</t>
        </is>
      </c>
      <c r="H63" s="5" t="inlineStr">
        <is>
          <t>SI Table S1</t>
        </is>
      </c>
      <c r="I63" s="5" t="n">
        <v>2</v>
      </c>
      <c r="J63" s="5" t="inlineStr">
        <is>
          <t>SI</t>
        </is>
      </c>
      <c r="K63" s="5" t="inlineStr">
        <is>
          <t>H2_CO2&lt;-figures;cat_mass_g&lt;-figures</t>
        </is>
      </c>
      <c r="L63" s="5" t="inlineStr">
        <is>
          <t>pdf/Rui_2017_CO2 hydrogenation to methanol over PdIn2O3 effects of Pd and oxygen vacancy.pdf</t>
        </is>
      </c>
      <c r="M63" s="5" t="inlineStr">
        <is>
          <t>si/10_1016_j_apcatb_2017_06_069__mmc1.docx</t>
        </is>
      </c>
      <c r="N63" s="6" t="inlineStr"/>
      <c r="O63" s="6" t="inlineStr"/>
      <c r="P63" s="6" t="inlineStr"/>
      <c r="Q63" s="6" t="inlineStr"/>
      <c r="R63" s="6" t="inlineStr"/>
    </row>
    <row r="64">
      <c r="A64" s="5" t="n">
        <v>63</v>
      </c>
      <c r="B64" s="5" t="inlineStr">
        <is>
          <t>10.1016/j.apcatb.2017.06.069</t>
        </is>
      </c>
      <c r="C64" s="5" t="inlineStr">
        <is>
          <t>Pd-I/In2O3</t>
        </is>
      </c>
      <c r="D64" s="5" t="inlineStr">
        <is>
          <t>SI Table S2, Pd-I/In2O3 This work</t>
        </is>
      </c>
      <c r="E64" s="5" t="inlineStr">
        <is>
          <t>CH3OH selectivity</t>
        </is>
      </c>
      <c r="F64" s="5" t="n">
        <v>72.7</v>
      </c>
      <c r="G64" s="5" t="inlineStr">
        <is>
          <t>%</t>
        </is>
      </c>
      <c r="H64" s="5" t="inlineStr">
        <is>
          <t>SI Table S2</t>
        </is>
      </c>
      <c r="I64" s="5" t="n">
        <v>3</v>
      </c>
      <c r="J64" s="5" t="inlineStr">
        <is>
          <t>SI</t>
        </is>
      </c>
      <c r="K64" s="5" t="inlineStr">
        <is>
          <t>H2_CO2&lt;-figures;cat_mass_g&lt;-figures;metal_wt_pct&lt;-figures</t>
        </is>
      </c>
      <c r="L64" s="5" t="inlineStr">
        <is>
          <t>pdf/Rui_2017_CO2 hydrogenation to methanol over PdIn2O3 effects of Pd and oxygen vacancy.pdf</t>
        </is>
      </c>
      <c r="M64" s="5" t="inlineStr">
        <is>
          <t>si/10_1016_j_apcatb_2017_06_069__mmc1.docx</t>
        </is>
      </c>
      <c r="N64" s="6" t="inlineStr"/>
      <c r="O64" s="6" t="inlineStr"/>
      <c r="P64" s="6" t="inlineStr"/>
      <c r="Q64" s="6" t="inlineStr"/>
      <c r="R64" s="6" t="inlineStr"/>
    </row>
    <row r="65">
      <c r="A65" s="5" t="n">
        <v>64</v>
      </c>
      <c r="B65" s="5" t="inlineStr">
        <is>
          <t>10.1016/j.apcatb.2017.06.069</t>
        </is>
      </c>
      <c r="C65" s="5" t="inlineStr">
        <is>
          <t>Pd-I/In2O3</t>
        </is>
      </c>
      <c r="D65" s="5" t="inlineStr">
        <is>
          <t>SI Table S2, Pd-I/In2O3 This work</t>
        </is>
      </c>
      <c r="E65" s="5" t="inlineStr">
        <is>
          <t>pressure</t>
        </is>
      </c>
      <c r="F65" s="5" t="n">
        <v>50</v>
      </c>
      <c r="G65" s="5" t="inlineStr">
        <is>
          <t>bar</t>
        </is>
      </c>
      <c r="H65" s="5" t="inlineStr">
        <is>
          <t>SI Table S2</t>
        </is>
      </c>
      <c r="I65" s="5" t="n">
        <v>3</v>
      </c>
      <c r="J65" s="5" t="n"/>
      <c r="K65" s="5" t="inlineStr">
        <is>
          <t>H2_CO2&lt;-figures;cat_mass_g&lt;-figures;metal_wt_pct&lt;-figures</t>
        </is>
      </c>
      <c r="L65" s="5" t="inlineStr">
        <is>
          <t>pdf/Rui_2017_CO2 hydrogenation to methanol over PdIn2O3 effects of Pd and oxygen vacancy.pdf</t>
        </is>
      </c>
      <c r="M65" s="5" t="inlineStr">
        <is>
          <t>si/10_1016_j_apcatb_2017_06_069__mmc1.docx</t>
        </is>
      </c>
      <c r="N65" s="6" t="inlineStr"/>
      <c r="O65" s="6" t="inlineStr"/>
      <c r="P65" s="6" t="inlineStr"/>
      <c r="Q65" s="6" t="inlineStr"/>
      <c r="R65" s="6" t="inlineStr"/>
    </row>
    <row r="66">
      <c r="A66" s="5" t="n">
        <v>65</v>
      </c>
      <c r="B66" s="5" t="inlineStr">
        <is>
          <t>10.1016/j.apcatb.2017.06.069</t>
        </is>
      </c>
      <c r="C66" s="5" t="inlineStr">
        <is>
          <t>Pd-I/In2O3</t>
        </is>
      </c>
      <c r="D66" s="5" t="inlineStr">
        <is>
          <t>SI Table S2, Pd-I/In2O3 This work</t>
        </is>
      </c>
      <c r="E66" s="5" t="inlineStr">
        <is>
          <t>temperature</t>
        </is>
      </c>
      <c r="F66" s="5" t="n">
        <v>300</v>
      </c>
      <c r="G66" s="5" t="inlineStr">
        <is>
          <t>°C (from K)</t>
        </is>
      </c>
      <c r="H66" s="5" t="inlineStr">
        <is>
          <t>SI Table S2</t>
        </is>
      </c>
      <c r="I66" s="5" t="n">
        <v>3</v>
      </c>
      <c r="J66" s="5" t="n"/>
      <c r="K66" s="5" t="inlineStr">
        <is>
          <t>H2_CO2&lt;-figures;cat_mass_g&lt;-figures;metal_wt_pct&lt;-figures</t>
        </is>
      </c>
      <c r="L66" s="5" t="inlineStr">
        <is>
          <t>pdf/Rui_2017_CO2 hydrogenation to methanol over PdIn2O3 effects of Pd and oxygen vacancy.pdf</t>
        </is>
      </c>
      <c r="M66" s="5" t="inlineStr">
        <is>
          <t>si/10_1016_j_apcatb_2017_06_069__mmc1.docx</t>
        </is>
      </c>
      <c r="N66" s="6" t="inlineStr"/>
      <c r="O66" s="6" t="inlineStr"/>
      <c r="P66" s="6" t="inlineStr"/>
      <c r="Q66" s="6" t="inlineStr"/>
      <c r="R66" s="6" t="inlineStr"/>
    </row>
    <row r="67">
      <c r="A67" s="5" t="n">
        <v>66</v>
      </c>
      <c r="B67" s="5" t="inlineStr">
        <is>
          <t>10.1016/j.apcatb.2017.06.069</t>
        </is>
      </c>
      <c r="C67" s="5" t="inlineStr">
        <is>
          <t>Pd-I/In2O3</t>
        </is>
      </c>
      <c r="D67" s="5" t="inlineStr">
        <is>
          <t>SI Table S2, Pd-I/In2O3 This work</t>
        </is>
      </c>
      <c r="E67" s="5" t="inlineStr">
        <is>
          <t>CO2 conversion</t>
        </is>
      </c>
      <c r="F67" s="5" t="n">
        <v>18.4</v>
      </c>
      <c r="G67" s="5" t="inlineStr">
        <is>
          <t>%</t>
        </is>
      </c>
      <c r="H67" s="5" t="inlineStr">
        <is>
          <t>SI Table S2</t>
        </is>
      </c>
      <c r="I67" s="5" t="n">
        <v>3</v>
      </c>
      <c r="J67" s="5" t="inlineStr">
        <is>
          <t>SI</t>
        </is>
      </c>
      <c r="K67" s="5" t="inlineStr">
        <is>
          <t>H2_CO2&lt;-figures;cat_mass_g&lt;-figures;metal_wt_pct&lt;-figures</t>
        </is>
      </c>
      <c r="L67" s="5" t="inlineStr">
        <is>
          <t>pdf/Rui_2017_CO2 hydrogenation to methanol over PdIn2O3 effects of Pd and oxygen vacancy.pdf</t>
        </is>
      </c>
      <c r="M67" s="5" t="inlineStr">
        <is>
          <t>si/10_1016_j_apcatb_2017_06_069__mmc1.docx</t>
        </is>
      </c>
      <c r="N67" s="6" t="inlineStr"/>
      <c r="O67" s="6" t="inlineStr"/>
      <c r="P67" s="6" t="inlineStr"/>
      <c r="Q67" s="6" t="inlineStr"/>
      <c r="R67" s="6" t="inlineStr"/>
    </row>
    <row r="68">
      <c r="A68" s="5" t="n">
        <v>67</v>
      </c>
      <c r="B68" s="5" t="inlineStr">
        <is>
          <t>10.1016/j.apcatb.2017.06.069</t>
        </is>
      </c>
      <c r="C68" s="5" t="inlineStr">
        <is>
          <t>In2O3</t>
        </is>
      </c>
      <c r="D68" s="5" t="inlineStr">
        <is>
          <t>SI Table S1, In2O3 This work</t>
        </is>
      </c>
      <c r="E68" s="5" t="inlineStr">
        <is>
          <t>pressure</t>
        </is>
      </c>
      <c r="F68" s="5" t="n">
        <v>50</v>
      </c>
      <c r="G68" s="5" t="inlineStr">
        <is>
          <t>bar</t>
        </is>
      </c>
      <c r="H68" s="5" t="inlineStr">
        <is>
          <t>SI Table S1</t>
        </is>
      </c>
      <c r="I68" s="5" t="n">
        <v>2</v>
      </c>
      <c r="J68" s="5" t="n"/>
      <c r="K68" s="5" t="inlineStr">
        <is>
          <t>H2_CO2&lt;-figures;cat_mass_g&lt;-figures</t>
        </is>
      </c>
      <c r="L68" s="5" t="inlineStr">
        <is>
          <t>pdf/Rui_2017_CO2 hydrogenation to methanol over PdIn2O3 effects of Pd and oxygen vacancy.pdf</t>
        </is>
      </c>
      <c r="M68" s="5" t="inlineStr">
        <is>
          <t>si/10_1016_j_apcatb_2017_06_069__mmc1.docx</t>
        </is>
      </c>
      <c r="N68" s="6" t="inlineStr"/>
      <c r="O68" s="6" t="inlineStr"/>
      <c r="P68" s="6" t="inlineStr"/>
      <c r="Q68" s="6" t="inlineStr"/>
      <c r="R68" s="6" t="inlineStr"/>
    </row>
    <row r="69">
      <c r="A69" s="5" t="n">
        <v>68</v>
      </c>
      <c r="B69" s="5" t="inlineStr">
        <is>
          <t>10.1016/j.apcatb.2017.06.069</t>
        </is>
      </c>
      <c r="C69" s="5" t="inlineStr">
        <is>
          <t>Pd-I/In2O3</t>
        </is>
      </c>
      <c r="D69" s="5" t="inlineStr">
        <is>
          <t>SI Table S2, Pd-I/In2O3 This work</t>
        </is>
      </c>
      <c r="E69" s="5" t="inlineStr">
        <is>
          <t>H2/CO2</t>
        </is>
      </c>
      <c r="F69" s="5" t="n">
        <v>4</v>
      </c>
      <c r="G69" s="5" t="inlineStr">
        <is>
          <t>mol/mol</t>
        </is>
      </c>
      <c r="H69" s="5" t="inlineStr">
        <is>
          <t>SI Table S2</t>
        </is>
      </c>
      <c r="I69" s="5" t="n">
        <v>3</v>
      </c>
      <c r="J69" s="5" t="n"/>
      <c r="K69" s="5" t="inlineStr">
        <is>
          <t>H2_CO2&lt;-figures;cat_mass_g&lt;-figures;metal_wt_pct&lt;-figures</t>
        </is>
      </c>
      <c r="L69" s="5" t="inlineStr">
        <is>
          <t>pdf/Rui_2017_CO2 hydrogenation to methanol over PdIn2O3 effects of Pd and oxygen vacancy.pdf</t>
        </is>
      </c>
      <c r="M69" s="5" t="inlineStr">
        <is>
          <t>si/10_1016_j_apcatb_2017_06_069__mmc1.docx</t>
        </is>
      </c>
      <c r="N69" s="6" t="inlineStr"/>
      <c r="O69" s="6" t="inlineStr"/>
      <c r="P69" s="6" t="inlineStr"/>
      <c r="Q69" s="6" t="inlineStr"/>
      <c r="R69" s="6" t="inlineStr"/>
    </row>
    <row r="70">
      <c r="A70" s="5" t="n">
        <v>69</v>
      </c>
      <c r="B70" s="5" t="inlineStr">
        <is>
          <t>10.1016/j.apcatb.2017.06.069</t>
        </is>
      </c>
      <c r="C70" s="5" t="inlineStr">
        <is>
          <t>In2O3</t>
        </is>
      </c>
      <c r="D70" s="5" t="inlineStr">
        <is>
          <t>SI Table S1, In2O3 This work</t>
        </is>
      </c>
      <c r="E70" s="5" t="inlineStr">
        <is>
          <t>H2/CO2</t>
        </is>
      </c>
      <c r="F70" s="5" t="n">
        <v>4</v>
      </c>
      <c r="G70" s="5" t="inlineStr">
        <is>
          <t>mol/mol</t>
        </is>
      </c>
      <c r="H70" s="5" t="inlineStr">
        <is>
          <t>SI Table S1</t>
        </is>
      </c>
      <c r="I70" s="5" t="n">
        <v>2</v>
      </c>
      <c r="J70" s="5" t="n"/>
      <c r="K70" s="5" t="inlineStr">
        <is>
          <t>H2_CO2&lt;-figures;cat_mass_g&lt;-figures</t>
        </is>
      </c>
      <c r="L70" s="5" t="inlineStr">
        <is>
          <t>pdf/Rui_2017_CO2 hydrogenation to methanol over PdIn2O3 effects of Pd and oxygen vacancy.pdf</t>
        </is>
      </c>
      <c r="M70" s="5" t="inlineStr">
        <is>
          <t>si/10_1016_j_apcatb_2017_06_069__mmc1.docx</t>
        </is>
      </c>
      <c r="N70" s="6" t="inlineStr"/>
      <c r="O70" s="6" t="inlineStr"/>
      <c r="P70" s="6" t="inlineStr"/>
      <c r="Q70" s="6" t="inlineStr"/>
      <c r="R70" s="6" t="inlineStr"/>
    </row>
    <row r="71">
      <c r="A71" s="5" t="n">
        <v>70</v>
      </c>
      <c r="B71" s="5" t="inlineStr">
        <is>
          <t>10.1016/j.apcatb.2017.06.069</t>
        </is>
      </c>
      <c r="C71" s="5" t="inlineStr">
        <is>
          <t>In2O3</t>
        </is>
      </c>
      <c r="D71" s="5" t="inlineStr">
        <is>
          <t>SI Table S1, In2O3 This work</t>
        </is>
      </c>
      <c r="E71" s="5" t="inlineStr">
        <is>
          <t>CH3OH selectivity</t>
        </is>
      </c>
      <c r="F71" s="5" t="n">
        <v>71.2</v>
      </c>
      <c r="G71" s="5" t="inlineStr">
        <is>
          <t>%</t>
        </is>
      </c>
      <c r="H71" s="5" t="inlineStr">
        <is>
          <t>SI Table S1</t>
        </is>
      </c>
      <c r="I71" s="5" t="n">
        <v>2</v>
      </c>
      <c r="J71" s="5" t="inlineStr">
        <is>
          <t>SI</t>
        </is>
      </c>
      <c r="K71" s="5" t="inlineStr">
        <is>
          <t>H2_CO2&lt;-figures;cat_mass_g&lt;-figures</t>
        </is>
      </c>
      <c r="L71" s="5" t="inlineStr">
        <is>
          <t>pdf/Rui_2017_CO2 hydrogenation to methanol over PdIn2O3 effects of Pd and oxygen vacancy.pdf</t>
        </is>
      </c>
      <c r="M71" s="5" t="inlineStr">
        <is>
          <t>si/10_1016_j_apcatb_2017_06_069__mmc1.docx</t>
        </is>
      </c>
      <c r="N71" s="6" t="inlineStr"/>
      <c r="O71" s="6" t="inlineStr"/>
      <c r="P71" s="6" t="inlineStr"/>
      <c r="Q71" s="6" t="inlineStr"/>
      <c r="R71" s="6" t="inlineStr"/>
    </row>
    <row r="72">
      <c r="A72" s="5" t="n">
        <v>71</v>
      </c>
      <c r="B72" s="5" t="inlineStr">
        <is>
          <t>10.1002/ente.201800747</t>
        </is>
      </c>
      <c r="C72" s="5" t="inlineStr">
        <is>
          <t>Cat-1.5</t>
        </is>
      </c>
      <c r="D72" s="5" t="inlineStr">
        <is>
          <t>SI Table S1, Cat-1.5, 300 °C</t>
        </is>
      </c>
      <c r="E72" s="5" t="inlineStr">
        <is>
          <t>STY (printed)</t>
        </is>
      </c>
      <c r="F72" s="5" t="inlineStr">
        <is>
          <t>0.074 gMeOH gcat-1 h-1</t>
        </is>
      </c>
      <c r="G72" s="5" t="inlineStr">
        <is>
          <t>as printed</t>
        </is>
      </c>
      <c r="H72" s="5" t="inlineStr">
        <is>
          <t>SI Table S1</t>
        </is>
      </c>
      <c r="I72" s="5" t="n">
        <v>1</v>
      </c>
      <c r="J72" s="5" t="inlineStr">
        <is>
          <t>SI</t>
        </is>
      </c>
      <c r="K72" s="5" t="inlineStr"/>
      <c r="L72" s="5" t="inlineStr">
        <is>
          <t>pdf/Chen_2019_MorphologyControllable HexagonalPhase Indium Oxide In Situ Structured onto a Thi.pdf</t>
        </is>
      </c>
      <c r="M72" s="5" t="inlineStr">
        <is>
          <t>si/10_1002_ente_201800747__si1.pdf</t>
        </is>
      </c>
      <c r="N72" s="6" t="inlineStr"/>
      <c r="O72" s="6" t="inlineStr"/>
      <c r="P72" s="6" t="inlineStr"/>
      <c r="Q72" s="6" t="inlineStr"/>
      <c r="R72" s="6" t="inlineStr"/>
    </row>
    <row r="73">
      <c r="A73" s="5" t="n">
        <v>72</v>
      </c>
      <c r="B73" s="5" t="inlineStr">
        <is>
          <t>10.1002/ente.201800747</t>
        </is>
      </c>
      <c r="C73" s="5" t="inlineStr">
        <is>
          <t>H-In2O3/Al2O3</t>
        </is>
      </c>
      <c r="D73" s="5" t="inlineStr">
        <is>
          <t>SI Table S1, H-In2O3/Al2O3, 325 °C</t>
        </is>
      </c>
      <c r="E73" s="5" t="inlineStr">
        <is>
          <t>pressure</t>
        </is>
      </c>
      <c r="F73" s="5" t="n">
        <v>40</v>
      </c>
      <c r="G73" s="5" t="inlineStr">
        <is>
          <t>bar</t>
        </is>
      </c>
      <c r="H73" s="5" t="inlineStr">
        <is>
          <t>SI Table S1</t>
        </is>
      </c>
      <c r="I73" s="5" t="n">
        <v>1</v>
      </c>
      <c r="J73" s="5" t="n"/>
      <c r="K73" s="5" t="inlineStr"/>
      <c r="L73" s="5" t="inlineStr">
        <is>
          <t>pdf/Chen_2019_MorphologyControllable HexagonalPhase Indium Oxide In Situ Structured onto a Thi.pdf</t>
        </is>
      </c>
      <c r="M73" s="5" t="inlineStr">
        <is>
          <t>si/10_1002_ente_201800747__si1.pdf</t>
        </is>
      </c>
      <c r="N73" s="6" t="inlineStr"/>
      <c r="O73" s="6" t="inlineStr"/>
      <c r="P73" s="6" t="inlineStr"/>
      <c r="Q73" s="6" t="inlineStr"/>
      <c r="R73" s="6" t="inlineStr"/>
    </row>
    <row r="74">
      <c r="A74" s="5" t="n">
        <v>73</v>
      </c>
      <c r="B74" s="5" t="inlineStr">
        <is>
          <t>10.1002/ente.201800747</t>
        </is>
      </c>
      <c r="C74" s="5" t="inlineStr">
        <is>
          <t>Cat-4.5</t>
        </is>
      </c>
      <c r="D74" s="5" t="inlineStr">
        <is>
          <t>Figure 4c/text, Cat-4.5 at 325 °C</t>
        </is>
      </c>
      <c r="E74" s="5" t="inlineStr">
        <is>
          <t>pressure</t>
        </is>
      </c>
      <c r="F74" s="5" t="n">
        <v>40</v>
      </c>
      <c r="G74" s="5" t="inlineStr">
        <is>
          <t>bar</t>
        </is>
      </c>
      <c r="H74" s="5" t="inlineStr">
        <is>
          <t>Figure 4c and text in Section 2.2</t>
        </is>
      </c>
      <c r="I74" s="5" t="n">
        <v>4</v>
      </c>
      <c r="J74" s="5" t="n"/>
      <c r="K74" s="5" t="inlineStr">
        <is>
          <t>S_CO&lt;-si;S_CH4&lt;-si</t>
        </is>
      </c>
      <c r="L74" s="5" t="inlineStr">
        <is>
          <t>pdf/Chen_2019_MorphologyControllable HexagonalPhase Indium Oxide In Situ Structured onto a Thi.pdf</t>
        </is>
      </c>
      <c r="M74" s="5" t="inlineStr">
        <is>
          <t>si/10_1002_ente_201800747__si1.pdf</t>
        </is>
      </c>
      <c r="N74" s="6" t="inlineStr"/>
      <c r="O74" s="6" t="inlineStr"/>
      <c r="P74" s="6" t="inlineStr"/>
      <c r="Q74" s="6" t="inlineStr"/>
      <c r="R74" s="6" t="inlineStr"/>
    </row>
    <row r="75">
      <c r="A75" s="5" t="n">
        <v>74</v>
      </c>
      <c r="B75" s="5" t="inlineStr">
        <is>
          <t>10.1002/ente.201800747</t>
        </is>
      </c>
      <c r="C75" s="5" t="inlineStr">
        <is>
          <t>H-In2O3/Al2O3</t>
        </is>
      </c>
      <c r="D75" s="5" t="inlineStr">
        <is>
          <t>SI Table S1, H-In2O3/Al2O3, 325 °C</t>
        </is>
      </c>
      <c r="E75" s="5" t="inlineStr">
        <is>
          <t>STY (printed)</t>
        </is>
      </c>
      <c r="F75" s="5" t="inlineStr">
        <is>
          <t>0.109 gMeOH gcat-1 h-1</t>
        </is>
      </c>
      <c r="G75" s="5" t="inlineStr">
        <is>
          <t>as printed</t>
        </is>
      </c>
      <c r="H75" s="5" t="inlineStr">
        <is>
          <t>SI Table S1</t>
        </is>
      </c>
      <c r="I75" s="5" t="n">
        <v>1</v>
      </c>
      <c r="J75" s="5" t="inlineStr">
        <is>
          <t>SI</t>
        </is>
      </c>
      <c r="K75" s="5" t="inlineStr"/>
      <c r="L75" s="5" t="inlineStr">
        <is>
          <t>pdf/Chen_2019_MorphologyControllable HexagonalPhase Indium Oxide In Situ Structured onto a Thi.pdf</t>
        </is>
      </c>
      <c r="M75" s="5" t="inlineStr">
        <is>
          <t>si/10_1002_ente_201800747__si1.pdf</t>
        </is>
      </c>
      <c r="N75" s="6" t="inlineStr"/>
      <c r="O75" s="6" t="inlineStr"/>
      <c r="P75" s="6" t="inlineStr"/>
      <c r="Q75" s="6" t="inlineStr"/>
      <c r="R75" s="6" t="inlineStr"/>
    </row>
    <row r="76">
      <c r="A76" s="5" t="n">
        <v>75</v>
      </c>
      <c r="B76" s="5" t="inlineStr">
        <is>
          <t>10.1002/ente.201800747</t>
        </is>
      </c>
      <c r="C76" s="5" t="inlineStr">
        <is>
          <t>H-In2O3/Al2O3</t>
        </is>
      </c>
      <c r="D76" s="5" t="inlineStr">
        <is>
          <t>SI Table S1, H-In2O3/Al2O3, 250 °C</t>
        </is>
      </c>
      <c r="E76" s="5" t="inlineStr">
        <is>
          <t>CO selectivity</t>
        </is>
      </c>
      <c r="F76" s="5" t="n">
        <v>6.8</v>
      </c>
      <c r="G76" s="5" t="inlineStr">
        <is>
          <t>%</t>
        </is>
      </c>
      <c r="H76" s="5" t="inlineStr">
        <is>
          <t>SI Table S1</t>
        </is>
      </c>
      <c r="I76" s="5" t="n">
        <v>1</v>
      </c>
      <c r="J76" s="5" t="inlineStr">
        <is>
          <t>SI</t>
        </is>
      </c>
      <c r="K76" s="5" t="inlineStr"/>
      <c r="L76" s="5" t="inlineStr">
        <is>
          <t>pdf/Chen_2019_MorphologyControllable HexagonalPhase Indium Oxide In Situ Structured onto a Thi.pdf</t>
        </is>
      </c>
      <c r="M76" s="5" t="inlineStr">
        <is>
          <t>si/10_1002_ente_201800747__si1.pdf</t>
        </is>
      </c>
      <c r="N76" s="6" t="inlineStr"/>
      <c r="O76" s="6" t="inlineStr"/>
      <c r="P76" s="6" t="inlineStr"/>
      <c r="Q76" s="6" t="inlineStr"/>
      <c r="R76" s="6" t="inlineStr"/>
    </row>
    <row r="77">
      <c r="A77" s="5" t="n">
        <v>76</v>
      </c>
      <c r="B77" s="5" t="inlineStr">
        <is>
          <t>10.1002/ente.201800747</t>
        </is>
      </c>
      <c r="C77" s="5" t="inlineStr">
        <is>
          <t>Cat-3.0</t>
        </is>
      </c>
      <c r="D77" s="5" t="inlineStr">
        <is>
          <t>Figure 4c, Cat-3.0 at 325 °C</t>
        </is>
      </c>
      <c r="E77" s="5" t="inlineStr">
        <is>
          <t>CO2 conversion</t>
        </is>
      </c>
      <c r="F77" s="5" t="n">
        <v>3.4</v>
      </c>
      <c r="G77" s="5" t="inlineStr">
        <is>
          <t>%</t>
        </is>
      </c>
      <c r="H77" s="5" t="inlineStr">
        <is>
          <t>Figure 4c</t>
        </is>
      </c>
      <c r="I77" s="5" t="n">
        <v>4</v>
      </c>
      <c r="J77" s="5" t="inlineStr">
        <is>
          <t>SI</t>
        </is>
      </c>
      <c r="K77" s="5" t="inlineStr">
        <is>
          <t>X_CO2&lt;-si;S_MeOH&lt;-si;S_CO&lt;-si;S_CH4&lt;-si;STY&lt;-si;GHSV&lt;-si;H2_CO2&lt;-si;cat_mass_g&lt;-si</t>
        </is>
      </c>
      <c r="L77" s="5" t="inlineStr">
        <is>
          <t>pdf/Chen_2019_MorphologyControllable HexagonalPhase Indium Oxide In Situ Structured onto a Thi.pdf</t>
        </is>
      </c>
      <c r="M77" s="5" t="inlineStr">
        <is>
          <t>si/10_1002_ente_201800747__si1.pdf</t>
        </is>
      </c>
      <c r="N77" s="6" t="inlineStr"/>
      <c r="O77" s="6" t="inlineStr"/>
      <c r="P77" s="6" t="inlineStr"/>
      <c r="Q77" s="6" t="inlineStr"/>
      <c r="R77" s="6" t="inlineStr"/>
    </row>
    <row r="78">
      <c r="A78" s="5" t="n">
        <v>77</v>
      </c>
      <c r="B78" s="5" t="inlineStr">
        <is>
          <t>10.1002/ente.201800747</t>
        </is>
      </c>
      <c r="C78" s="5" t="inlineStr">
        <is>
          <t>Cat-4.5</t>
        </is>
      </c>
      <c r="D78" s="5" t="inlineStr">
        <is>
          <t>SI Table S1, Cat-4.5, 250 °C</t>
        </is>
      </c>
      <c r="E78" s="5" t="inlineStr">
        <is>
          <t>CH4 selectivity</t>
        </is>
      </c>
      <c r="F78" s="5" t="n">
        <v>0</v>
      </c>
      <c r="G78" s="5" t="inlineStr">
        <is>
          <t>%</t>
        </is>
      </c>
      <c r="H78" s="5" t="inlineStr">
        <is>
          <t>SI Table S1</t>
        </is>
      </c>
      <c r="I78" s="5" t="n">
        <v>1</v>
      </c>
      <c r="J78" s="5" t="inlineStr">
        <is>
          <t>SI</t>
        </is>
      </c>
      <c r="K78" s="5" t="inlineStr"/>
      <c r="L78" s="5" t="inlineStr">
        <is>
          <t>pdf/Chen_2019_MorphologyControllable HexagonalPhase Indium Oxide In Situ Structured onto a Thi.pdf</t>
        </is>
      </c>
      <c r="M78" s="5" t="inlineStr">
        <is>
          <t>si/10_1002_ente_201800747__si1.pdf</t>
        </is>
      </c>
      <c r="N78" s="6" t="inlineStr"/>
      <c r="O78" s="6" t="inlineStr"/>
      <c r="P78" s="6" t="inlineStr"/>
      <c r="Q78" s="6" t="inlineStr"/>
      <c r="R78" s="6" t="inlineStr"/>
    </row>
    <row r="79">
      <c r="A79" s="5" t="n">
        <v>78</v>
      </c>
      <c r="B79" s="5" t="inlineStr">
        <is>
          <t>10.1002/ente.201800747</t>
        </is>
      </c>
      <c r="C79" s="5" t="inlineStr">
        <is>
          <t>Cat-4.5</t>
        </is>
      </c>
      <c r="D79" s="5" t="inlineStr">
        <is>
          <t>SI Table S1, Cat-4.5, 275 °C</t>
        </is>
      </c>
      <c r="E79" s="5" t="inlineStr">
        <is>
          <t>CH3OH selectivity</t>
        </is>
      </c>
      <c r="F79" s="5" t="n">
        <v>91.59999999999999</v>
      </c>
      <c r="G79" s="5" t="inlineStr">
        <is>
          <t>%</t>
        </is>
      </c>
      <c r="H79" s="5" t="inlineStr">
        <is>
          <t>SI Table S1</t>
        </is>
      </c>
      <c r="I79" s="5" t="n">
        <v>1</v>
      </c>
      <c r="J79" s="5" t="inlineStr">
        <is>
          <t>SI</t>
        </is>
      </c>
      <c r="K79" s="5" t="inlineStr"/>
      <c r="L79" s="5" t="inlineStr">
        <is>
          <t>pdf/Chen_2019_MorphologyControllable HexagonalPhase Indium Oxide In Situ Structured onto a Thi.pdf</t>
        </is>
      </c>
      <c r="M79" s="5" t="inlineStr">
        <is>
          <t>si/10_1002_ente_201800747__si1.pdf</t>
        </is>
      </c>
      <c r="N79" s="6" t="inlineStr"/>
      <c r="O79" s="6" t="inlineStr"/>
      <c r="P79" s="6" t="inlineStr"/>
      <c r="Q79" s="6" t="inlineStr"/>
      <c r="R79" s="6" t="inlineStr"/>
    </row>
    <row r="80">
      <c r="A80" s="5" t="n">
        <v>79</v>
      </c>
      <c r="B80" s="5" t="inlineStr">
        <is>
          <t>10.1002/ente.201800747</t>
        </is>
      </c>
      <c r="C80" s="5" t="inlineStr">
        <is>
          <t>In2O3-IWI/Al2O3/Al-fiber</t>
        </is>
      </c>
      <c r="D80" s="5" t="inlineStr">
        <is>
          <t>SI Table S1, In2O3-IWI/Al2O3/Al-fiber, 350 °C</t>
        </is>
      </c>
      <c r="E80" s="5" t="inlineStr">
        <is>
          <t>H2/CO2</t>
        </is>
      </c>
      <c r="F80" s="5" t="n">
        <v>3</v>
      </c>
      <c r="G80" s="5" t="inlineStr">
        <is>
          <t>mol/mol</t>
        </is>
      </c>
      <c r="H80" s="5" t="inlineStr">
        <is>
          <t>SI Table S1</t>
        </is>
      </c>
      <c r="I80" s="5" t="n">
        <v>1</v>
      </c>
      <c r="J80" s="5" t="n"/>
      <c r="K80" s="5" t="inlineStr"/>
      <c r="L80" s="5" t="inlineStr">
        <is>
          <t>pdf/Chen_2019_MorphologyControllable HexagonalPhase Indium Oxide In Situ Structured onto a Thi.pdf</t>
        </is>
      </c>
      <c r="M80" s="5" t="inlineStr">
        <is>
          <t>si/10_1002_ente_201800747__si1.pdf</t>
        </is>
      </c>
      <c r="N80" s="6" t="inlineStr"/>
      <c r="O80" s="6" t="inlineStr"/>
      <c r="P80" s="6" t="inlineStr"/>
      <c r="Q80" s="6" t="inlineStr"/>
      <c r="R80" s="6" t="inlineStr"/>
    </row>
    <row r="81">
      <c r="A81" s="5" t="n">
        <v>80</v>
      </c>
      <c r="B81" s="5" t="inlineStr">
        <is>
          <t>10.1002/ente.201800747</t>
        </is>
      </c>
      <c r="C81" s="5" t="inlineStr">
        <is>
          <t>H-In2O3/Al2O3</t>
        </is>
      </c>
      <c r="D81" s="5" t="inlineStr">
        <is>
          <t>SI Table S1, H-In2O3/Al2O3, 250 °C</t>
        </is>
      </c>
      <c r="E81" s="5" t="inlineStr">
        <is>
          <t>STY (printed)</t>
        </is>
      </c>
      <c r="F81" s="5" t="inlineStr">
        <is>
          <t>0.051 gMeOH gcat-1 h-1</t>
        </is>
      </c>
      <c r="G81" s="5" t="inlineStr">
        <is>
          <t>as printed</t>
        </is>
      </c>
      <c r="H81" s="5" t="inlineStr">
        <is>
          <t>SI Table S1</t>
        </is>
      </c>
      <c r="I81" s="5" t="n">
        <v>1</v>
      </c>
      <c r="J81" s="5" t="inlineStr">
        <is>
          <t>SI</t>
        </is>
      </c>
      <c r="K81" s="5" t="inlineStr"/>
      <c r="L81" s="5" t="inlineStr">
        <is>
          <t>pdf/Chen_2019_MorphologyControllable HexagonalPhase Indium Oxide In Situ Structured onto a Thi.pdf</t>
        </is>
      </c>
      <c r="M81" s="5" t="inlineStr">
        <is>
          <t>si/10_1002_ente_201800747__si1.pdf</t>
        </is>
      </c>
      <c r="N81" s="6" t="inlineStr"/>
      <c r="O81" s="6" t="inlineStr"/>
      <c r="P81" s="6" t="inlineStr"/>
      <c r="Q81" s="6" t="inlineStr"/>
      <c r="R81" s="6" t="inlineStr"/>
    </row>
    <row r="82">
      <c r="A82" s="5" t="n">
        <v>81</v>
      </c>
      <c r="B82" s="5" t="inlineStr">
        <is>
          <t>10.1002/cctc.202000974</t>
        </is>
      </c>
      <c r="C82" s="5" t="inlineStr">
        <is>
          <t>TiO2</t>
        </is>
      </c>
      <c r="D82" s="5" t="inlineStr">
        <is>
          <t>SI Table S3, TiO2, 225 °C</t>
        </is>
      </c>
      <c r="E82" s="5" t="inlineStr">
        <is>
          <t>CH4 selectivity</t>
        </is>
      </c>
      <c r="F82" s="5" t="n">
        <v>0</v>
      </c>
      <c r="G82" s="5" t="inlineStr">
        <is>
          <t>%</t>
        </is>
      </c>
      <c r="H82" s="5" t="inlineStr">
        <is>
          <t>SI Table S3</t>
        </is>
      </c>
      <c r="I82" s="5" t="n">
        <v>10</v>
      </c>
      <c r="J82" s="5" t="inlineStr">
        <is>
          <t>SI</t>
        </is>
      </c>
      <c r="K82" s="5" t="inlineStr"/>
      <c r="L82" s="5" t="inlineStr">
        <is>
          <t>pdf/RuizEsquius_2020_CO 2 Hydrogenation to CH 3 OH over PdZn Catalysts with Reduced CH 4 Production.pdf</t>
        </is>
      </c>
      <c r="M82" s="5" t="inlineStr">
        <is>
          <t>si/10_1002_cctc_202000974__si1.pdf</t>
        </is>
      </c>
      <c r="N82" s="6" t="inlineStr"/>
      <c r="O82" s="6" t="inlineStr"/>
      <c r="P82" s="6" t="inlineStr"/>
      <c r="Q82" s="6" t="inlineStr"/>
      <c r="R82" s="6" t="inlineStr"/>
    </row>
    <row r="83">
      <c r="A83" s="5" t="n">
        <v>82</v>
      </c>
      <c r="B83" s="5" t="inlineStr">
        <is>
          <t>10.1002/cctc.202000974</t>
        </is>
      </c>
      <c r="C83" s="5" t="inlineStr">
        <is>
          <t>Pd/TiO2</t>
        </is>
      </c>
      <c r="D83" s="5" t="inlineStr">
        <is>
          <t>Table 1 row 1, 225°C</t>
        </is>
      </c>
      <c r="E83" s="5" t="inlineStr">
        <is>
          <t>temperature</t>
        </is>
      </c>
      <c r="F83" s="5" t="n">
        <v>225</v>
      </c>
      <c r="G83" s="5" t="inlineStr">
        <is>
          <t>°C (from K)</t>
        </is>
      </c>
      <c r="H83" s="5" t="inlineStr">
        <is>
          <t>Table 1</t>
        </is>
      </c>
      <c r="I83" s="5" t="n">
        <v>3</v>
      </c>
      <c r="J83" s="5" t="n"/>
      <c r="K83" s="5" t="inlineStr">
        <is>
          <t>GHSV&lt;-si;cat_mass_g&lt;-si</t>
        </is>
      </c>
      <c r="L83" s="5" t="inlineStr">
        <is>
          <t>pdf/RuizEsquius_2020_CO 2 Hydrogenation to CH 3 OH over PdZn Catalysts with Reduced CH 4 Production.pdf</t>
        </is>
      </c>
      <c r="M83" s="5" t="inlineStr">
        <is>
          <t>si/10_1002_cctc_202000974__si1.pdf</t>
        </is>
      </c>
      <c r="N83" s="6" t="inlineStr"/>
      <c r="O83" s="6" t="inlineStr"/>
      <c r="P83" s="6" t="inlineStr"/>
      <c r="Q83" s="6" t="inlineStr"/>
      <c r="R83" s="6" t="inlineStr"/>
    </row>
    <row r="84">
      <c r="A84" s="5" t="n">
        <v>83</v>
      </c>
      <c r="B84" s="5" t="inlineStr">
        <is>
          <t>10.1002/cctc.202000974</t>
        </is>
      </c>
      <c r="C84" s="5" t="inlineStr">
        <is>
          <t>ZnTiO3</t>
        </is>
      </c>
      <c r="D84" s="5" t="inlineStr">
        <is>
          <t>SI Table S3, ZnTiO3, 250 °C</t>
        </is>
      </c>
      <c r="E84" s="5" t="inlineStr">
        <is>
          <t>CO selectivity</t>
        </is>
      </c>
      <c r="F84" s="5" t="n">
        <v>70</v>
      </c>
      <c r="G84" s="5" t="inlineStr">
        <is>
          <t>%</t>
        </is>
      </c>
      <c r="H84" s="5" t="inlineStr">
        <is>
          <t>SI Table S3</t>
        </is>
      </c>
      <c r="I84" s="5" t="n">
        <v>10</v>
      </c>
      <c r="J84" s="5" t="inlineStr">
        <is>
          <t>SI</t>
        </is>
      </c>
      <c r="K84" s="5" t="inlineStr"/>
      <c r="L84" s="5" t="inlineStr">
        <is>
          <t>pdf/RuizEsquius_2020_CO 2 Hydrogenation to CH 3 OH over PdZn Catalysts with Reduced CH 4 Production.pdf</t>
        </is>
      </c>
      <c r="M84" s="5" t="inlineStr">
        <is>
          <t>si/10_1002_cctc_202000974__si1.pdf</t>
        </is>
      </c>
      <c r="N84" s="6" t="inlineStr"/>
      <c r="O84" s="6" t="inlineStr"/>
      <c r="P84" s="6" t="inlineStr"/>
      <c r="Q84" s="6" t="inlineStr"/>
      <c r="R84" s="6" t="inlineStr"/>
    </row>
    <row r="85">
      <c r="A85" s="5" t="n">
        <v>84</v>
      </c>
      <c r="B85" s="5" t="inlineStr">
        <is>
          <t>10.1002/cctc.202000974</t>
        </is>
      </c>
      <c r="C85" s="5" t="inlineStr">
        <is>
          <t>Pd/ZnO</t>
        </is>
      </c>
      <c r="D85" s="5" t="inlineStr">
        <is>
          <t>Figure 1, Pd/ZnO, 175°C</t>
        </is>
      </c>
      <c r="E85" s="5" t="inlineStr">
        <is>
          <t>CH3OH selectivity</t>
        </is>
      </c>
      <c r="F85" s="5" t="n">
        <v>69</v>
      </c>
      <c r="G85" s="5" t="inlineStr">
        <is>
          <t>%</t>
        </is>
      </c>
      <c r="H85" s="5" t="inlineStr">
        <is>
          <t>Figure 1</t>
        </is>
      </c>
      <c r="I85" s="5" t="n">
        <v>4</v>
      </c>
      <c r="J85" s="5" t="inlineStr">
        <is>
          <t>SI</t>
        </is>
      </c>
      <c r="K85" s="5" t="inlineStr">
        <is>
          <t>X_CO2&lt;-si;S_MeOH&lt;-si;S_CO&lt;-si;S_CH4&lt;-si;GHSV&lt;-si;H2_CO2&lt;-si;cat_mass_g&lt;-si;metal_wt_pct&lt;-figures</t>
        </is>
      </c>
      <c r="L85" s="5" t="inlineStr">
        <is>
          <t>pdf/RuizEsquius_2020_CO 2 Hydrogenation to CH 3 OH over PdZn Catalysts with Reduced CH 4 Production.pdf</t>
        </is>
      </c>
      <c r="M85" s="5" t="inlineStr">
        <is>
          <t>si/10_1002_cctc_202000974__si1.pdf</t>
        </is>
      </c>
      <c r="N85" s="6" t="inlineStr"/>
      <c r="O85" s="6" t="inlineStr"/>
      <c r="P85" s="6" t="inlineStr"/>
      <c r="Q85" s="6" t="inlineStr"/>
      <c r="R85" s="6" t="inlineStr"/>
    </row>
    <row r="86">
      <c r="A86" s="5" t="n">
        <v>85</v>
      </c>
      <c r="B86" s="5" t="inlineStr">
        <is>
          <t>10.1002/cctc.202000974</t>
        </is>
      </c>
      <c r="C86" s="5" t="inlineStr">
        <is>
          <t>Pd/ZnTiO3</t>
        </is>
      </c>
      <c r="D86" s="5" t="inlineStr">
        <is>
          <t>SI Table S2, Pd/ZnTiO3, 200 °C</t>
        </is>
      </c>
      <c r="E86" s="5" t="inlineStr">
        <is>
          <t>H2/CO2</t>
        </is>
      </c>
      <c r="F86" s="5" t="n">
        <v>3</v>
      </c>
      <c r="G86" s="5" t="inlineStr">
        <is>
          <t>mol/mol</t>
        </is>
      </c>
      <c r="H86" s="5" t="inlineStr">
        <is>
          <t>SI Table S2</t>
        </is>
      </c>
      <c r="I86" s="5" t="n">
        <v>9</v>
      </c>
      <c r="J86" s="5" t="n"/>
      <c r="K86" s="5" t="inlineStr"/>
      <c r="L86" s="5" t="inlineStr">
        <is>
          <t>pdf/RuizEsquius_2020_CO 2 Hydrogenation to CH 3 OH over PdZn Catalysts with Reduced CH 4 Production.pdf</t>
        </is>
      </c>
      <c r="M86" s="5" t="inlineStr">
        <is>
          <t>si/10_1002_cctc_202000974__si1.pdf</t>
        </is>
      </c>
      <c r="N86" s="6" t="inlineStr"/>
      <c r="O86" s="6" t="inlineStr"/>
      <c r="P86" s="6" t="inlineStr"/>
      <c r="Q86" s="6" t="inlineStr"/>
      <c r="R86" s="6" t="inlineStr"/>
    </row>
    <row r="87">
      <c r="A87" s="5" t="n">
        <v>86</v>
      </c>
      <c r="B87" s="5" t="inlineStr">
        <is>
          <t>10.1002/cctc.202000974</t>
        </is>
      </c>
      <c r="C87" s="5" t="inlineStr">
        <is>
          <t>Pd/TiO2</t>
        </is>
      </c>
      <c r="D87" s="5" t="inlineStr">
        <is>
          <t>SI Table S2, Pd/TiO2, 250 °C</t>
        </is>
      </c>
      <c r="E87" s="5" t="inlineStr">
        <is>
          <t>CO selectivity</t>
        </is>
      </c>
      <c r="F87" s="5" t="n">
        <v>91.40000000000001</v>
      </c>
      <c r="G87" s="5" t="inlineStr">
        <is>
          <t>%</t>
        </is>
      </c>
      <c r="H87" s="5" t="inlineStr">
        <is>
          <t>SI Table S2</t>
        </is>
      </c>
      <c r="I87" s="5" t="n">
        <v>8</v>
      </c>
      <c r="J87" s="5" t="inlineStr">
        <is>
          <t>SI</t>
        </is>
      </c>
      <c r="K87" s="5" t="inlineStr"/>
      <c r="L87" s="5" t="inlineStr">
        <is>
          <t>pdf/RuizEsquius_2020_CO 2 Hydrogenation to CH 3 OH over PdZn Catalysts with Reduced CH 4 Production.pdf</t>
        </is>
      </c>
      <c r="M87" s="5" t="inlineStr">
        <is>
          <t>si/10_1002_cctc_202000974__si1.pdf</t>
        </is>
      </c>
      <c r="N87" s="6" t="inlineStr"/>
      <c r="O87" s="6" t="inlineStr"/>
      <c r="P87" s="6" t="inlineStr"/>
      <c r="Q87" s="6" t="inlineStr"/>
      <c r="R87" s="6" t="inlineStr"/>
    </row>
    <row r="88">
      <c r="A88" s="5" t="n">
        <v>87</v>
      </c>
      <c r="B88" s="5" t="inlineStr">
        <is>
          <t>10.1002/cctc.202000974</t>
        </is>
      </c>
      <c r="C88" s="5" t="inlineStr">
        <is>
          <t>TiO2</t>
        </is>
      </c>
      <c r="D88" s="5" t="inlineStr">
        <is>
          <t>SI Table S3, TiO2, 200 °C</t>
        </is>
      </c>
      <c r="E88" s="5" t="inlineStr">
        <is>
          <t>temperature</t>
        </is>
      </c>
      <c r="F88" s="5" t="n">
        <v>200</v>
      </c>
      <c r="G88" s="5" t="inlineStr">
        <is>
          <t>°C (from K)</t>
        </is>
      </c>
      <c r="H88" s="5" t="inlineStr">
        <is>
          <t>SI Table S3</t>
        </is>
      </c>
      <c r="I88" s="5" t="n">
        <v>10</v>
      </c>
      <c r="J88" s="5" t="n"/>
      <c r="K88" s="5" t="inlineStr"/>
      <c r="L88" s="5" t="inlineStr">
        <is>
          <t>pdf/RuizEsquius_2020_CO 2 Hydrogenation to CH 3 OH over PdZn Catalysts with Reduced CH 4 Production.pdf</t>
        </is>
      </c>
      <c r="M88" s="5" t="inlineStr">
        <is>
          <t>si/10_1002_cctc_202000974__si1.pdf</t>
        </is>
      </c>
      <c r="N88" s="6" t="inlineStr"/>
      <c r="O88" s="6" t="inlineStr"/>
      <c r="P88" s="6" t="inlineStr"/>
      <c r="Q88" s="6" t="inlineStr"/>
      <c r="R88" s="6" t="inlineStr"/>
    </row>
    <row r="89">
      <c r="A89" s="5" t="n">
        <v>88</v>
      </c>
      <c r="B89" s="5" t="inlineStr">
        <is>
          <t>10.1002/cctc.202000974</t>
        </is>
      </c>
      <c r="C89" s="5" t="inlineStr">
        <is>
          <t>ZnO</t>
        </is>
      </c>
      <c r="D89" s="5" t="inlineStr">
        <is>
          <t>SI Table S3, ZnO, 250 °C</t>
        </is>
      </c>
      <c r="E89" s="5" t="inlineStr">
        <is>
          <t>CH4 selectivity</t>
        </is>
      </c>
      <c r="F89" s="5" t="n">
        <v>0</v>
      </c>
      <c r="G89" s="5" t="inlineStr">
        <is>
          <t>%</t>
        </is>
      </c>
      <c r="H89" s="5" t="inlineStr">
        <is>
          <t>SI Table S3</t>
        </is>
      </c>
      <c r="I89" s="5" t="n">
        <v>10</v>
      </c>
      <c r="J89" s="5" t="inlineStr">
        <is>
          <t>SI</t>
        </is>
      </c>
      <c r="K89" s="5" t="inlineStr"/>
      <c r="L89" s="5" t="inlineStr">
        <is>
          <t>pdf/RuizEsquius_2020_CO 2 Hydrogenation to CH 3 OH over PdZn Catalysts with Reduced CH 4 Production.pdf</t>
        </is>
      </c>
      <c r="M89" s="5" t="inlineStr">
        <is>
          <t>si/10_1002_cctc_202000974__si1.pdf</t>
        </is>
      </c>
      <c r="N89" s="6" t="inlineStr"/>
      <c r="O89" s="6" t="inlineStr"/>
      <c r="P89" s="6" t="inlineStr"/>
      <c r="Q89" s="6" t="inlineStr"/>
      <c r="R89" s="6" t="inlineStr"/>
    </row>
    <row r="90">
      <c r="A90" s="5" t="n">
        <v>89</v>
      </c>
      <c r="B90" s="5" t="inlineStr">
        <is>
          <t>10.1002/cctc.202000974</t>
        </is>
      </c>
      <c r="C90" s="5" t="inlineStr">
        <is>
          <t>physical mixture of Pd/ZnO and TiO2</t>
        </is>
      </c>
      <c r="D90" s="5" t="inlineStr">
        <is>
          <t>Text, physical mixture Pd/ZnO and TiO2, 250°C</t>
        </is>
      </c>
      <c r="E90" s="5" t="inlineStr">
        <is>
          <t>CO selectivity</t>
        </is>
      </c>
      <c r="F90" s="5" t="n">
        <v>73.3</v>
      </c>
      <c r="G90" s="5" t="inlineStr">
        <is>
          <t>%</t>
        </is>
      </c>
      <c r="H90" s="5" t="inlineStr">
        <is>
          <t>Results text</t>
        </is>
      </c>
      <c r="I90" s="5" t="n">
        <v>3</v>
      </c>
      <c r="J90" s="5" t="inlineStr">
        <is>
          <t>SI</t>
        </is>
      </c>
      <c r="K90" s="5" t="inlineStr">
        <is>
          <t>X_CO2&lt;-si;S_MeOH&lt;-si;S_CO&lt;-si;S_CH4&lt;-si;GHSV&lt;-si;cat_mass_g&lt;-si</t>
        </is>
      </c>
      <c r="L90" s="5" t="inlineStr">
        <is>
          <t>pdf/RuizEsquius_2020_CO 2 Hydrogenation to CH 3 OH over PdZn Catalysts with Reduced CH 4 Production.pdf</t>
        </is>
      </c>
      <c r="M90" s="5" t="inlineStr">
        <is>
          <t>si/10_1002_cctc_202000974__si1.pdf</t>
        </is>
      </c>
      <c r="N90" s="6" t="inlineStr"/>
      <c r="O90" s="6" t="inlineStr"/>
      <c r="P90" s="6" t="inlineStr"/>
      <c r="Q90" s="6" t="inlineStr"/>
      <c r="R90" s="6" t="inlineStr"/>
    </row>
    <row r="91">
      <c r="A91" s="5" t="n">
        <v>90</v>
      </c>
      <c r="B91" s="5" t="inlineStr">
        <is>
          <t>10.1002/cctc.202000974</t>
        </is>
      </c>
      <c r="C91" s="5" t="inlineStr">
        <is>
          <t>Pd/ZnO</t>
        </is>
      </c>
      <c r="D91" s="5" t="inlineStr">
        <is>
          <t>Table 1 row 2, 225°C</t>
        </is>
      </c>
      <c r="E91" s="5" t="inlineStr">
        <is>
          <t>H2/CO2</t>
        </is>
      </c>
      <c r="F91" s="5" t="n">
        <v>3</v>
      </c>
      <c r="G91" s="5" t="inlineStr">
        <is>
          <t>mol/mol</t>
        </is>
      </c>
      <c r="H91" s="5" t="inlineStr">
        <is>
          <t>Table 1</t>
        </is>
      </c>
      <c r="I91" s="5" t="n">
        <v>3</v>
      </c>
      <c r="J91" s="5" t="n"/>
      <c r="K91" s="5" t="inlineStr">
        <is>
          <t>GHSV&lt;-si;cat_mass_g&lt;-si;metal_wt_pct&lt;-figures</t>
        </is>
      </c>
      <c r="L91" s="5" t="inlineStr">
        <is>
          <t>pdf/RuizEsquius_2020_CO 2 Hydrogenation to CH 3 OH over PdZn Catalysts with Reduced CH 4 Production.pdf</t>
        </is>
      </c>
      <c r="M91" s="5" t="inlineStr">
        <is>
          <t>si/10_1002_cctc_202000974__si1.pdf</t>
        </is>
      </c>
      <c r="N91" s="6" t="inlineStr"/>
      <c r="O91" s="6" t="inlineStr"/>
      <c r="P91" s="6" t="inlineStr"/>
      <c r="Q91" s="6" t="inlineStr"/>
      <c r="R91" s="6" t="inlineStr"/>
    </row>
    <row r="92">
      <c r="A92" s="5" t="n">
        <v>91</v>
      </c>
      <c r="B92" s="5" t="inlineStr">
        <is>
          <t>10.1016/j.jcat.2012.05.020</t>
        </is>
      </c>
      <c r="C92" s="5" t="inlineStr">
        <is>
          <t>PdMgGa</t>
        </is>
      </c>
      <c r="D92" s="5" t="inlineStr">
        <is>
          <t>Table 2, PdMgGa</t>
        </is>
      </c>
      <c r="E92" s="5" t="inlineStr">
        <is>
          <t>CO2 conversion</t>
        </is>
      </c>
      <c r="F92" s="5" t="n">
        <v>1</v>
      </c>
      <c r="G92" s="5" t="inlineStr">
        <is>
          <t>%</t>
        </is>
      </c>
      <c r="H92" s="5" t="inlineStr">
        <is>
          <t>Table 2</t>
        </is>
      </c>
      <c r="I92" s="5" t="n">
        <v>11</v>
      </c>
      <c r="J92" s="5" t="inlineStr">
        <is>
          <t>table</t>
        </is>
      </c>
      <c r="K92" s="5" t="inlineStr"/>
      <c r="L92" s="5" t="inlineStr">
        <is>
          <t>pdf/Ota_2012_Comparative study of hydrotalcite-derived supported Pd2Ga and PdZn intermetallic.pdf</t>
        </is>
      </c>
      <c r="M92" s="5" t="inlineStr">
        <is>
          <t>si/10_1016_j_jcat_2012_05_020__mmc1.pdf</t>
        </is>
      </c>
      <c r="N92" s="6" t="inlineStr"/>
      <c r="O92" s="6" t="inlineStr"/>
      <c r="P92" s="6" t="inlineStr"/>
      <c r="Q92" s="6" t="inlineStr"/>
      <c r="R92" s="6" t="inlineStr"/>
    </row>
    <row r="93">
      <c r="A93" s="5" t="n">
        <v>92</v>
      </c>
      <c r="B93" s="5" t="inlineStr">
        <is>
          <t>10.1016/j.jcat.2012.05.020</t>
        </is>
      </c>
      <c r="C93" s="5" t="inlineStr">
        <is>
          <t>PdMgAl</t>
        </is>
      </c>
      <c r="D93" s="5" t="inlineStr">
        <is>
          <t>Table 2, PdMgAl</t>
        </is>
      </c>
      <c r="E93" s="5" t="inlineStr">
        <is>
          <t>CO2 conversion</t>
        </is>
      </c>
      <c r="F93" s="5" t="n">
        <v>0.3</v>
      </c>
      <c r="G93" s="5" t="inlineStr">
        <is>
          <t>%</t>
        </is>
      </c>
      <c r="H93" s="5" t="inlineStr">
        <is>
          <t>Table 2</t>
        </is>
      </c>
      <c r="I93" s="5" t="n">
        <v>11</v>
      </c>
      <c r="J93" s="5" t="inlineStr">
        <is>
          <t>table</t>
        </is>
      </c>
      <c r="K93" s="5" t="inlineStr"/>
      <c r="L93" s="5" t="inlineStr">
        <is>
          <t>pdf/Ota_2012_Comparative study of hydrotalcite-derived supported Pd2Ga and PdZn intermetallic.pdf</t>
        </is>
      </c>
      <c r="M93" s="5" t="inlineStr">
        <is>
          <t>si/10_1016_j_jcat_2012_05_020__mmc1.pdf</t>
        </is>
      </c>
      <c r="N93" s="6" t="inlineStr"/>
      <c r="O93" s="6" t="inlineStr"/>
      <c r="P93" s="6" t="inlineStr"/>
      <c r="Q93" s="6" t="inlineStr"/>
      <c r="R93" s="6" t="inlineStr"/>
    </row>
    <row r="94">
      <c r="A94" s="5" t="n">
        <v>93</v>
      </c>
      <c r="B94" s="5" t="inlineStr">
        <is>
          <t>10.1016/j.jcat.2012.05.020</t>
        </is>
      </c>
      <c r="C94" s="5" t="inlineStr">
        <is>
          <t>PdZnAl</t>
        </is>
      </c>
      <c r="D94" s="5" t="inlineStr">
        <is>
          <t>Table 2, PdZnAl</t>
        </is>
      </c>
      <c r="E94" s="5" t="inlineStr">
        <is>
          <t>CH4 selectivity</t>
        </is>
      </c>
      <c r="F94" s="5" t="n">
        <v>0.1</v>
      </c>
      <c r="G94" s="5" t="inlineStr">
        <is>
          <t>%</t>
        </is>
      </c>
      <c r="H94" s="5" t="inlineStr">
        <is>
          <t>Table 2</t>
        </is>
      </c>
      <c r="I94" s="5" t="n">
        <v>11</v>
      </c>
      <c r="J94" s="5" t="inlineStr">
        <is>
          <t>table</t>
        </is>
      </c>
      <c r="K94" s="5" t="inlineStr"/>
      <c r="L94" s="5" t="inlineStr">
        <is>
          <t>pdf/Ota_2012_Comparative study of hydrotalcite-derived supported Pd2Ga and PdZn intermetallic.pdf</t>
        </is>
      </c>
      <c r="M94" s="5" t="inlineStr">
        <is>
          <t>si/10_1016_j_jcat_2012_05_020__mmc1.pdf</t>
        </is>
      </c>
      <c r="N94" s="6" t="inlineStr"/>
      <c r="O94" s="6" t="inlineStr"/>
      <c r="P94" s="6" t="inlineStr"/>
      <c r="Q94" s="6" t="inlineStr"/>
      <c r="R94" s="6" t="inlineStr"/>
    </row>
    <row r="95">
      <c r="A95" s="5" t="n">
        <v>94</v>
      </c>
      <c r="B95" s="5" t="inlineStr">
        <is>
          <t>10.1016/j.jcat.2012.05.020</t>
        </is>
      </c>
      <c r="C95" s="5" t="inlineStr">
        <is>
          <t>PdZnAl</t>
        </is>
      </c>
      <c r="D95" s="5" t="inlineStr">
        <is>
          <t>Table 2, PdZnAl</t>
        </is>
      </c>
      <c r="E95" s="5" t="inlineStr">
        <is>
          <t>temperature</t>
        </is>
      </c>
      <c r="F95" s="5" t="n">
        <v>249.85</v>
      </c>
      <c r="G95" s="5" t="inlineStr">
        <is>
          <t>°C (from K)</t>
        </is>
      </c>
      <c r="H95" s="5" t="inlineStr">
        <is>
          <t>Table 2</t>
        </is>
      </c>
      <c r="I95" s="5" t="n">
        <v>11</v>
      </c>
      <c r="J95" s="5" t="n"/>
      <c r="K95" s="5" t="inlineStr"/>
      <c r="L95" s="5" t="inlineStr">
        <is>
          <t>pdf/Ota_2012_Comparative study of hydrotalcite-derived supported Pd2Ga and PdZn intermetallic.pdf</t>
        </is>
      </c>
      <c r="M95" s="5" t="inlineStr">
        <is>
          <t>si/10_1016_j_jcat_2012_05_020__mmc1.pdf</t>
        </is>
      </c>
      <c r="N95" s="6" t="inlineStr"/>
      <c r="O95" s="6" t="inlineStr"/>
      <c r="P95" s="6" t="inlineStr"/>
      <c r="Q95" s="6" t="inlineStr"/>
      <c r="R95" s="6" t="inlineStr"/>
    </row>
    <row r="96">
      <c r="A96" s="5" t="n">
        <v>95</v>
      </c>
      <c r="B96" s="5" t="inlineStr">
        <is>
          <t>10.1016/j.jcat.2012.05.020</t>
        </is>
      </c>
      <c r="C96" s="5" t="inlineStr">
        <is>
          <t>PdZnAl</t>
        </is>
      </c>
      <c r="D96" s="5" t="inlineStr">
        <is>
          <t>Table 2, PdZnAl</t>
        </is>
      </c>
      <c r="E96" s="5" t="inlineStr">
        <is>
          <t>H2/CO2</t>
        </is>
      </c>
      <c r="F96" s="5" t="n">
        <v>3</v>
      </c>
      <c r="G96" s="5" t="inlineStr">
        <is>
          <t>mol/mol</t>
        </is>
      </c>
      <c r="H96" s="5" t="inlineStr">
        <is>
          <t>Table 2</t>
        </is>
      </c>
      <c r="I96" s="5" t="n">
        <v>11</v>
      </c>
      <c r="J96" s="5" t="n"/>
      <c r="K96" s="5" t="inlineStr"/>
      <c r="L96" s="5" t="inlineStr">
        <is>
          <t>pdf/Ota_2012_Comparative study of hydrotalcite-derived supported Pd2Ga and PdZn intermetallic.pdf</t>
        </is>
      </c>
      <c r="M96" s="5" t="inlineStr">
        <is>
          <t>si/10_1016_j_jcat_2012_05_020__mmc1.pdf</t>
        </is>
      </c>
      <c r="N96" s="6" t="inlineStr"/>
      <c r="O96" s="6" t="inlineStr"/>
      <c r="P96" s="6" t="inlineStr"/>
      <c r="Q96" s="6" t="inlineStr"/>
      <c r="R96" s="6" t="inlineStr"/>
    </row>
    <row r="97">
      <c r="A97" s="5" t="n">
        <v>96</v>
      </c>
      <c r="B97" s="5" t="inlineStr">
        <is>
          <t>10.1016/j.jcat.2012.05.020</t>
        </is>
      </c>
      <c r="C97" s="5" t="inlineStr">
        <is>
          <t>PdMgGa</t>
        </is>
      </c>
      <c r="D97" s="5" t="inlineStr">
        <is>
          <t>Table 2, PdMgGa</t>
        </is>
      </c>
      <c r="E97" s="5" t="inlineStr">
        <is>
          <t>H2/CO2</t>
        </is>
      </c>
      <c r="F97" s="5" t="n">
        <v>3</v>
      </c>
      <c r="G97" s="5" t="inlineStr">
        <is>
          <t>mol/mol</t>
        </is>
      </c>
      <c r="H97" s="5" t="inlineStr">
        <is>
          <t>Table 2</t>
        </is>
      </c>
      <c r="I97" s="5" t="n">
        <v>11</v>
      </c>
      <c r="J97" s="5" t="n"/>
      <c r="K97" s="5" t="inlineStr"/>
      <c r="L97" s="5" t="inlineStr">
        <is>
          <t>pdf/Ota_2012_Comparative study of hydrotalcite-derived supported Pd2Ga and PdZn intermetallic.pdf</t>
        </is>
      </c>
      <c r="M97" s="5" t="inlineStr">
        <is>
          <t>si/10_1016_j_jcat_2012_05_020__mmc1.pdf</t>
        </is>
      </c>
      <c r="N97" s="6" t="inlineStr"/>
      <c r="O97" s="6" t="inlineStr"/>
      <c r="P97" s="6" t="inlineStr"/>
      <c r="Q97" s="6" t="inlineStr"/>
      <c r="R97" s="6" t="inlineStr"/>
    </row>
    <row r="98">
      <c r="A98" s="5" t="n">
        <v>97</v>
      </c>
      <c r="B98" s="5" t="inlineStr">
        <is>
          <t>10.1016/j.jcat.2012.05.020</t>
        </is>
      </c>
      <c r="C98" s="5" t="inlineStr">
        <is>
          <t>PdMgAl</t>
        </is>
      </c>
      <c r="D98" s="5" t="inlineStr">
        <is>
          <t>Table 2, PdMgAl</t>
        </is>
      </c>
      <c r="E98" s="5" t="inlineStr">
        <is>
          <t>temperature</t>
        </is>
      </c>
      <c r="F98" s="5" t="n">
        <v>249.85</v>
      </c>
      <c r="G98" s="5" t="inlineStr">
        <is>
          <t>°C (from K)</t>
        </is>
      </c>
      <c r="H98" s="5" t="inlineStr">
        <is>
          <t>Table 2</t>
        </is>
      </c>
      <c r="I98" s="5" t="n">
        <v>11</v>
      </c>
      <c r="J98" s="5" t="n"/>
      <c r="K98" s="5" t="inlineStr"/>
      <c r="L98" s="5" t="inlineStr">
        <is>
          <t>pdf/Ota_2012_Comparative study of hydrotalcite-derived supported Pd2Ga and PdZn intermetallic.pdf</t>
        </is>
      </c>
      <c r="M98" s="5" t="inlineStr">
        <is>
          <t>si/10_1016_j_jcat_2012_05_020__mmc1.pdf</t>
        </is>
      </c>
      <c r="N98" s="6" t="inlineStr"/>
      <c r="O98" s="6" t="inlineStr"/>
      <c r="P98" s="6" t="inlineStr"/>
      <c r="Q98" s="6" t="inlineStr"/>
      <c r="R98" s="6" t="inlineStr"/>
    </row>
    <row r="99">
      <c r="A99" s="5" t="n">
        <v>98</v>
      </c>
      <c r="B99" s="5" t="inlineStr">
        <is>
          <t>10.1016/j.jcat.2012.05.020</t>
        </is>
      </c>
      <c r="C99" s="5" t="inlineStr">
        <is>
          <t>PdMgGa</t>
        </is>
      </c>
      <c r="D99" s="5" t="inlineStr">
        <is>
          <t>Table 2, PdMgGa</t>
        </is>
      </c>
      <c r="E99" s="5" t="inlineStr">
        <is>
          <t>temperature</t>
        </is>
      </c>
      <c r="F99" s="5" t="n">
        <v>249.85</v>
      </c>
      <c r="G99" s="5" t="inlineStr">
        <is>
          <t>°C (from K)</t>
        </is>
      </c>
      <c r="H99" s="5" t="inlineStr">
        <is>
          <t>Table 2</t>
        </is>
      </c>
      <c r="I99" s="5" t="n">
        <v>11</v>
      </c>
      <c r="J99" s="5" t="n"/>
      <c r="K99" s="5" t="inlineStr"/>
      <c r="L99" s="5" t="inlineStr">
        <is>
          <t>pdf/Ota_2012_Comparative study of hydrotalcite-derived supported Pd2Ga and PdZn intermetallic.pdf</t>
        </is>
      </c>
      <c r="M99" s="5" t="inlineStr">
        <is>
          <t>si/10_1016_j_jcat_2012_05_020__mmc1.pdf</t>
        </is>
      </c>
      <c r="N99" s="6" t="inlineStr"/>
      <c r="O99" s="6" t="inlineStr"/>
      <c r="P99" s="6" t="inlineStr"/>
      <c r="Q99" s="6" t="inlineStr"/>
      <c r="R99" s="6" t="inlineStr"/>
    </row>
    <row r="100">
      <c r="A100" s="5" t="n">
        <v>99</v>
      </c>
      <c r="B100" s="5" t="inlineStr">
        <is>
          <t>10.1016/j.jcat.2012.05.020</t>
        </is>
      </c>
      <c r="C100" s="5" t="inlineStr">
        <is>
          <t>PdMgAl</t>
        </is>
      </c>
      <c r="D100" s="5" t="inlineStr">
        <is>
          <t>Table 2, PdMgAl</t>
        </is>
      </c>
      <c r="E100" s="5" t="inlineStr">
        <is>
          <t>STY (printed)</t>
        </is>
      </c>
      <c r="F100" s="5" t="inlineStr">
        <is>
          <t>0.3 µmol/min gcat</t>
        </is>
      </c>
      <c r="G100" s="5" t="inlineStr">
        <is>
          <t>as printed</t>
        </is>
      </c>
      <c r="H100" s="5" t="inlineStr">
        <is>
          <t>Table 2</t>
        </is>
      </c>
      <c r="I100" s="5" t="n">
        <v>11</v>
      </c>
      <c r="J100" s="5" t="inlineStr">
        <is>
          <t>table</t>
        </is>
      </c>
      <c r="K100" s="5" t="inlineStr"/>
      <c r="L100" s="5" t="inlineStr">
        <is>
          <t>pdf/Ota_2012_Comparative study of hydrotalcite-derived supported Pd2Ga and PdZn intermetallic.pdf</t>
        </is>
      </c>
      <c r="M100" s="5" t="inlineStr">
        <is>
          <t>si/10_1016_j_jcat_2012_05_020__mmc1.pdf</t>
        </is>
      </c>
      <c r="N100" s="6" t="inlineStr"/>
      <c r="O100" s="6" t="inlineStr"/>
      <c r="P100" s="6" t="inlineStr"/>
      <c r="Q100" s="6" t="inlineStr"/>
      <c r="R100" s="6" t="inlineStr"/>
    </row>
    <row r="101">
      <c r="A101" s="5" t="n">
        <v>100</v>
      </c>
      <c r="B101" s="5" t="inlineStr">
        <is>
          <t>10.1016/j.jcat.2012.05.020</t>
        </is>
      </c>
      <c r="C101" s="5" t="inlineStr">
        <is>
          <t>PdZnAl</t>
        </is>
      </c>
      <c r="D101" s="5" t="inlineStr">
        <is>
          <t>Table 2, PdZnAl</t>
        </is>
      </c>
      <c r="E101" s="5" t="inlineStr">
        <is>
          <t>CO2 conversion</t>
        </is>
      </c>
      <c r="F101" s="5" t="n">
        <v>0.6</v>
      </c>
      <c r="G101" s="5" t="inlineStr">
        <is>
          <t>%</t>
        </is>
      </c>
      <c r="H101" s="5" t="inlineStr">
        <is>
          <t>Table 2</t>
        </is>
      </c>
      <c r="I101" s="5" t="n">
        <v>11</v>
      </c>
      <c r="J101" s="5" t="inlineStr">
        <is>
          <t>table</t>
        </is>
      </c>
      <c r="K101" s="5" t="inlineStr"/>
      <c r="L101" s="5" t="inlineStr">
        <is>
          <t>pdf/Ota_2012_Comparative study of hydrotalcite-derived supported Pd2Ga and PdZn intermetallic.pdf</t>
        </is>
      </c>
      <c r="M101" s="5" t="inlineStr">
        <is>
          <t>si/10_1016_j_jcat_2012_05_020__mmc1.pdf</t>
        </is>
      </c>
      <c r="N101" s="6" t="inlineStr"/>
      <c r="O101" s="6" t="inlineStr"/>
      <c r="P101" s="6" t="inlineStr"/>
      <c r="Q101" s="6" t="inlineStr"/>
      <c r="R101" s="6" t="inlineStr"/>
    </row>
  </sheetData>
  <dataValidations count="2">
    <dataValidation sqref="P2:P101" showDropDown="0" showInputMessage="0" showErrorMessage="0" allowBlank="1" type="list">
      <formula1>"Y,N"</formula1>
    </dataValidation>
    <dataValidation sqref="Q2:Q101" showDropDown="0" showInputMessage="0" showErrorMessage="0" allowBlank="1" type="list">
      <formula1>"correct,rounding,wrong"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40" customWidth="1" min="4" max="4"/>
    <col width="18" customWidth="1" min="5" max="5"/>
    <col width="12" customWidth="1" min="6" max="6"/>
    <col width="12" customWidth="1" min="7" max="7"/>
    <col width="28" customWidth="1" min="8" max="8"/>
    <col width="8" customWidth="1" min="9" max="9"/>
    <col width="10" customWidth="1" min="10" max="10"/>
    <col width="18" customWidth="1" min="11" max="11"/>
    <col width="30" customWidth="1" min="12" max="12"/>
    <col width="30" customWidth="1" min="13" max="13"/>
    <col width="22" customWidth="1" min="14" max="14"/>
    <col width="14" customWidth="1" min="15" max="15"/>
    <col width="10" customWidth="1" min="16" max="16"/>
    <col width="12" customWidth="1" min="17" max="17"/>
    <col width="30" customWidth="1" min="18" max="18"/>
  </cols>
  <sheetData>
    <row r="1">
      <c r="A1" s="3" t="inlineStr">
        <is>
          <t>id</t>
        </is>
      </c>
      <c r="B1" s="3" t="inlineStr">
        <is>
          <t>doi</t>
        </is>
      </c>
      <c r="C1" s="3" t="inlineStr">
        <is>
          <t>catalyst</t>
        </is>
      </c>
      <c r="D1" s="3" t="inlineStr">
        <is>
          <t>entry</t>
        </is>
      </c>
      <c r="E1" s="3" t="inlineStr">
        <is>
          <t>field</t>
        </is>
      </c>
      <c r="F1" s="3" t="inlineStr">
        <is>
          <t>extracted</t>
        </is>
      </c>
      <c r="G1" s="3" t="inlineStr">
        <is>
          <t>unit</t>
        </is>
      </c>
      <c r="H1" s="3" t="inlineStr">
        <is>
          <t>record_location</t>
        </is>
      </c>
      <c r="I1" s="3" t="inlineStr">
        <is>
          <t>record_page</t>
        </is>
      </c>
      <c r="J1" s="3" t="inlineStr">
        <is>
          <t>value_source</t>
        </is>
      </c>
      <c r="K1" s="3" t="inlineStr">
        <is>
          <t>filled</t>
        </is>
      </c>
      <c r="L1" s="3" t="inlineStr">
        <is>
          <t>pdf</t>
        </is>
      </c>
      <c r="M1" s="3" t="inlineStr">
        <is>
          <t>si</t>
        </is>
      </c>
      <c r="N1" s="4" t="inlineStr">
        <is>
          <t>found_where</t>
        </is>
      </c>
      <c r="O1" s="4" t="inlineStr">
        <is>
          <t>value_in_paper</t>
        </is>
      </c>
      <c r="P1" s="4" t="inlineStr">
        <is>
          <t>printed_number</t>
        </is>
      </c>
      <c r="Q1" s="4" t="inlineStr">
        <is>
          <t>judgment</t>
        </is>
      </c>
      <c r="R1" s="4" t="inlineStr">
        <is>
          <t>note</t>
        </is>
      </c>
    </row>
    <row r="2" ht="32" customHeight="1">
      <c r="A2" s="5" t="n">
        <v>1</v>
      </c>
      <c r="B2" s="5" t="inlineStr">
        <is>
          <t>10.1016/j.apcata.2018.04.036</t>
        </is>
      </c>
      <c r="C2" s="5" t="inlineStr">
        <is>
          <t>0.5Ca5P5ZC</t>
        </is>
      </c>
      <c r="D2" s="5" t="inlineStr">
        <is>
          <t>Fig 10a,b/text, 0.5Ca5P5ZC, 270 °C</t>
        </is>
      </c>
      <c r="E2" s="5" t="inlineStr">
        <is>
          <t>H2/CO2</t>
        </is>
      </c>
      <c r="F2" s="5" t="n">
        <v>3</v>
      </c>
      <c r="G2" s="5" t="inlineStr">
        <is>
          <t>mol/mol</t>
        </is>
      </c>
      <c r="H2" s="5" t="inlineStr">
        <is>
          <t>Text Section 4 and Figure 10a,b</t>
        </is>
      </c>
      <c r="I2" s="5" t="n">
        <v>8</v>
      </c>
      <c r="J2" s="5" t="n"/>
      <c r="K2" s="5" t="inlineStr"/>
      <c r="L2" s="5" t="inlineStr">
        <is>
          <t>pdf/Malik_2018_Development of highly selective PdZnCeO2 and Ca-doped PdZnCeO2 catalysts for met.pdf</t>
        </is>
      </c>
      <c r="M2" s="5" t="inlineStr">
        <is>
          <t>si/10_1016_j_apcata_2018_04_036__mmc1.docx</t>
        </is>
      </c>
      <c r="N2" s="6" t="inlineStr"/>
      <c r="O2" s="6" t="inlineStr"/>
      <c r="P2" s="6" t="inlineStr"/>
      <c r="Q2" s="6" t="inlineStr"/>
      <c r="R2" s="6" t="inlineStr"/>
    </row>
    <row r="3" ht="32" customHeight="1">
      <c r="A3" s="5" t="n">
        <v>2</v>
      </c>
      <c r="B3" s="5" t="inlineStr">
        <is>
          <t>10.1016/j.apcata.2018.04.036</t>
        </is>
      </c>
      <c r="C3" s="5" t="inlineStr">
        <is>
          <t>5P5ZC</t>
        </is>
      </c>
      <c r="D3" s="5" t="inlineStr">
        <is>
          <t>Table 6, 5P5ZC, 220 °C</t>
        </is>
      </c>
      <c r="E3" s="5" t="inlineStr">
        <is>
          <t>CO selectivity</t>
        </is>
      </c>
      <c r="F3" s="5" t="n">
        <v>0</v>
      </c>
      <c r="G3" s="5" t="inlineStr">
        <is>
          <t>%</t>
        </is>
      </c>
      <c r="H3" s="5" t="inlineStr">
        <is>
          <t>Table 6</t>
        </is>
      </c>
      <c r="I3" s="5" t="n">
        <v>8</v>
      </c>
      <c r="J3" s="5" t="inlineStr">
        <is>
          <t>table</t>
        </is>
      </c>
      <c r="K3" s="5" t="inlineStr"/>
      <c r="L3" s="5" t="inlineStr">
        <is>
          <t>pdf/Malik_2018_Development of highly selective PdZnCeO2 and Ca-doped PdZnCeO2 catalysts for met.pdf</t>
        </is>
      </c>
      <c r="M3" s="5" t="inlineStr">
        <is>
          <t>si/10_1016_j_apcata_2018_04_036__mmc1.docx</t>
        </is>
      </c>
      <c r="N3" s="6" t="inlineStr"/>
      <c r="O3" s="6" t="inlineStr"/>
      <c r="P3" s="6" t="inlineStr"/>
      <c r="Q3" s="6" t="inlineStr"/>
      <c r="R3" s="6" t="inlineStr"/>
    </row>
    <row r="4" ht="32" customHeight="1">
      <c r="A4" s="5" t="n">
        <v>3</v>
      </c>
      <c r="B4" s="5" t="inlineStr">
        <is>
          <t>10.1016/j.apcata.2018.04.036</t>
        </is>
      </c>
      <c r="C4" s="5" t="inlineStr">
        <is>
          <t>5P5ZC</t>
        </is>
      </c>
      <c r="D4" s="5" t="inlineStr">
        <is>
          <t>Table 6, 5P5ZC, 220 °C</t>
        </is>
      </c>
      <c r="E4" s="5" t="inlineStr">
        <is>
          <t>pressure</t>
        </is>
      </c>
      <c r="F4" s="5" t="n">
        <v>30</v>
      </c>
      <c r="G4" s="5" t="inlineStr">
        <is>
          <t>bar</t>
        </is>
      </c>
      <c r="H4" s="5" t="inlineStr">
        <is>
          <t>Table 6</t>
        </is>
      </c>
      <c r="I4" s="5" t="n">
        <v>8</v>
      </c>
      <c r="J4" s="5" t="n"/>
      <c r="K4" s="5" t="inlineStr"/>
      <c r="L4" s="5" t="inlineStr">
        <is>
          <t>pdf/Malik_2018_Development of highly selective PdZnCeO2 and Ca-doped PdZnCeO2 catalysts for met.pdf</t>
        </is>
      </c>
      <c r="M4" s="5" t="inlineStr">
        <is>
          <t>si/10_1016_j_apcata_2018_04_036__mmc1.docx</t>
        </is>
      </c>
      <c r="N4" s="6" t="inlineStr"/>
      <c r="O4" s="6" t="inlineStr"/>
      <c r="P4" s="6" t="inlineStr"/>
      <c r="Q4" s="6" t="inlineStr"/>
      <c r="R4" s="6" t="inlineStr"/>
    </row>
    <row r="5" ht="32" customHeight="1">
      <c r="A5" s="5" t="n">
        <v>4</v>
      </c>
      <c r="B5" s="5" t="inlineStr">
        <is>
          <t>10.1016/j.apcata.2018.04.036</t>
        </is>
      </c>
      <c r="C5" s="5" t="inlineStr">
        <is>
          <t>5PC</t>
        </is>
      </c>
      <c r="D5" s="5" t="inlineStr">
        <is>
          <t>Table 6, 5PC, 220 °C</t>
        </is>
      </c>
      <c r="E5" s="5" t="inlineStr">
        <is>
          <t>CH3OH selectivity</t>
        </is>
      </c>
      <c r="F5" s="5" t="n">
        <v>70.09999999999999</v>
      </c>
      <c r="G5" s="5" t="inlineStr">
        <is>
          <t>%</t>
        </is>
      </c>
      <c r="H5" s="5" t="inlineStr">
        <is>
          <t>Table 6</t>
        </is>
      </c>
      <c r="I5" s="5" t="n">
        <v>8</v>
      </c>
      <c r="J5" s="5" t="inlineStr">
        <is>
          <t>table</t>
        </is>
      </c>
      <c r="K5" s="5" t="inlineStr"/>
      <c r="L5" s="5" t="inlineStr">
        <is>
          <t>pdf/Malik_2018_Development of highly selective PdZnCeO2 and Ca-doped PdZnCeO2 catalysts for met.pdf</t>
        </is>
      </c>
      <c r="M5" s="5" t="inlineStr">
        <is>
          <t>si/10_1016_j_apcata_2018_04_036__mmc1.docx</t>
        </is>
      </c>
      <c r="N5" s="6" t="inlineStr"/>
      <c r="O5" s="6" t="inlineStr"/>
      <c r="P5" s="6" t="inlineStr"/>
      <c r="Q5" s="6" t="inlineStr"/>
      <c r="R5" s="6" t="inlineStr"/>
    </row>
    <row r="6" ht="32" customHeight="1">
      <c r="A6" s="5" t="n">
        <v>5</v>
      </c>
      <c r="B6" s="5" t="inlineStr">
        <is>
          <t>10.1016/j.apcata.2018.04.036</t>
        </is>
      </c>
      <c r="C6" s="5" t="inlineStr">
        <is>
          <t>0.5Ca5P5ZC</t>
        </is>
      </c>
      <c r="D6" s="5" t="inlineStr">
        <is>
          <t>Table 6, 0.5Ca5P5ZC, 220 °C</t>
        </is>
      </c>
      <c r="E6" s="5" t="inlineStr">
        <is>
          <t>CH4 selectivity</t>
        </is>
      </c>
      <c r="F6" s="5" t="n">
        <v>0</v>
      </c>
      <c r="G6" s="5" t="inlineStr">
        <is>
          <t>%</t>
        </is>
      </c>
      <c r="H6" s="5" t="inlineStr">
        <is>
          <t>Table 6</t>
        </is>
      </c>
      <c r="I6" s="5" t="n">
        <v>8</v>
      </c>
      <c r="J6" s="5" t="inlineStr">
        <is>
          <t>table</t>
        </is>
      </c>
      <c r="K6" s="5" t="inlineStr"/>
      <c r="L6" s="5" t="inlineStr">
        <is>
          <t>pdf/Malik_2018_Development of highly selective PdZnCeO2 and Ca-doped PdZnCeO2 catalysts for met.pdf</t>
        </is>
      </c>
      <c r="M6" s="5" t="inlineStr">
        <is>
          <t>si/10_1016_j_apcata_2018_04_036__mmc1.docx</t>
        </is>
      </c>
      <c r="N6" s="6" t="inlineStr"/>
      <c r="O6" s="6" t="inlineStr"/>
      <c r="P6" s="6" t="inlineStr"/>
      <c r="Q6" s="6" t="inlineStr"/>
      <c r="R6" s="6" t="inlineStr"/>
    </row>
    <row r="7" ht="32" customHeight="1">
      <c r="A7" s="5" t="n">
        <v>6</v>
      </c>
      <c r="B7" s="5" t="inlineStr">
        <is>
          <t>10.1016/j.apcata.2018.04.036</t>
        </is>
      </c>
      <c r="C7" s="5" t="inlineStr">
        <is>
          <t>5PC</t>
        </is>
      </c>
      <c r="D7" s="5" t="inlineStr">
        <is>
          <t>Table 6, 5PC, 220 °C</t>
        </is>
      </c>
      <c r="E7" s="5" t="inlineStr">
        <is>
          <t>H2/CO2</t>
        </is>
      </c>
      <c r="F7" s="5" t="n">
        <v>3</v>
      </c>
      <c r="G7" s="5" t="inlineStr">
        <is>
          <t>mol/mol</t>
        </is>
      </c>
      <c r="H7" s="5" t="inlineStr">
        <is>
          <t>Table 6</t>
        </is>
      </c>
      <c r="I7" s="5" t="n">
        <v>8</v>
      </c>
      <c r="J7" s="5" t="n"/>
      <c r="K7" s="5" t="inlineStr"/>
      <c r="L7" s="5" t="inlineStr">
        <is>
          <t>pdf/Malik_2018_Development of highly selective PdZnCeO2 and Ca-doped PdZnCeO2 catalysts for met.pdf</t>
        </is>
      </c>
      <c r="M7" s="5" t="inlineStr">
        <is>
          <t>si/10_1016_j_apcata_2018_04_036__mmc1.docx</t>
        </is>
      </c>
      <c r="N7" s="6" t="inlineStr"/>
      <c r="O7" s="6" t="inlineStr"/>
      <c r="P7" s="6" t="inlineStr"/>
      <c r="Q7" s="6" t="inlineStr"/>
      <c r="R7" s="6" t="inlineStr"/>
    </row>
    <row r="8" ht="32" customHeight="1">
      <c r="A8" s="5" t="n">
        <v>7</v>
      </c>
      <c r="B8" s="5" t="inlineStr">
        <is>
          <t>10.1016/j.apcata.2018.04.036</t>
        </is>
      </c>
      <c r="C8" s="5" t="inlineStr">
        <is>
          <t>5PC</t>
        </is>
      </c>
      <c r="D8" s="5" t="inlineStr">
        <is>
          <t>Table 6, 5PC, 220 °C</t>
        </is>
      </c>
      <c r="E8" s="5" t="inlineStr">
        <is>
          <t>CH4 selectivity</t>
        </is>
      </c>
      <c r="F8" s="5" t="n">
        <v>2.3</v>
      </c>
      <c r="G8" s="5" t="inlineStr">
        <is>
          <t>%</t>
        </is>
      </c>
      <c r="H8" s="5" t="inlineStr">
        <is>
          <t>Table 6</t>
        </is>
      </c>
      <c r="I8" s="5" t="n">
        <v>8</v>
      </c>
      <c r="J8" s="5" t="inlineStr">
        <is>
          <t>table</t>
        </is>
      </c>
      <c r="K8" s="5" t="inlineStr"/>
      <c r="L8" s="5" t="inlineStr">
        <is>
          <t>pdf/Malik_2018_Development of highly selective PdZnCeO2 and Ca-doped PdZnCeO2 catalysts for met.pdf</t>
        </is>
      </c>
      <c r="M8" s="5" t="inlineStr">
        <is>
          <t>si/10_1016_j_apcata_2018_04_036__mmc1.docx</t>
        </is>
      </c>
      <c r="N8" s="6" t="inlineStr"/>
      <c r="O8" s="6" t="inlineStr"/>
      <c r="P8" s="6" t="inlineStr"/>
      <c r="Q8" s="6" t="inlineStr"/>
      <c r="R8" s="6" t="inlineStr"/>
    </row>
    <row r="9" ht="32" customHeight="1">
      <c r="A9" s="5" t="n">
        <v>8</v>
      </c>
      <c r="B9" s="5" t="inlineStr">
        <is>
          <t>10.1016/j.apcata.2018.04.036</t>
        </is>
      </c>
      <c r="C9" s="5" t="inlineStr">
        <is>
          <t>5PC</t>
        </is>
      </c>
      <c r="D9" s="5" t="inlineStr">
        <is>
          <t>Table 6, 5PC, 220 °C</t>
        </is>
      </c>
      <c r="E9" s="5" t="inlineStr">
        <is>
          <t>CO2 conversion</t>
        </is>
      </c>
      <c r="F9" s="5" t="n">
        <v>1.7</v>
      </c>
      <c r="G9" s="5" t="inlineStr">
        <is>
          <t>%</t>
        </is>
      </c>
      <c r="H9" s="5" t="inlineStr">
        <is>
          <t>Table 6</t>
        </is>
      </c>
      <c r="I9" s="5" t="n">
        <v>8</v>
      </c>
      <c r="J9" s="5" t="inlineStr">
        <is>
          <t>table</t>
        </is>
      </c>
      <c r="K9" s="5" t="inlineStr"/>
      <c r="L9" s="5" t="inlineStr">
        <is>
          <t>pdf/Malik_2018_Development of highly selective PdZnCeO2 and Ca-doped PdZnCeO2 catalysts for met.pdf</t>
        </is>
      </c>
      <c r="M9" s="5" t="inlineStr">
        <is>
          <t>si/10_1016_j_apcata_2018_04_036__mmc1.docx</t>
        </is>
      </c>
      <c r="N9" s="6" t="inlineStr"/>
      <c r="O9" s="6" t="inlineStr"/>
      <c r="P9" s="6" t="inlineStr"/>
      <c r="Q9" s="6" t="inlineStr"/>
      <c r="R9" s="6" t="inlineStr"/>
    </row>
    <row r="10" ht="32" customHeight="1">
      <c r="A10" s="5" t="n">
        <v>9</v>
      </c>
      <c r="B10" s="5" t="inlineStr">
        <is>
          <t>10.1016/j.apcata.2018.04.036</t>
        </is>
      </c>
      <c r="C10" s="5" t="inlineStr">
        <is>
          <t>5P5ZC</t>
        </is>
      </c>
      <c r="D10" s="5" t="inlineStr">
        <is>
          <t>Table 6, 5P5ZC, 220 °C</t>
        </is>
      </c>
      <c r="E10" s="5" t="inlineStr">
        <is>
          <t>H2/CO2</t>
        </is>
      </c>
      <c r="F10" s="5" t="n">
        <v>3</v>
      </c>
      <c r="G10" s="5" t="inlineStr">
        <is>
          <t>mol/mol</t>
        </is>
      </c>
      <c r="H10" s="5" t="inlineStr">
        <is>
          <t>Table 6</t>
        </is>
      </c>
      <c r="I10" s="5" t="n">
        <v>8</v>
      </c>
      <c r="J10" s="5" t="n"/>
      <c r="K10" s="5" t="inlineStr"/>
      <c r="L10" s="5" t="inlineStr">
        <is>
          <t>pdf/Malik_2018_Development of highly selective PdZnCeO2 and Ca-doped PdZnCeO2 catalysts for met.pdf</t>
        </is>
      </c>
      <c r="M10" s="5" t="inlineStr">
        <is>
          <t>si/10_1016_j_apcata_2018_04_036__mmc1.docx</t>
        </is>
      </c>
      <c r="N10" s="6" t="inlineStr"/>
      <c r="O10" s="6" t="inlineStr"/>
      <c r="P10" s="6" t="inlineStr"/>
      <c r="Q10" s="6" t="inlineStr"/>
      <c r="R10" s="6" t="inlineStr"/>
    </row>
    <row r="11" ht="32" customHeight="1">
      <c r="A11" s="5" t="n">
        <v>10</v>
      </c>
      <c r="B11" s="5" t="inlineStr">
        <is>
          <t>10.1016/j.apcata.2018.04.036</t>
        </is>
      </c>
      <c r="C11" s="5" t="inlineStr">
        <is>
          <t>0.5Ca5P5ZC</t>
        </is>
      </c>
      <c r="D11" s="5" t="inlineStr">
        <is>
          <t>Table 6, 0.5Ca5P5ZC, 220 °C</t>
        </is>
      </c>
      <c r="E11" s="5" t="inlineStr">
        <is>
          <t>CO selectivity</t>
        </is>
      </c>
      <c r="F11" s="5" t="n">
        <v>0</v>
      </c>
      <c r="G11" s="5" t="inlineStr">
        <is>
          <t>%</t>
        </is>
      </c>
      <c r="H11" s="5" t="inlineStr">
        <is>
          <t>Table 6</t>
        </is>
      </c>
      <c r="I11" s="5" t="n">
        <v>8</v>
      </c>
      <c r="J11" s="5" t="inlineStr">
        <is>
          <t>table</t>
        </is>
      </c>
      <c r="K11" s="5" t="inlineStr"/>
      <c r="L11" s="5" t="inlineStr">
        <is>
          <t>pdf/Malik_2018_Development of highly selective PdZnCeO2 and Ca-doped PdZnCeO2 catalysts for met.pdf</t>
        </is>
      </c>
      <c r="M11" s="5" t="inlineStr">
        <is>
          <t>si/10_1016_j_apcata_2018_04_036__mmc1.docx</t>
        </is>
      </c>
      <c r="N11" s="6" t="inlineStr"/>
      <c r="O11" s="6" t="inlineStr"/>
      <c r="P11" s="6" t="inlineStr"/>
      <c r="Q11" s="6" t="inlineStr"/>
      <c r="R11" s="6" t="inlineStr"/>
    </row>
    <row r="12" ht="32" customHeight="1">
      <c r="A12" s="5" t="n">
        <v>11</v>
      </c>
      <c r="B12" s="5" t="inlineStr">
        <is>
          <t>10.1126/sciadv.abi6012</t>
        </is>
      </c>
      <c r="C12" s="5" t="inlineStr">
        <is>
          <t>a-ZrO2</t>
        </is>
      </c>
      <c r="D12" s="5" t="inlineStr">
        <is>
          <t>SI Table S2 row a-ZrO2</t>
        </is>
      </c>
      <c r="E12" s="5" t="inlineStr">
        <is>
          <t>CO selectivity</t>
        </is>
      </c>
      <c r="F12" s="5" t="n">
        <v>26.8</v>
      </c>
      <c r="G12" s="5" t="inlineStr">
        <is>
          <t>%</t>
        </is>
      </c>
      <c r="H12" s="5" t="inlineStr">
        <is>
          <t>SI Table S2</t>
        </is>
      </c>
      <c r="I12" s="5" t="n">
        <v>19</v>
      </c>
      <c r="J12" s="5" t="inlineStr">
        <is>
          <t>SI</t>
        </is>
      </c>
      <c r="K12" s="5" t="inlineStr">
        <is>
          <t>cat_mass_g&lt;-figures</t>
        </is>
      </c>
      <c r="L12" s="5" t="inlineStr">
        <is>
          <t>pdf/Meng_2021_Oxygen-deficient metal oxides supported nano-intermetallic InNi 3 C 05 toward ef.pdf</t>
        </is>
      </c>
      <c r="M12" s="5" t="inlineStr">
        <is>
          <t>si/10_1126_sciadv_abi6012__si1.pdf</t>
        </is>
      </c>
      <c r="N12" s="6" t="inlineStr"/>
      <c r="O12" s="6" t="inlineStr"/>
      <c r="P12" s="6" t="inlineStr"/>
      <c r="Q12" s="6" t="inlineStr"/>
      <c r="R12" s="6" t="inlineStr"/>
    </row>
    <row r="13" ht="32" customHeight="1">
      <c r="A13" s="5" t="n">
        <v>12</v>
      </c>
      <c r="B13" s="5" t="inlineStr">
        <is>
          <t>10.1126/sciadv.abi6012</t>
        </is>
      </c>
      <c r="C13" s="5" t="inlineStr">
        <is>
          <t>InNi3C0.5/t-ZrO2</t>
        </is>
      </c>
      <c r="D13" s="5" t="inlineStr">
        <is>
          <t>Fig. 2B, InNi3C0.5/t-ZrO2, 24000 ml gcat-1 hour-1</t>
        </is>
      </c>
      <c r="E13" s="5" t="inlineStr">
        <is>
          <t>STY (printed)</t>
        </is>
      </c>
      <c r="F13" s="5" t="inlineStr">
        <is>
          <t>0.3 gMeOH gcat−1 hour−1</t>
        </is>
      </c>
      <c r="G13" s="5" t="inlineStr">
        <is>
          <t>as printed</t>
        </is>
      </c>
      <c r="H13" s="5" t="inlineStr">
        <is>
          <t>Fig. 2B and Results text</t>
        </is>
      </c>
      <c r="I13" s="5" t="n">
        <v>3</v>
      </c>
      <c r="J13" s="5" t="inlineStr">
        <is>
          <t>mixed</t>
        </is>
      </c>
      <c r="K13" s="5" t="inlineStr">
        <is>
          <t>X_CO2&lt;-si;S_MeOH&lt;-si;S_CO&lt;-si;S_CH4&lt;-si</t>
        </is>
      </c>
      <c r="L13" s="5" t="inlineStr">
        <is>
          <t>pdf/Meng_2021_Oxygen-deficient metal oxides supported nano-intermetallic InNi 3 C 05 toward ef.pdf</t>
        </is>
      </c>
      <c r="M13" s="5" t="inlineStr">
        <is>
          <t>si/10_1126_sciadv_abi6012__si1.pdf</t>
        </is>
      </c>
      <c r="N13" s="22" t="inlineStr">
        <is>
          <t>原文 PDF p2 正文；p3 Fig2B图注</t>
        </is>
      </c>
      <c r="O13" s="22" t="inlineStr">
        <is>
          <t>0.30 gMeOH gcat⁻¹ h⁻¹；Fig2B caption: GHSV 24,000 mL gcat⁻¹ h⁻¹</t>
        </is>
      </c>
      <c r="P13" s="22" t="inlineStr">
        <is>
          <t>Y</t>
        </is>
      </c>
      <c r="Q13" s="22" t="inlineStr">
        <is>
          <t>correct</t>
        </is>
      </c>
      <c r="R13" s="22" t="inlineStr">
        <is>
          <t>AI草稿/待复签。0.30来自正文印刷数字；流量另在图注印刷，不需读图。</t>
        </is>
      </c>
    </row>
    <row r="14" ht="32" customHeight="1">
      <c r="A14" s="5" t="n">
        <v>13</v>
      </c>
      <c r="B14" s="5" t="inlineStr">
        <is>
          <t>10.1126/sciadv.abi6012</t>
        </is>
      </c>
      <c r="C14" s="5" t="inlineStr">
        <is>
          <t>SiO2</t>
        </is>
      </c>
      <c r="D14" s="5" t="inlineStr">
        <is>
          <t>SI Table S2 row SiO2</t>
        </is>
      </c>
      <c r="E14" s="5" t="inlineStr">
        <is>
          <t>H2/CO2</t>
        </is>
      </c>
      <c r="F14" s="5" t="n">
        <v>3</v>
      </c>
      <c r="G14" s="5" t="inlineStr">
        <is>
          <t>mol/mol</t>
        </is>
      </c>
      <c r="H14" s="5" t="inlineStr">
        <is>
          <t>SI Table S2</t>
        </is>
      </c>
      <c r="I14" s="5" t="n">
        <v>19</v>
      </c>
      <c r="J14" s="5" t="n"/>
      <c r="K14" s="5" t="inlineStr"/>
      <c r="L14" s="5" t="inlineStr">
        <is>
          <t>pdf/Meng_2021_Oxygen-deficient metal oxides supported nano-intermetallic InNi 3 C 05 toward ef.pdf</t>
        </is>
      </c>
      <c r="M14" s="5" t="inlineStr">
        <is>
          <t>si/10_1126_sciadv_abi6012__si1.pdf</t>
        </is>
      </c>
      <c r="N14" s="6" t="inlineStr"/>
      <c r="O14" s="6" t="inlineStr"/>
      <c r="P14" s="6" t="inlineStr"/>
      <c r="Q14" s="6" t="inlineStr"/>
      <c r="R14" s="6" t="inlineStr"/>
    </row>
    <row r="15" ht="32" customHeight="1">
      <c r="A15" s="5" t="n">
        <v>14</v>
      </c>
      <c r="B15" s="5" t="inlineStr">
        <is>
          <t>10.1126/sciadv.abi6012</t>
        </is>
      </c>
      <c r="C15" s="5" t="inlineStr">
        <is>
          <t>InNi3C0.5/ZnO</t>
        </is>
      </c>
      <c r="D15" s="5" t="inlineStr">
        <is>
          <t>SI Table S2 row InNi3C0.5/ZnO</t>
        </is>
      </c>
      <c r="E15" s="5" t="inlineStr">
        <is>
          <t>CO2 conversion</t>
        </is>
      </c>
      <c r="F15" s="5" t="n">
        <v>7.8</v>
      </c>
      <c r="G15" s="5" t="inlineStr">
        <is>
          <t>%</t>
        </is>
      </c>
      <c r="H15" s="5" t="inlineStr">
        <is>
          <t>SI Table S2</t>
        </is>
      </c>
      <c r="I15" s="5" t="n">
        <v>19</v>
      </c>
      <c r="J15" s="5" t="inlineStr">
        <is>
          <t>SI</t>
        </is>
      </c>
      <c r="K15" s="5" t="inlineStr"/>
      <c r="L15" s="5" t="inlineStr">
        <is>
          <t>pdf/Meng_2021_Oxygen-deficient metal oxides supported nano-intermetallic InNi 3 C 05 toward ef.pdf</t>
        </is>
      </c>
      <c r="M15" s="5" t="inlineStr">
        <is>
          <t>si/10_1126_sciadv_abi6012__si1.pdf</t>
        </is>
      </c>
      <c r="N15" s="6" t="inlineStr"/>
      <c r="O15" s="6" t="inlineStr"/>
      <c r="P15" s="6" t="inlineStr"/>
      <c r="Q15" s="6" t="inlineStr"/>
      <c r="R15" s="6" t="inlineStr"/>
    </row>
    <row r="16" ht="32" customHeight="1">
      <c r="A16" s="5" t="n">
        <v>15</v>
      </c>
      <c r="B16" s="5" t="inlineStr">
        <is>
          <t>10.1126/sciadv.abi6012</t>
        </is>
      </c>
      <c r="C16" s="5" t="inlineStr">
        <is>
          <t>InNi3C0.5/TiO2</t>
        </is>
      </c>
      <c r="D16" s="5" t="inlineStr">
        <is>
          <t>SI Table S2 row InNi3C0.5/TiO2</t>
        </is>
      </c>
      <c r="E16" s="5" t="inlineStr">
        <is>
          <t>CH3OH selectivity</t>
        </is>
      </c>
      <c r="F16" s="5" t="n">
        <v>66.3</v>
      </c>
      <c r="G16" s="5" t="inlineStr">
        <is>
          <t>%</t>
        </is>
      </c>
      <c r="H16" s="5" t="inlineStr">
        <is>
          <t>SI Table S2</t>
        </is>
      </c>
      <c r="I16" s="5" t="n">
        <v>19</v>
      </c>
      <c r="J16" s="5" t="inlineStr">
        <is>
          <t>SI</t>
        </is>
      </c>
      <c r="K16" s="5" t="inlineStr"/>
      <c r="L16" s="5" t="inlineStr">
        <is>
          <t>pdf/Meng_2021_Oxygen-deficient metal oxides supported nano-intermetallic InNi 3 C 05 toward ef.pdf</t>
        </is>
      </c>
      <c r="M16" s="5" t="inlineStr">
        <is>
          <t>si/10_1126_sciadv_abi6012__si1.pdf</t>
        </is>
      </c>
      <c r="N16" s="6" t="inlineStr"/>
      <c r="O16" s="6" t="inlineStr"/>
      <c r="P16" s="6" t="inlineStr"/>
      <c r="Q16" s="6" t="inlineStr"/>
      <c r="R16" s="6" t="inlineStr"/>
    </row>
    <row r="17" ht="32" customHeight="1">
      <c r="A17" s="5" t="n">
        <v>16</v>
      </c>
      <c r="B17" s="5" t="inlineStr">
        <is>
          <t>10.1126/sciadv.abi6012</t>
        </is>
      </c>
      <c r="C17" s="5" t="inlineStr">
        <is>
          <t>m-ZrO2</t>
        </is>
      </c>
      <c r="D17" s="5" t="inlineStr">
        <is>
          <t>SI Table S2 row m-ZrO2</t>
        </is>
      </c>
      <c r="E17" s="5" t="inlineStr">
        <is>
          <t>space velocity</t>
        </is>
      </c>
      <c r="F17" s="5" t="inlineStr">
        <is>
          <t>12000 mL gcat−1 h−1</t>
        </is>
      </c>
      <c r="G17" s="5" t="inlineStr">
        <is>
          <t>as printed</t>
        </is>
      </c>
      <c r="H17" s="5" t="inlineStr">
        <is>
          <t>SI Table S2</t>
        </is>
      </c>
      <c r="I17" s="5" t="n">
        <v>19</v>
      </c>
      <c r="J17" s="5" t="inlineStr">
        <is>
          <t>SI</t>
        </is>
      </c>
      <c r="K17" s="5" t="inlineStr">
        <is>
          <t>cat_mass_g&lt;-figures</t>
        </is>
      </c>
      <c r="L17" s="5" t="inlineStr">
        <is>
          <t>pdf/Meng_2021_Oxygen-deficient metal oxides supported nano-intermetallic InNi 3 C 05 toward ef.pdf</t>
        </is>
      </c>
      <c r="M17" s="5" t="inlineStr">
        <is>
          <t>si/10_1126_sciadv_abi6012__si1.pdf</t>
        </is>
      </c>
      <c r="N17" s="6" t="inlineStr"/>
      <c r="O17" s="6" t="inlineStr"/>
      <c r="P17" s="6" t="inlineStr"/>
      <c r="Q17" s="6" t="inlineStr"/>
      <c r="R17" s="6" t="inlineStr"/>
    </row>
    <row r="18" ht="32" customHeight="1">
      <c r="A18" s="5" t="n">
        <v>17</v>
      </c>
      <c r="B18" s="5" t="inlineStr">
        <is>
          <t>10.1126/sciadv.abi6012</t>
        </is>
      </c>
      <c r="C18" s="5" t="inlineStr">
        <is>
          <t>InNi3C0.5/a-ZrO2</t>
        </is>
      </c>
      <c r="D18" s="5" t="inlineStr">
        <is>
          <t>Fig. 2A, InNi3C0.5/a-ZrO2, 12000 ml gcat-1 hour-1</t>
        </is>
      </c>
      <c r="E18" s="5" t="inlineStr">
        <is>
          <t>CH4 selectivity</t>
        </is>
      </c>
      <c r="F18" s="5" t="n">
        <v>0.4</v>
      </c>
      <c r="G18" s="5" t="inlineStr">
        <is>
          <t>%</t>
        </is>
      </c>
      <c r="H18" s="5" t="inlineStr">
        <is>
          <t>Fig. 2A</t>
        </is>
      </c>
      <c r="I18" s="5" t="n">
        <v>3</v>
      </c>
      <c r="J18" s="5" t="inlineStr">
        <is>
          <t>SI</t>
        </is>
      </c>
      <c r="K18" s="5" t="inlineStr">
        <is>
          <t>X_CO2&lt;-si;S_MeOH&lt;-si;S_CO&lt;-si;S_CH4&lt;-si;GHSV&lt;-si;H2_CO2&lt;-si</t>
        </is>
      </c>
      <c r="L18" s="5" t="inlineStr">
        <is>
          <t>pdf/Meng_2021_Oxygen-deficient metal oxides supported nano-intermetallic InNi 3 C 05 toward ef.pdf</t>
        </is>
      </c>
      <c r="M18" s="5" t="inlineStr">
        <is>
          <t>si/10_1126_sciadv_abi6012__si1.pdf</t>
        </is>
      </c>
      <c r="N18" s="6" t="inlineStr"/>
      <c r="O18" s="6" t="inlineStr"/>
      <c r="P18" s="6" t="inlineStr"/>
      <c r="Q18" s="6" t="inlineStr"/>
      <c r="R18" s="23" t="inlineStr">
        <is>
          <t>AI警示：Fig2A无法直接逐项读取精确0.4%；按严格印刷值口径，须SI或正文明确数字，否则可能是读图/模型猜测。</t>
        </is>
      </c>
    </row>
    <row r="19" ht="32" customHeight="1">
      <c r="A19" s="5" t="n">
        <v>18</v>
      </c>
      <c r="B19" s="5" t="inlineStr">
        <is>
          <t>10.1126/sciadv.abi6012</t>
        </is>
      </c>
      <c r="C19" s="5" t="inlineStr">
        <is>
          <t>InNi3C0.5/m-ZrO2</t>
        </is>
      </c>
      <c r="D19" s="5" t="inlineStr">
        <is>
          <t>Fig. 2A, InNi3C0.5/m-ZrO2, 12000 ml gcat-1 hour-1</t>
        </is>
      </c>
      <c r="E19" s="5" t="inlineStr">
        <is>
          <t>H2/CO2</t>
        </is>
      </c>
      <c r="F19" s="5" t="n">
        <v>3</v>
      </c>
      <c r="G19" s="5" t="inlineStr">
        <is>
          <t>mol/mol</t>
        </is>
      </c>
      <c r="H19" s="5" t="inlineStr">
        <is>
          <t>Fig. 2A and Results text</t>
        </is>
      </c>
      <c r="I19" s="5" t="n">
        <v>3</v>
      </c>
      <c r="J19" s="5" t="n"/>
      <c r="K19" s="5" t="inlineStr">
        <is>
          <t>S_CO&lt;-si;S_CH4&lt;-si</t>
        </is>
      </c>
      <c r="L19" s="5" t="inlineStr">
        <is>
          <t>pdf/Meng_2021_Oxygen-deficient metal oxides supported nano-intermetallic InNi 3 C 05 toward ef.pdf</t>
        </is>
      </c>
      <c r="M19" s="5" t="inlineStr">
        <is>
          <t>si/10_1126_sciadv_abi6012__si1.pdf</t>
        </is>
      </c>
      <c r="N19" s="22" t="inlineStr">
        <is>
          <t>原文 PDF p3 Fig2A图注；m-ZrO₂系列</t>
        </is>
      </c>
      <c r="O19" s="22" t="inlineStr">
        <is>
          <t>H₂/CO₂ = 3:1</t>
        </is>
      </c>
      <c r="P19" s="22" t="inlineStr">
        <is>
          <t>Y</t>
        </is>
      </c>
      <c r="Q19" s="22" t="inlineStr">
        <is>
          <t>correct</t>
        </is>
      </c>
      <c r="R19" s="22" t="inlineStr">
        <is>
          <t>AI草稿/待复签。对Fig2A对应系列可用图注的共同进料配比；若要声称SI Table S2此行原样印刷，仍须打开SI。</t>
        </is>
      </c>
    </row>
    <row r="20" ht="32" customHeight="1">
      <c r="A20" s="5" t="n">
        <v>19</v>
      </c>
      <c r="B20" s="5" t="inlineStr">
        <is>
          <t>10.1126/sciadv.abi6012</t>
        </is>
      </c>
      <c r="C20" s="5" t="inlineStr">
        <is>
          <t>m-ZrO2</t>
        </is>
      </c>
      <c r="D20" s="5" t="inlineStr">
        <is>
          <t>SI Table S2 row m-ZrO2</t>
        </is>
      </c>
      <c r="E20" s="5" t="inlineStr">
        <is>
          <t>temperature</t>
        </is>
      </c>
      <c r="F20" s="5" t="n">
        <v>300</v>
      </c>
      <c r="G20" s="5" t="inlineStr">
        <is>
          <t>°C (from K)</t>
        </is>
      </c>
      <c r="H20" s="5" t="inlineStr">
        <is>
          <t>SI Table S2</t>
        </is>
      </c>
      <c r="I20" s="5" t="n">
        <v>19</v>
      </c>
      <c r="J20" s="5" t="n"/>
      <c r="K20" s="5" t="inlineStr">
        <is>
          <t>cat_mass_g&lt;-figures</t>
        </is>
      </c>
      <c r="L20" s="5" t="inlineStr">
        <is>
          <t>pdf/Meng_2021_Oxygen-deficient metal oxides supported nano-intermetallic InNi 3 C 05 toward ef.pdf</t>
        </is>
      </c>
      <c r="M20" s="5" t="inlineStr">
        <is>
          <t>si/10_1126_sciadv_abi6012__si1.pdf</t>
        </is>
      </c>
      <c r="N20" s="6" t="inlineStr"/>
      <c r="O20" s="6" t="inlineStr"/>
      <c r="P20" s="6" t="inlineStr"/>
      <c r="Q20" s="6" t="inlineStr"/>
      <c r="R20" s="6" t="inlineStr"/>
    </row>
    <row r="21" ht="32" customHeight="1">
      <c r="A21" s="5" t="n">
        <v>20</v>
      </c>
      <c r="B21" s="5" t="inlineStr">
        <is>
          <t>10.1126/sciadv.abi6012</t>
        </is>
      </c>
      <c r="C21" s="5" t="inlineStr">
        <is>
          <t>InNi3C0.5/Fe3O4</t>
        </is>
      </c>
      <c r="D21" s="5" t="inlineStr">
        <is>
          <t>Text/Table S7, InNi3C0.5/Fe3O4, 325C, 4.0 MPa, H2/CO2 8:1, GHSV 30000</t>
        </is>
      </c>
      <c r="E21" s="5" t="inlineStr">
        <is>
          <t>pressure</t>
        </is>
      </c>
      <c r="F21" s="5" t="n">
        <v>40</v>
      </c>
      <c r="G21" s="5" t="inlineStr">
        <is>
          <t>bar</t>
        </is>
      </c>
      <c r="H21" s="5" t="inlineStr">
        <is>
          <t>Results text, Tailoring more advanced InNi3C0.5 catalyst</t>
        </is>
      </c>
      <c r="I21" s="5" t="n">
        <v>6</v>
      </c>
      <c r="J21" s="5" t="n"/>
      <c r="K21" s="5" t="inlineStr">
        <is>
          <t>S_CO&lt;-si;STY&lt;-si</t>
        </is>
      </c>
      <c r="L21" s="5" t="inlineStr">
        <is>
          <t>pdf/Meng_2021_Oxygen-deficient metal oxides supported nano-intermetallic InNi 3 C 05 toward ef.pdf</t>
        </is>
      </c>
      <c r="M21" s="5" t="inlineStr">
        <is>
          <t>si/10_1126_sciadv_abi6012__si1.pdf</t>
        </is>
      </c>
      <c r="N21" s="22" t="inlineStr">
        <is>
          <t>原文 PDF p6 InNi₃C₀.₅/Fe₃O₄ 325°C结果段，H₂/CO₂=8:1</t>
        </is>
      </c>
      <c r="O21" s="22" t="inlineStr">
        <is>
          <t>4.0 MPa = 40 bar</t>
        </is>
      </c>
      <c r="P21" s="22" t="inlineStr">
        <is>
          <t>Y</t>
        </is>
      </c>
      <c r="Q21" s="22" t="inlineStr">
        <is>
          <t>correct</t>
        </is>
      </c>
      <c r="R21" s="22" t="inlineStr">
        <is>
          <t>AI草稿/待复签。40bar由4MPa换算；论文没有写40bar，原表Text/Table S7定位可精确到正文p6。</t>
        </is>
      </c>
    </row>
    <row r="22" ht="32" customHeight="1">
      <c r="A22" s="5" t="n">
        <v>21</v>
      </c>
      <c r="B22" s="5" t="inlineStr">
        <is>
          <t>10.1039/c2cy20604h</t>
        </is>
      </c>
      <c r="C22" s="5" t="inlineStr">
        <is>
          <t>Cu–Ba/Al2O3</t>
        </is>
      </c>
      <c r="D22" s="5" t="inlineStr">
        <is>
          <t>Text, Cu-Ba/Al2O3, 443 K, 36 MPa</t>
        </is>
      </c>
      <c r="E22" s="5" t="inlineStr">
        <is>
          <t>temperature</t>
        </is>
      </c>
      <c r="F22" s="5" t="n">
        <v>169.85</v>
      </c>
      <c r="G22" s="5" t="inlineStr">
        <is>
          <t>°C (from K)</t>
        </is>
      </c>
      <c r="H22" s="5" t="inlineStr">
        <is>
          <t>Text discussing methyl formate formation</t>
        </is>
      </c>
      <c r="I22" s="5" t="n">
        <v>7</v>
      </c>
      <c r="J22" s="5" t="n"/>
      <c r="K22" s="5" t="inlineStr">
        <is>
          <t>X_CO2&lt;-si;S_MeOH&lt;-si;S_CO&lt;-si;STY&lt;-si</t>
        </is>
      </c>
      <c r="L22" s="5" t="inlineStr">
        <is>
          <t>pdf/Bansode_2013_Impact of K and Ba promoters on CO 2 hydrogenation over CuAl 2 O 3 catalysts at.pdf</t>
        </is>
      </c>
      <c r="M22" s="5" t="inlineStr">
        <is>
          <t>si/10_1039_c2cy20604h__si1.pdf</t>
        </is>
      </c>
      <c r="N22" s="22" t="inlineStr">
        <is>
          <t>ESI Table S3, p.4, Cu–Ba/Al₂O₃, 443 K / 36 MPa</t>
        </is>
      </c>
      <c r="O22" s="22" t="inlineStr">
        <is>
          <t>443 K (169.85 °C)</t>
        </is>
      </c>
      <c r="P22" s="22" t="inlineStr">
        <is>
          <t>Y</t>
        </is>
      </c>
      <c r="Q22" s="22" t="inlineStr">
        <is>
          <t>correct</t>
        </is>
      </c>
      <c r="R22" s="22" t="inlineStr">
        <is>
          <t>AI草稿/待复签。温度按 T(°C)=T(K)-273.15 换算；不属于表中按摄氏度原样印刷</t>
        </is>
      </c>
    </row>
    <row r="23" ht="32" customHeight="1">
      <c r="A23" s="5" t="n">
        <v>22</v>
      </c>
      <c r="B23" s="5" t="inlineStr">
        <is>
          <t>10.1039/c2cy20604h</t>
        </is>
      </c>
      <c r="C23" s="5" t="inlineStr">
        <is>
          <t>Cu–Ba/Al2O3</t>
        </is>
      </c>
      <c r="D23" s="5" t="inlineStr">
        <is>
          <t>SI Table 3, 503 K, 36 MPa</t>
        </is>
      </c>
      <c r="E23" s="5" t="inlineStr">
        <is>
          <t>STY (printed)</t>
        </is>
      </c>
      <c r="F23" s="5" t="inlineStr">
        <is>
          <t>56.5 mg gcat-1 h-1</t>
        </is>
      </c>
      <c r="G23" s="5" t="inlineStr">
        <is>
          <t>as printed</t>
        </is>
      </c>
      <c r="H23" s="5" t="inlineStr">
        <is>
          <t>SI Table 3</t>
        </is>
      </c>
      <c r="I23" s="5" t="n">
        <v>4</v>
      </c>
      <c r="J23" s="5" t="inlineStr">
        <is>
          <t>SI</t>
        </is>
      </c>
      <c r="K23" s="5" t="inlineStr"/>
      <c r="L23" s="5" t="inlineStr">
        <is>
          <t>pdf/Bansode_2013_Impact of K and Ba promoters on CO 2 hydrogenation over CuAl 2 O 3 catalysts at.pdf</t>
        </is>
      </c>
      <c r="M23" s="5" t="inlineStr">
        <is>
          <t>si/10_1039_c2cy20604h__si1.pdf</t>
        </is>
      </c>
      <c r="N23" s="22" t="inlineStr">
        <is>
          <t>ESI Table S3, p.4, Cu–Ba/Al₂O₃, 503 K / 36 MPa, MeOH yield</t>
        </is>
      </c>
      <c r="O23" s="22" t="inlineStr">
        <is>
          <t>56.5 mg gcat⁻¹ h⁻¹</t>
        </is>
      </c>
      <c r="P23" s="22" t="inlineStr">
        <is>
          <t>Y</t>
        </is>
      </c>
      <c r="Q23" s="22" t="inlineStr">
        <is>
          <t>correct</t>
        </is>
      </c>
      <c r="R23" s="22" t="inlineStr">
        <is>
          <t>AI草稿/待复签。ESI 将第三张表印作 “Table 3”；mg/(gcat·h) 为甲醇产率，切勿与以 g 为单位的数值混淆</t>
        </is>
      </c>
    </row>
    <row r="24" ht="32" customHeight="1">
      <c r="A24" s="5" t="n">
        <v>23</v>
      </c>
      <c r="B24" s="5" t="inlineStr">
        <is>
          <t>10.1039/c2cy20604h</t>
        </is>
      </c>
      <c r="C24" s="5" t="inlineStr">
        <is>
          <t>Cu–Ba/Al2O3</t>
        </is>
      </c>
      <c r="D24" s="5" t="inlineStr">
        <is>
          <t>SI Table 3, 533 K, 0.4 MPa</t>
        </is>
      </c>
      <c r="E24" s="5" t="inlineStr">
        <is>
          <t>CH3OH selectivity</t>
        </is>
      </c>
      <c r="F24" s="5" t="n">
        <v>4.4</v>
      </c>
      <c r="G24" s="5" t="inlineStr">
        <is>
          <t>%</t>
        </is>
      </c>
      <c r="H24" s="5" t="inlineStr">
        <is>
          <t>SI Table 3</t>
        </is>
      </c>
      <c r="I24" s="5" t="n">
        <v>4</v>
      </c>
      <c r="J24" s="5" t="inlineStr">
        <is>
          <t>SI</t>
        </is>
      </c>
      <c r="K24" s="5" t="inlineStr"/>
      <c r="L24" s="5" t="inlineStr">
        <is>
          <t>pdf/Bansode_2013_Impact of K and Ba promoters on CO 2 hydrogenation over CuAl 2 O 3 catalysts at.pdf</t>
        </is>
      </c>
      <c r="M24" s="5" t="inlineStr">
        <is>
          <t>si/10_1039_c2cy20604h__si1.pdf</t>
        </is>
      </c>
      <c r="N24" s="22" t="inlineStr">
        <is>
          <t>ESI Table S3, p.4, Cu–Ba/Al₂O₃, 533 K / 0.4 MPa</t>
        </is>
      </c>
      <c r="O24" s="22" t="inlineStr">
        <is>
          <t>4.4%</t>
        </is>
      </c>
      <c r="P24" s="22" t="inlineStr">
        <is>
          <t>Y</t>
        </is>
      </c>
      <c r="Q24" s="22" t="inlineStr">
        <is>
          <t>correct</t>
        </is>
      </c>
      <c r="R24" s="22" t="inlineStr">
        <is>
          <t>AI草稿/待复签。0.4 MPa=4 bar；甲醇选择性 4.4%</t>
        </is>
      </c>
    </row>
    <row r="25" ht="32" customHeight="1">
      <c r="A25" s="5" t="n">
        <v>24</v>
      </c>
      <c r="B25" s="5" t="inlineStr">
        <is>
          <t>10.1039/c2cy20604h</t>
        </is>
      </c>
      <c r="C25" s="5" t="inlineStr">
        <is>
          <t>Cu/Al2O3</t>
        </is>
      </c>
      <c r="D25" s="5" t="inlineStr">
        <is>
          <t>Fig 5/Fig 6, Cu/Al2O3, 443 K, 10 MPa</t>
        </is>
      </c>
      <c r="E25" s="5" t="inlineStr">
        <is>
          <t>CH3OH selectivity</t>
        </is>
      </c>
      <c r="F25" s="5" t="n">
        <v>80</v>
      </c>
      <c r="G25" s="5" t="inlineStr">
        <is>
          <t>%</t>
        </is>
      </c>
      <c r="H25" s="5" t="inlineStr">
        <is>
          <t>Figure 5 and text on page 7</t>
        </is>
      </c>
      <c r="I25" s="5" t="n">
        <v>6</v>
      </c>
      <c r="J25" s="5" t="inlineStr">
        <is>
          <t>mixed</t>
        </is>
      </c>
      <c r="K25" s="5" t="inlineStr">
        <is>
          <t>X_CO2&lt;-si;S_CO&lt;-si;STY&lt;-si;GHSV&lt;-figures</t>
        </is>
      </c>
      <c r="L25" s="5" t="inlineStr">
        <is>
          <t>pdf/Bansode_2013_Impact of K and Ba promoters on CO 2 hydrogenation over CuAl 2 O 3 catalysts at.pdf</t>
        </is>
      </c>
      <c r="M25" s="5" t="inlineStr">
        <is>
          <t>si/10_1039_c2cy20604h__si1.pdf</t>
        </is>
      </c>
      <c r="N25" s="22" t="inlineStr">
        <is>
          <t>ESI Table S1, p.2, Cu/Al₂O₃, 443 K / 10 MPa</t>
        </is>
      </c>
      <c r="O25" s="22" t="inlineStr">
        <is>
          <t>80.0%</t>
        </is>
      </c>
      <c r="P25" s="22" t="inlineStr">
        <is>
          <t>Y</t>
        </is>
      </c>
      <c r="Q25" s="22" t="inlineStr">
        <is>
          <t>correct</t>
        </is>
      </c>
      <c r="R25" s="22" t="inlineStr">
        <is>
          <t>AI草稿/待复签。原表甲醇选择性 80.0%；定位可补充 S1 而非仅凭原来的 Fig.5/6</t>
        </is>
      </c>
    </row>
    <row r="26" ht="32" customHeight="1">
      <c r="A26" s="5" t="n">
        <v>25</v>
      </c>
      <c r="B26" s="5" t="inlineStr">
        <is>
          <t>10.1039/c2cy20604h</t>
        </is>
      </c>
      <c r="C26" s="5" t="inlineStr">
        <is>
          <t>Cu–K/Al2O3</t>
        </is>
      </c>
      <c r="D26" s="5" t="inlineStr">
        <is>
          <t>Fig 7, Cu-K/Al2O3, 533 K, 36 MPa</t>
        </is>
      </c>
      <c r="E26" s="5" t="inlineStr">
        <is>
          <t>STY (printed)</t>
        </is>
      </c>
      <c r="F26" s="5" t="inlineStr">
        <is>
          <t>10.6 mg gcat-1 h-1</t>
        </is>
      </c>
      <c r="G26" s="5" t="inlineStr">
        <is>
          <t>as printed</t>
        </is>
      </c>
      <c r="H26" s="5" t="inlineStr">
        <is>
          <t>Figure 7</t>
        </is>
      </c>
      <c r="I26" s="5" t="n">
        <v>7</v>
      </c>
      <c r="J26" s="5" t="inlineStr">
        <is>
          <t>SI</t>
        </is>
      </c>
      <c r="K26" s="5" t="inlineStr">
        <is>
          <t>X_CO2&lt;-si;S_MeOH&lt;-si;S_CO&lt;-si;STY&lt;-si;H2_CO2&lt;-si;GHSV&lt;-figures</t>
        </is>
      </c>
      <c r="L26" s="5" t="inlineStr">
        <is>
          <t>pdf/Bansode_2013_Impact of K and Ba promoters on CO 2 hydrogenation over CuAl 2 O 3 catalysts at.pdf</t>
        </is>
      </c>
      <c r="M26" s="5" t="inlineStr">
        <is>
          <t>si/10_1039_c2cy20604h__si1.pdf</t>
        </is>
      </c>
      <c r="N26" s="22" t="inlineStr">
        <is>
          <t>ESI Table S2, p.3, Cu–K/Al₂O₃, 533 K / 36 MPa</t>
        </is>
      </c>
      <c r="O26" s="22" t="inlineStr">
        <is>
          <t>10.6 mg gcat⁻¹ h⁻¹</t>
        </is>
      </c>
      <c r="P26" s="22" t="inlineStr">
        <is>
          <t>Y</t>
        </is>
      </c>
      <c r="Q26" s="22" t="inlineStr">
        <is>
          <t>correct</t>
        </is>
      </c>
      <c r="R26" s="22" t="inlineStr">
        <is>
          <t>AI草稿/待复签。原表甲醇产率 10.6；注意读对 CH₃OH yield 列而非 conversion</t>
        </is>
      </c>
    </row>
    <row r="27" ht="32" customHeight="1">
      <c r="A27" s="5" t="n">
        <v>26</v>
      </c>
      <c r="B27" s="5" t="inlineStr">
        <is>
          <t>10.1039/c2cy20604h</t>
        </is>
      </c>
      <c r="C27" s="5" t="inlineStr">
        <is>
          <t>Cu–Ba/Al2O3</t>
        </is>
      </c>
      <c r="D27" s="5" t="inlineStr">
        <is>
          <t>SI Table 3, 553 K, 0.4 MPa</t>
        </is>
      </c>
      <c r="E27" s="5" t="inlineStr">
        <is>
          <t>CO selectivity</t>
        </is>
      </c>
      <c r="F27" s="5" t="n">
        <v>98.09999999999999</v>
      </c>
      <c r="G27" s="5" t="inlineStr">
        <is>
          <t>%</t>
        </is>
      </c>
      <c r="H27" s="5" t="inlineStr">
        <is>
          <t>SI Table 3</t>
        </is>
      </c>
      <c r="I27" s="5" t="n">
        <v>4</v>
      </c>
      <c r="J27" s="5" t="inlineStr">
        <is>
          <t>SI</t>
        </is>
      </c>
      <c r="K27" s="5" t="inlineStr"/>
      <c r="L27" s="5" t="inlineStr">
        <is>
          <t>pdf/Bansode_2013_Impact of K and Ba promoters on CO 2 hydrogenation over CuAl 2 O 3 catalysts at.pdf</t>
        </is>
      </c>
      <c r="M27" s="5" t="inlineStr">
        <is>
          <t>si/10_1039_c2cy20604h__si1.pdf</t>
        </is>
      </c>
      <c r="N27" s="22" t="inlineStr">
        <is>
          <t>ESI Table S3, p.4, Cu–Ba/Al₂O₃, 553 K / 0.4 MPa</t>
        </is>
      </c>
      <c r="O27" s="22" t="inlineStr">
        <is>
          <t>98.1%</t>
        </is>
      </c>
      <c r="P27" s="22" t="inlineStr">
        <is>
          <t>Y</t>
        </is>
      </c>
      <c r="Q27" s="22" t="inlineStr">
        <is>
          <t>correct</t>
        </is>
      </c>
      <c r="R27" s="22" t="inlineStr">
        <is>
          <t>AI草稿/待复签。该行 CO selectivity 98.1%</t>
        </is>
      </c>
    </row>
    <row r="28" ht="32" customHeight="1">
      <c r="A28" s="5" t="n">
        <v>27</v>
      </c>
      <c r="B28" s="5" t="inlineStr">
        <is>
          <t>10.1039/c2cy20604h</t>
        </is>
      </c>
      <c r="C28" s="5" t="inlineStr">
        <is>
          <t>Cu–Ba/Al2O3</t>
        </is>
      </c>
      <c r="D28" s="5" t="inlineStr">
        <is>
          <t>SI Table 3, 443 K, 0.4 MPa</t>
        </is>
      </c>
      <c r="E28" s="5" t="inlineStr">
        <is>
          <t>CO selectivity</t>
        </is>
      </c>
      <c r="F28" s="5" t="n">
        <v>72.5</v>
      </c>
      <c r="G28" s="5" t="inlineStr">
        <is>
          <t>%</t>
        </is>
      </c>
      <c r="H28" s="5" t="inlineStr">
        <is>
          <t>SI Table 3</t>
        </is>
      </c>
      <c r="I28" s="5" t="n">
        <v>4</v>
      </c>
      <c r="J28" s="5" t="inlineStr">
        <is>
          <t>SI</t>
        </is>
      </c>
      <c r="K28" s="5" t="inlineStr"/>
      <c r="L28" s="5" t="inlineStr">
        <is>
          <t>pdf/Bansode_2013_Impact of K and Ba promoters on CO 2 hydrogenation over CuAl 2 O 3 catalysts at.pdf</t>
        </is>
      </c>
      <c r="M28" s="5" t="inlineStr">
        <is>
          <t>si/10_1039_c2cy20604h__si1.pdf</t>
        </is>
      </c>
      <c r="N28" s="22" t="inlineStr">
        <is>
          <t>ESI Table S3, p.4, Cu–Ba/Al₂O₃, 443 K / 0.4 MPa</t>
        </is>
      </c>
      <c r="O28" s="22" t="inlineStr">
        <is>
          <t>72.5%</t>
        </is>
      </c>
      <c r="P28" s="22" t="inlineStr">
        <is>
          <t>Y</t>
        </is>
      </c>
      <c r="Q28" s="22" t="inlineStr">
        <is>
          <t>correct</t>
        </is>
      </c>
      <c r="R28" s="22" t="inlineStr">
        <is>
          <t>AI草稿/待复签。该行 CO selectivity 72.5%；该行 CO₂ 转化率带检测限星号，不能混作高置信度定量</t>
        </is>
      </c>
    </row>
    <row r="29" ht="32" customHeight="1">
      <c r="A29" s="5" t="n">
        <v>28</v>
      </c>
      <c r="B29" s="5" t="inlineStr">
        <is>
          <t>10.1039/c2cy20604h</t>
        </is>
      </c>
      <c r="C29" s="5" t="inlineStr">
        <is>
          <t>Cu–Ba/Al2O3</t>
        </is>
      </c>
      <c r="D29" s="5" t="inlineStr">
        <is>
          <t>Fig 8, Cu-Ba/Al2O3, 473 K, 10 MPa</t>
        </is>
      </c>
      <c r="E29" s="5" t="inlineStr">
        <is>
          <t>temperature</t>
        </is>
      </c>
      <c r="F29" s="5" t="n">
        <v>199.85</v>
      </c>
      <c r="G29" s="5" t="inlineStr">
        <is>
          <t>°C (from K)</t>
        </is>
      </c>
      <c r="H29" s="5" t="inlineStr">
        <is>
          <t>Figure 8 and abstract</t>
        </is>
      </c>
      <c r="I29" s="5" t="n">
        <v>7</v>
      </c>
      <c r="J29" s="5" t="n"/>
      <c r="K29" s="5" t="inlineStr">
        <is>
          <t>X_CO2&lt;-si;S_CO&lt;-si;STY&lt;-si;GHSV&lt;-figures</t>
        </is>
      </c>
      <c r="L29" s="5" t="inlineStr">
        <is>
          <t>pdf/Bansode_2013_Impact of K and Ba promoters on CO 2 hydrogenation over CuAl 2 O 3 catalysts at.pdf</t>
        </is>
      </c>
      <c r="M29" s="5" t="inlineStr">
        <is>
          <t>si/10_1039_c2cy20604h__si1.pdf</t>
        </is>
      </c>
      <c r="N29" s="22" t="inlineStr">
        <is>
          <t>ESI Table S3, p.4, Cu–Ba/Al₂O₃, 473 K / 10 MPa</t>
        </is>
      </c>
      <c r="O29" s="22" t="inlineStr">
        <is>
          <t>473 K (199.85 °C)</t>
        </is>
      </c>
      <c r="P29" s="22" t="inlineStr">
        <is>
          <t>Y</t>
        </is>
      </c>
      <c r="Q29" s="22" t="inlineStr">
        <is>
          <t>correct</t>
        </is>
      </c>
      <c r="R29" s="22" t="inlineStr">
        <is>
          <t>AI草稿/待复签。原文温度为 K；转换得到 199.85 °C</t>
        </is>
      </c>
    </row>
    <row r="30" ht="32" customHeight="1">
      <c r="A30" s="5" t="n">
        <v>29</v>
      </c>
      <c r="B30" s="5" t="inlineStr">
        <is>
          <t>10.1039/c2cy20604h</t>
        </is>
      </c>
      <c r="C30" s="5" t="inlineStr">
        <is>
          <t>Cu–K/Al2O3</t>
        </is>
      </c>
      <c r="D30" s="5" t="inlineStr">
        <is>
          <t>Fig 7/Fig 8, Cu-K/Al2O3, 473 K, 36 MPa</t>
        </is>
      </c>
      <c r="E30" s="5" t="inlineStr">
        <is>
          <t>CO2 conversion</t>
        </is>
      </c>
      <c r="F30" s="5" t="n">
        <v>8.9</v>
      </c>
      <c r="G30" s="5" t="inlineStr">
        <is>
          <t>%</t>
        </is>
      </c>
      <c r="H30" s="5" t="inlineStr">
        <is>
          <t>Figure 7 and Figure 8</t>
        </is>
      </c>
      <c r="I30" s="5" t="n">
        <v>7</v>
      </c>
      <c r="J30" s="5" t="inlineStr">
        <is>
          <t>SI</t>
        </is>
      </c>
      <c r="K30" s="5" t="inlineStr">
        <is>
          <t>X_CO2&lt;-si;S_MeOH&lt;-si;S_CO&lt;-si;STY&lt;-si;H2_CO2&lt;-si;GHSV&lt;-figures</t>
        </is>
      </c>
      <c r="L30" s="5" t="inlineStr">
        <is>
          <t>pdf/Bansode_2013_Impact of K and Ba promoters on CO 2 hydrogenation over CuAl 2 O 3 catalysts at.pdf</t>
        </is>
      </c>
      <c r="M30" s="5" t="inlineStr">
        <is>
          <t>si/10_1039_c2cy20604h__si1.pdf</t>
        </is>
      </c>
      <c r="N30" s="22" t="inlineStr">
        <is>
          <t>ESI Table S2, p.3, Cu–K/Al₂O₃, 473 K / 36 MPa</t>
        </is>
      </c>
      <c r="O30" s="22" t="inlineStr">
        <is>
          <t>8.9%</t>
        </is>
      </c>
      <c r="P30" s="22" t="inlineStr">
        <is>
          <t>Y</t>
        </is>
      </c>
      <c r="Q30" s="22" t="inlineStr">
        <is>
          <t>correct</t>
        </is>
      </c>
      <c r="R30" s="22" t="inlineStr">
        <is>
          <t>AI草稿/待复签。该行 CO₂ conversion = 8.9%</t>
        </is>
      </c>
    </row>
    <row r="31" ht="32" customHeight="1">
      <c r="A31" s="5" t="n">
        <v>30</v>
      </c>
      <c r="B31" s="5" t="inlineStr">
        <is>
          <t>10.1039/c2cy20604h</t>
        </is>
      </c>
      <c r="C31" s="5" t="inlineStr">
        <is>
          <t>Cu–K/Al2O3</t>
        </is>
      </c>
      <c r="D31" s="5" t="inlineStr">
        <is>
          <t>Fig 7, Cu-K/Al2O3, 533 K, 3 MPa</t>
        </is>
      </c>
      <c r="E31" s="5" t="inlineStr">
        <is>
          <t>CO selectivity</t>
        </is>
      </c>
      <c r="F31" s="5" t="n">
        <v>98.09999999999999</v>
      </c>
      <c r="G31" s="5" t="inlineStr">
        <is>
          <t>%</t>
        </is>
      </c>
      <c r="H31" s="5" t="inlineStr">
        <is>
          <t>Figure 7</t>
        </is>
      </c>
      <c r="I31" s="5" t="n">
        <v>7</v>
      </c>
      <c r="J31" s="5" t="inlineStr">
        <is>
          <t>SI</t>
        </is>
      </c>
      <c r="K31" s="5" t="inlineStr">
        <is>
          <t>X_CO2&lt;-si;S_MeOH&lt;-si;S_CO&lt;-si;STY&lt;-si;H2_CO2&lt;-si;GHSV&lt;-figures</t>
        </is>
      </c>
      <c r="L31" s="5" t="inlineStr">
        <is>
          <t>pdf/Bansode_2013_Impact of K and Ba promoters on CO 2 hydrogenation over CuAl 2 O 3 catalysts at.pdf</t>
        </is>
      </c>
      <c r="M31" s="5" t="inlineStr">
        <is>
          <t>si/10_1039_c2cy20604h__si1.pdf</t>
        </is>
      </c>
      <c r="N31" s="22" t="inlineStr">
        <is>
          <t>ESI Table S2, p.3, Cu–K/Al₂O₃, 533 K / 3 MPa</t>
        </is>
      </c>
      <c r="O31" s="22" t="inlineStr">
        <is>
          <t>98.1%</t>
        </is>
      </c>
      <c r="P31" s="22" t="inlineStr">
        <is>
          <t>Y</t>
        </is>
      </c>
      <c r="Q31" s="22" t="inlineStr">
        <is>
          <t>correct</t>
        </is>
      </c>
      <c r="R31" s="22" t="inlineStr">
        <is>
          <t>AI草稿/待复签。3 MPa=30 bar；CO selectivity 98.1%</t>
        </is>
      </c>
    </row>
    <row r="32" ht="32" customHeight="1">
      <c r="A32" s="5" t="n">
        <v>31</v>
      </c>
      <c r="B32" s="5" t="inlineStr">
        <is>
          <t>10.1038/s41467-019-11349-9</t>
        </is>
      </c>
      <c r="C32" s="5" t="inlineStr">
        <is>
          <t>Pd–In2O3 CP</t>
        </is>
      </c>
      <c r="D32" s="5" t="inlineStr">
        <is>
          <t>Table 2 Pd–In2O3 CP, WHSV 48,000 initial</t>
        </is>
      </c>
      <c r="E32" s="5" t="inlineStr">
        <is>
          <t>pressure</t>
        </is>
      </c>
      <c r="F32" s="5" t="n">
        <v>50</v>
      </c>
      <c r="G32" s="5" t="inlineStr">
        <is>
          <t>bar</t>
        </is>
      </c>
      <c r="H32" s="5" t="inlineStr">
        <is>
          <t>Table 2</t>
        </is>
      </c>
      <c r="I32" s="5" t="n">
        <v>9</v>
      </c>
      <c r="J32" s="5" t="n"/>
      <c r="K32" s="5" t="inlineStr"/>
      <c r="L32" s="5" t="inlineStr">
        <is>
          <t>pdf/Frei_2019_Atomic-scale engineering of indium oxide promotion by palladium for methanol pro.pdf</t>
        </is>
      </c>
      <c r="M32" s="5" t="inlineStr">
        <is>
          <t>si/10_1038_s41467_019_11349_9__si1.pdf; si/10_1038_s41467_019_11349_9__si2.pdf</t>
        </is>
      </c>
      <c r="N32" s="22" t="inlineStr">
        <is>
          <t>Frei 2019, 500-h Fig.6 text / experimental conditions</t>
        </is>
      </c>
      <c r="O32" s="22" t="inlineStr">
        <is>
          <t>5 MPa = 50 bar</t>
        </is>
      </c>
      <c r="P32" s="22" t="inlineStr">
        <is>
          <t>Y</t>
        </is>
      </c>
      <c r="Q32" s="22" t="inlineStr">
        <is>
          <t>correct</t>
        </is>
      </c>
      <c r="R32" s="22" t="inlineStr">
        <is>
          <t>AI草稿/待复签。可从正文确认 5 MPa；原 Excel 将该工况挂在 Table 2，建议以 Fig.6 正文作为一手定位</t>
        </is>
      </c>
    </row>
    <row r="33" ht="32" customHeight="1">
      <c r="A33" s="5" t="n">
        <v>32</v>
      </c>
      <c r="B33" s="5" t="inlineStr">
        <is>
          <t>10.1038/s41467-019-11349-9</t>
        </is>
      </c>
      <c r="C33" s="5" t="inlineStr">
        <is>
          <t>CP</t>
        </is>
      </c>
      <c r="D33" s="5" t="inlineStr">
        <is>
          <t>Fig. 6/text Pd–In2O3 CP stability, start</t>
        </is>
      </c>
      <c r="E33" s="5" t="inlineStr">
        <is>
          <t>CH3OH selectivity</t>
        </is>
      </c>
      <c r="F33" s="5" t="n">
        <v>75</v>
      </c>
      <c r="G33" s="5" t="inlineStr">
        <is>
          <t>%</t>
        </is>
      </c>
      <c r="H33" s="5" t="inlineStr">
        <is>
          <t>Fig. 6 and Results text</t>
        </is>
      </c>
      <c r="I33" s="5" t="n">
        <v>8</v>
      </c>
      <c r="J33" s="5" t="inlineStr">
        <is>
          <t>mixed</t>
        </is>
      </c>
      <c r="K33" s="5" t="inlineStr"/>
      <c r="L33" s="5" t="inlineStr">
        <is>
          <t>pdf/Frei_2019_Atomic-scale engineering of indium oxide promotion by palladium for methanol pro.pdf</t>
        </is>
      </c>
      <c r="M33" s="5" t="inlineStr">
        <is>
          <t>si/10_1038_s41467_019_11349_9__si1.pdf; si/10_1038_s41467_019_11349_9__si2.pdf</t>
        </is>
      </c>
      <c r="N33" s="22" t="inlineStr">
        <is>
          <t>Frei 2019, Fig.6 accompanying main-text paragraph</t>
        </is>
      </c>
      <c r="O33" s="22" t="inlineStr">
        <is>
          <t>75% methanol selectivity at start</t>
        </is>
      </c>
      <c r="P33" s="22" t="inlineStr">
        <is>
          <t>Y</t>
        </is>
      </c>
      <c r="Q33" s="22" t="inlineStr">
        <is>
          <t>correct</t>
        </is>
      </c>
      <c r="R33" s="22" t="inlineStr">
        <is>
          <t>AI草稿/待复签。初始选择性75%，随后升至78%；别误用500 h 的后期值</t>
        </is>
      </c>
    </row>
    <row r="34" ht="32" customHeight="1">
      <c r="A34" s="5" t="n">
        <v>33</v>
      </c>
      <c r="B34" s="5" t="inlineStr">
        <is>
          <t>10.1038/s41467-019-11349-9</t>
        </is>
      </c>
      <c r="C34" s="5" t="inlineStr">
        <is>
          <t>Pd–In2O3 CP</t>
        </is>
      </c>
      <c r="D34" s="5" t="inlineStr">
        <is>
          <t>Table 2 Pd–In2O3 CP, WHSV 48,000 initial</t>
        </is>
      </c>
      <c r="E34" s="5" t="inlineStr">
        <is>
          <t>temperature</t>
        </is>
      </c>
      <c r="F34" s="5" t="n">
        <v>279.85</v>
      </c>
      <c r="G34" s="5" t="inlineStr">
        <is>
          <t>°C (from K)</t>
        </is>
      </c>
      <c r="H34" s="5" t="inlineStr">
        <is>
          <t>Table 2</t>
        </is>
      </c>
      <c r="I34" s="5" t="n">
        <v>9</v>
      </c>
      <c r="J34" s="5" t="n"/>
      <c r="K34" s="5" t="inlineStr"/>
      <c r="L34" s="5" t="inlineStr">
        <is>
          <t>pdf/Frei_2019_Atomic-scale engineering of indium oxide promotion by palladium for methanol pro.pdf</t>
        </is>
      </c>
      <c r="M34" s="5" t="inlineStr">
        <is>
          <t>si/10_1038_s41467_019_11349_9__si1.pdf; si/10_1038_s41467_019_11349_9__si2.pdf</t>
        </is>
      </c>
      <c r="N34" s="22" t="inlineStr">
        <is>
          <t>Frei 2019, Fig.6 caption and main text</t>
        </is>
      </c>
      <c r="O34" s="22" t="inlineStr">
        <is>
          <t>553 K = 279.85 °C</t>
        </is>
      </c>
      <c r="P34" s="22" t="inlineStr">
        <is>
          <t>Y</t>
        </is>
      </c>
      <c r="Q34" s="22" t="inlineStr">
        <is>
          <t>correct</t>
        </is>
      </c>
      <c r="R34" s="22" t="inlineStr">
        <is>
          <t>AI草稿/待复签。原文553 K；摄氏温度为推算值，280 °C为常用四舍五入</t>
        </is>
      </c>
    </row>
    <row r="35" ht="32" customHeight="1">
      <c r="A35" s="5" t="n">
        <v>34</v>
      </c>
      <c r="B35" s="5" t="inlineStr">
        <is>
          <t>10.1038/s41467-019-11349-9</t>
        </is>
      </c>
      <c r="C35" s="5" t="inlineStr">
        <is>
          <t>CP</t>
        </is>
      </c>
      <c r="D35" s="5" t="inlineStr">
        <is>
          <t>Fig. 6/text Pd–In2O3 CP stability, after 500 h</t>
        </is>
      </c>
      <c r="E35" s="5" t="inlineStr">
        <is>
          <t>temperature</t>
        </is>
      </c>
      <c r="F35" s="5" t="n">
        <v>279.85</v>
      </c>
      <c r="G35" s="5" t="inlineStr">
        <is>
          <t>°C (from K)</t>
        </is>
      </c>
      <c r="H35" s="5" t="inlineStr">
        <is>
          <t>Fig. 6 and Results text</t>
        </is>
      </c>
      <c r="I35" s="5" t="n">
        <v>8</v>
      </c>
      <c r="J35" s="5" t="n"/>
      <c r="K35" s="5" t="inlineStr"/>
      <c r="L35" s="5" t="inlineStr">
        <is>
          <t>pdf/Frei_2019_Atomic-scale engineering of indium oxide promotion by palladium for methanol pro.pdf</t>
        </is>
      </c>
      <c r="M35" s="5" t="inlineStr">
        <is>
          <t>si/10_1038_s41467_019_11349_9__si1.pdf; si/10_1038_s41467_019_11349_9__si2.pdf</t>
        </is>
      </c>
      <c r="N35" s="22" t="inlineStr">
        <is>
          <t>Frei 2019, Fig.6 caption and main text</t>
        </is>
      </c>
      <c r="O35" s="22" t="inlineStr">
        <is>
          <t>553 K = 279.85 °C</t>
        </is>
      </c>
      <c r="P35" s="22" t="inlineStr">
        <is>
          <t>Y</t>
        </is>
      </c>
      <c r="Q35" s="22" t="inlineStr">
        <is>
          <t>correct</t>
        </is>
      </c>
      <c r="R35" s="22" t="inlineStr">
        <is>
          <t>AI草稿/待复签。原文553 K；摄氏温度为推算值，280 °C为常用四舍五入</t>
        </is>
      </c>
    </row>
    <row r="36" ht="32" customHeight="1">
      <c r="A36" s="5" t="n">
        <v>35</v>
      </c>
      <c r="B36" s="5" t="inlineStr">
        <is>
          <t>10.1038/s41467-019-11349-9</t>
        </is>
      </c>
      <c r="C36" s="5" t="inlineStr">
        <is>
          <t>CP</t>
        </is>
      </c>
      <c r="D36" s="5" t="inlineStr">
        <is>
          <t>Fig. 6/text Pd–In2O3 CP stability, start</t>
        </is>
      </c>
      <c r="E36" s="5" t="inlineStr">
        <is>
          <t>CO2 conversion</t>
        </is>
      </c>
      <c r="F36" s="5" t="n">
        <v>9.699999999999999</v>
      </c>
      <c r="G36" s="5" t="inlineStr">
        <is>
          <t>%</t>
        </is>
      </c>
      <c r="H36" s="5" t="inlineStr">
        <is>
          <t>Fig. 6 and Results text</t>
        </is>
      </c>
      <c r="I36" s="5" t="n">
        <v>8</v>
      </c>
      <c r="J36" s="5" t="inlineStr">
        <is>
          <t>mixed</t>
        </is>
      </c>
      <c r="K36" s="5" t="inlineStr"/>
      <c r="L36" s="5" t="inlineStr">
        <is>
          <t>pdf/Frei_2019_Atomic-scale engineering of indium oxide promotion by palladium for methanol pro.pdf</t>
        </is>
      </c>
      <c r="M36" s="5" t="inlineStr">
        <is>
          <t>si/10_1038_s41467_019_11349_9__si1.pdf; si/10_1038_s41467_019_11349_9__si2.pdf</t>
        </is>
      </c>
      <c r="N36" s="22" t="inlineStr">
        <is>
          <t>Frei 2019, 500-h stability paragraph near Fig.6</t>
        </is>
      </c>
      <c r="O36" s="22" t="inlineStr">
        <is>
          <t>9.7% CO₂ conversion at start</t>
        </is>
      </c>
      <c r="P36" s="22" t="inlineStr">
        <is>
          <t>Y</t>
        </is>
      </c>
      <c r="Q36" s="22" t="inlineStr">
        <is>
          <t>correct</t>
        </is>
      </c>
      <c r="R36" s="22" t="inlineStr">
        <is>
          <t>AI草稿/待复签。为稳定性起点数值，不是图中全部测量点的均值</t>
        </is>
      </c>
    </row>
    <row r="37" ht="32" customHeight="1">
      <c r="A37" s="5" t="n">
        <v>36</v>
      </c>
      <c r="B37" s="5" t="inlineStr">
        <is>
          <t>10.1038/s41467-019-11349-9</t>
        </is>
      </c>
      <c r="C37" s="5" t="inlineStr">
        <is>
          <t>CP</t>
        </is>
      </c>
      <c r="D37" s="5" t="inlineStr">
        <is>
          <t>Fig. 6/text Pd–In2O3 CP stability, start</t>
        </is>
      </c>
      <c r="E37" s="5" t="inlineStr">
        <is>
          <t>H2/CO2</t>
        </is>
      </c>
      <c r="F37" s="5" t="n">
        <v>4</v>
      </c>
      <c r="G37" s="5" t="inlineStr">
        <is>
          <t>mol/mol</t>
        </is>
      </c>
      <c r="H37" s="5" t="inlineStr">
        <is>
          <t>Fig. 6 and Results text</t>
        </is>
      </c>
      <c r="I37" s="5" t="n">
        <v>8</v>
      </c>
      <c r="J37" s="5" t="n"/>
      <c r="K37" s="5" t="inlineStr"/>
      <c r="L37" s="5" t="inlineStr">
        <is>
          <t>pdf/Frei_2019_Atomic-scale engineering of indium oxide promotion by palladium for methanol pro.pdf</t>
        </is>
      </c>
      <c r="M37" s="5" t="inlineStr">
        <is>
          <t>si/10_1038_s41467_019_11349_9__si1.pdf; si/10_1038_s41467_019_11349_9__si2.pdf</t>
        </is>
      </c>
      <c r="N37" s="22" t="inlineStr">
        <is>
          <t>Frei 2019, Fig.6 caption</t>
        </is>
      </c>
      <c r="O37" s="22" t="inlineStr">
        <is>
          <t>H₂:CO₂ = 4:1</t>
        </is>
      </c>
      <c r="P37" s="22" t="inlineStr">
        <is>
          <t>Y</t>
        </is>
      </c>
      <c r="Q37" s="22" t="inlineStr">
        <is>
          <t>correct</t>
        </is>
      </c>
      <c r="R37" s="22" t="inlineStr">
        <is>
          <t>AI草稿/待复签。原文 H₂:CO₂=4，比值4</t>
        </is>
      </c>
    </row>
    <row r="38" ht="32" customHeight="1">
      <c r="A38" s="5" t="n">
        <v>37</v>
      </c>
      <c r="B38" s="5" t="inlineStr">
        <is>
          <t>10.1038/s41467-019-11349-9</t>
        </is>
      </c>
      <c r="C38" s="5" t="inlineStr">
        <is>
          <t>CP</t>
        </is>
      </c>
      <c r="D38" s="5" t="inlineStr">
        <is>
          <t>Fig. 6/text Pd–In2O3 CP stability, after 500 h</t>
        </is>
      </c>
      <c r="E38" s="5" t="inlineStr">
        <is>
          <t>CO2 conversion</t>
        </is>
      </c>
      <c r="F38" s="5" t="n">
        <v>9.199999999999999</v>
      </c>
      <c r="G38" s="5" t="inlineStr">
        <is>
          <t>%</t>
        </is>
      </c>
      <c r="H38" s="5" t="inlineStr">
        <is>
          <t>Fig. 6 and Results text</t>
        </is>
      </c>
      <c r="I38" s="5" t="n">
        <v>8</v>
      </c>
      <c r="J38" s="5" t="inlineStr">
        <is>
          <t>mixed</t>
        </is>
      </c>
      <c r="K38" s="5" t="inlineStr"/>
      <c r="L38" s="5" t="inlineStr">
        <is>
          <t>pdf/Frei_2019_Atomic-scale engineering of indium oxide promotion by palladium for methanol pro.pdf</t>
        </is>
      </c>
      <c r="M38" s="5" t="inlineStr">
        <is>
          <t>si/10_1038_s41467_019_11349_9__si1.pdf; si/10_1038_s41467_019_11349_9__si2.pdf</t>
        </is>
      </c>
      <c r="N38" s="22" t="inlineStr">
        <is>
          <t>Frei 2019, 500-h stability paragraph</t>
        </is>
      </c>
      <c r="O38" s="22" t="inlineStr">
        <is>
          <t>9.2% CO₂ conversion after 200 h</t>
        </is>
      </c>
      <c r="P38" s="22" t="inlineStr">
        <is>
          <t>Y</t>
        </is>
      </c>
      <c r="Q38" s="22" t="inlineStr">
        <is>
          <t>correct</t>
        </is>
      </c>
      <c r="R38" s="22" t="inlineStr">
        <is>
          <t>AI草稿/待复签。原文指出前200h由9.7%降至9.2%，其后维持至500h；原“after 500h”应写作后期稳定值</t>
        </is>
      </c>
    </row>
    <row r="39" ht="32" customHeight="1">
      <c r="A39" s="5" t="n">
        <v>38</v>
      </c>
      <c r="B39" s="5" t="inlineStr">
        <is>
          <t>10.1038/s41467-019-11349-9</t>
        </is>
      </c>
      <c r="C39" s="5" t="inlineStr">
        <is>
          <t>CP</t>
        </is>
      </c>
      <c r="D39" s="5" t="inlineStr">
        <is>
          <t>Fig. 6/text Pd–In2O3 CP stability, start</t>
        </is>
      </c>
      <c r="E39" s="5" t="inlineStr">
        <is>
          <t>temperature</t>
        </is>
      </c>
      <c r="F39" s="5" t="n">
        <v>279.85</v>
      </c>
      <c r="G39" s="5" t="inlineStr">
        <is>
          <t>°C (from K)</t>
        </is>
      </c>
      <c r="H39" s="5" t="inlineStr">
        <is>
          <t>Fig. 6 and Results text</t>
        </is>
      </c>
      <c r="I39" s="5" t="n">
        <v>8</v>
      </c>
      <c r="J39" s="5" t="n"/>
      <c r="K39" s="5" t="inlineStr"/>
      <c r="L39" s="5" t="inlineStr">
        <is>
          <t>pdf/Frei_2019_Atomic-scale engineering of indium oxide promotion by palladium for methanol pro.pdf</t>
        </is>
      </c>
      <c r="M39" s="5" t="inlineStr">
        <is>
          <t>si/10_1038_s41467_019_11349_9__si1.pdf; si/10_1038_s41467_019_11349_9__si2.pdf</t>
        </is>
      </c>
      <c r="N39" s="22" t="inlineStr">
        <is>
          <t>Frei 2019, Fig.6 caption and main text</t>
        </is>
      </c>
      <c r="O39" s="22" t="inlineStr">
        <is>
          <t>553 K = 279.85 °C</t>
        </is>
      </c>
      <c r="P39" s="22" t="inlineStr">
        <is>
          <t>Y</t>
        </is>
      </c>
      <c r="Q39" s="22" t="inlineStr">
        <is>
          <t>correct</t>
        </is>
      </c>
      <c r="R39" s="22" t="inlineStr">
        <is>
          <t>AI草稿/待复签。原文553 K；摄氏温度为推算值，280 °C为常用四舍五入</t>
        </is>
      </c>
    </row>
    <row r="40" ht="32" customHeight="1">
      <c r="A40" s="5" t="n">
        <v>39</v>
      </c>
      <c r="B40" s="5" t="inlineStr">
        <is>
          <t>10.1038/s41467-019-11349-9</t>
        </is>
      </c>
      <c r="C40" s="5" t="inlineStr">
        <is>
          <t>CP</t>
        </is>
      </c>
      <c r="D40" s="5" t="inlineStr">
        <is>
          <t>Fig. 6/text Pd–In2O3 CP stability, start</t>
        </is>
      </c>
      <c r="E40" s="5" t="inlineStr">
        <is>
          <t>pressure</t>
        </is>
      </c>
      <c r="F40" s="5" t="n">
        <v>50</v>
      </c>
      <c r="G40" s="5" t="inlineStr">
        <is>
          <t>bar</t>
        </is>
      </c>
      <c r="H40" s="5" t="inlineStr">
        <is>
          <t>Fig. 6 and Results text</t>
        </is>
      </c>
      <c r="I40" s="5" t="n">
        <v>8</v>
      </c>
      <c r="J40" s="5" t="n"/>
      <c r="K40" s="5" t="inlineStr"/>
      <c r="L40" s="5" t="inlineStr">
        <is>
          <t>pdf/Frei_2019_Atomic-scale engineering of indium oxide promotion by palladium for methanol pro.pdf</t>
        </is>
      </c>
      <c r="M40" s="5" t="inlineStr">
        <is>
          <t>si/10_1038_s41467_019_11349_9__si1.pdf; si/10_1038_s41467_019_11349_9__si2.pdf</t>
        </is>
      </c>
      <c r="N40" s="22" t="inlineStr">
        <is>
          <t>Frei 2019, 500-h Fig.6 text / experimental conditions</t>
        </is>
      </c>
      <c r="O40" s="22" t="inlineStr">
        <is>
          <t>5 MPa = 50 bar</t>
        </is>
      </c>
      <c r="P40" s="22" t="inlineStr">
        <is>
          <t>Y</t>
        </is>
      </c>
      <c r="Q40" s="22" t="inlineStr">
        <is>
          <t>correct</t>
        </is>
      </c>
      <c r="R40" s="22" t="inlineStr">
        <is>
          <t>AI草稿/待复签。可从正文确认 5 MPa；原 Excel 将该工况挂在 Table 2，建议以 Fig.6 正文作为一手定位</t>
        </is>
      </c>
    </row>
    <row r="41" ht="32" customHeight="1">
      <c r="A41" s="5" t="n">
        <v>40</v>
      </c>
      <c r="B41" s="5" t="inlineStr">
        <is>
          <t>10.1038/s41467-019-11349-9</t>
        </is>
      </c>
      <c r="C41" s="5" t="inlineStr">
        <is>
          <t>Pd–In2O3 CP</t>
        </is>
      </c>
      <c r="D41" s="5" t="inlineStr">
        <is>
          <t>Table 2 Pd–In2O3 CP, WHSV 48,000 initial</t>
        </is>
      </c>
      <c r="E41" s="5" t="inlineStr">
        <is>
          <t>CO2 conversion</t>
        </is>
      </c>
      <c r="F41" s="5" t="n">
        <v>9.699999999999999</v>
      </c>
      <c r="G41" s="5" t="inlineStr">
        <is>
          <t>%</t>
        </is>
      </c>
      <c r="H41" s="5" t="inlineStr">
        <is>
          <t>Table 2</t>
        </is>
      </c>
      <c r="I41" s="5" t="n">
        <v>9</v>
      </c>
      <c r="J41" s="5" t="inlineStr">
        <is>
          <t>mixed</t>
        </is>
      </c>
      <c r="K41" s="5" t="inlineStr"/>
      <c r="L41" s="5" t="inlineStr">
        <is>
          <t>pdf/Frei_2019_Atomic-scale engineering of indium oxide promotion by palladium for methanol pro.pdf</t>
        </is>
      </c>
      <c r="M41" s="5" t="inlineStr">
        <is>
          <t>si/10_1038_s41467_019_11349_9__si1.pdf; si/10_1038_s41467_019_11349_9__si2.pdf</t>
        </is>
      </c>
      <c r="N41" s="22" t="inlineStr">
        <is>
          <t>原文 PDF p8 Fig.6 相邻正文（而非 Table 2）</t>
        </is>
      </c>
      <c r="O41" s="22" t="inlineStr">
        <is>
          <t>9.7% (原文正文描述500 h stability实验)</t>
        </is>
      </c>
      <c r="P41" s="22" t="inlineStr">
        <is>
          <t>Y</t>
        </is>
      </c>
      <c r="Q41" s="22" t="inlineStr">
        <is>
          <t>correct</t>
        </is>
      </c>
      <c r="R41" s="22" t="inlineStr">
        <is>
          <t>数值相符；定位Table2错→Fig6附近正文；人工须核具体实验点。</t>
        </is>
      </c>
    </row>
    <row r="42" ht="32" customHeight="1">
      <c r="A42" s="5" t="n">
        <v>41</v>
      </c>
      <c r="B42" s="5" t="inlineStr">
        <is>
          <t>10.1126/sciadv.aaz2060</t>
        </is>
      </c>
      <c r="C42" s="5" t="inlineStr">
        <is>
          <t>h–In2O3-R</t>
        </is>
      </c>
      <c r="D42" s="5" t="inlineStr">
        <is>
          <t>Fig. 5B/C, h–In2O3-R, 240°C, standard feed</t>
        </is>
      </c>
      <c r="E42" s="5" t="inlineStr">
        <is>
          <t>space velocity</t>
        </is>
      </c>
      <c r="F42" s="5" t="inlineStr">
        <is>
          <t>9000 ml gcat−1 hour−1</t>
        </is>
      </c>
      <c r="G42" s="5" t="inlineStr">
        <is>
          <t>as printed</t>
        </is>
      </c>
      <c r="H42" s="5" t="inlineStr">
        <is>
          <t>Figure 5B and Figure 5C</t>
        </is>
      </c>
      <c r="I42" s="5" t="n">
        <v>7</v>
      </c>
      <c r="J42" s="5" t="inlineStr">
        <is>
          <t>mixed</t>
        </is>
      </c>
      <c r="K42" s="5" t="inlineStr"/>
      <c r="L42" s="5" t="inlineStr">
        <is>
          <t>pdf/Dang_2020_Rationally designed indium oxide catalysts for CO 2 hydrogenation to methanol wi.pdf</t>
        </is>
      </c>
      <c r="M42" s="5" t="inlineStr">
        <is>
          <t>si/10_1126_sciadv_aaz2060__si1.pdf</t>
        </is>
      </c>
      <c r="N42" s="22" t="inlineStr">
        <is>
          <t>原文PDF p7 Fig5图注 标准实验条件</t>
        </is>
      </c>
      <c r="O42" s="22" t="inlineStr">
        <is>
          <t>9000 mL gcat⁻¹ h⁻¹</t>
        </is>
      </c>
      <c r="P42" s="22" t="inlineStr">
        <is>
          <t>Y</t>
        </is>
      </c>
      <c r="Q42" s="22" t="inlineStr">
        <is>
          <t>correct</t>
        </is>
      </c>
      <c r="R42" s="22" t="inlineStr">
        <is>
          <t>AI草稿/待复签。这是该组图各子图共用的GHSV，不是由柱状图读出的速率。</t>
        </is>
      </c>
    </row>
    <row r="43" ht="32" customHeight="1">
      <c r="A43" s="5" t="n">
        <v>42</v>
      </c>
      <c r="B43" s="5" t="inlineStr">
        <is>
          <t>10.1126/sciadv.aaz2060</t>
        </is>
      </c>
      <c r="C43" s="5" t="inlineStr">
        <is>
          <t>h–In2O3-R</t>
        </is>
      </c>
      <c r="D43" s="5" t="inlineStr">
        <is>
          <t>Fig. 5E/text, h–In2O3-R stability, initial</t>
        </is>
      </c>
      <c r="E43" s="5" t="inlineStr">
        <is>
          <t>CH3OH selectivity</t>
        </is>
      </c>
      <c r="F43" s="5" t="n">
        <v>71</v>
      </c>
      <c r="G43" s="5" t="inlineStr">
        <is>
          <t>%</t>
        </is>
      </c>
      <c r="H43" s="5" t="inlineStr">
        <is>
          <t>Figure 5E and text on page 6</t>
        </is>
      </c>
      <c r="I43" s="5" t="n">
        <v>7</v>
      </c>
      <c r="J43" s="5" t="inlineStr">
        <is>
          <t>mixed</t>
        </is>
      </c>
      <c r="K43" s="5" t="inlineStr"/>
      <c r="L43" s="5" t="inlineStr">
        <is>
          <t>pdf/Dang_2020_Rationally designed indium oxide catalysts for CO 2 hydrogenation to methanol wi.pdf</t>
        </is>
      </c>
      <c r="M43" s="5" t="inlineStr">
        <is>
          <t>si/10_1126_sciadv_aaz2060__si1.pdf</t>
        </is>
      </c>
      <c r="N43" s="22" t="inlineStr">
        <is>
          <t>原文PDF p6 Fig5E相关正文稳定性讨论</t>
        </is>
      </c>
      <c r="O43" s="22" t="inlineStr">
        <is>
          <t>Methanol selectivity from 71% to 85% during first 44 h</t>
        </is>
      </c>
      <c r="P43" s="22" t="inlineStr">
        <is>
          <t>Y</t>
        </is>
      </c>
      <c r="Q43" s="22" t="inlineStr">
        <is>
          <t>correct</t>
        </is>
      </c>
      <c r="R43" s="22" t="inlineStr">
        <is>
          <t>AI草稿/待复签。71%确实写在正文中，是初始选择性，不是曲线读图估计。</t>
        </is>
      </c>
    </row>
    <row r="44" ht="32" customHeight="1">
      <c r="A44" s="5" t="n">
        <v>43</v>
      </c>
      <c r="B44" s="5" t="inlineStr">
        <is>
          <t>10.1126/sciadv.aaz2060</t>
        </is>
      </c>
      <c r="C44" s="5" t="inlineStr">
        <is>
          <t>h–In2O3-R</t>
        </is>
      </c>
      <c r="D44" s="5" t="inlineStr">
        <is>
          <t>Fig. 5B/C, h–In2O3-R, 240°C, standard feed</t>
        </is>
      </c>
      <c r="E44" s="5" t="inlineStr">
        <is>
          <t>temperature</t>
        </is>
      </c>
      <c r="F44" s="5" t="n">
        <v>240</v>
      </c>
      <c r="G44" s="5" t="inlineStr">
        <is>
          <t>°C (from K)</t>
        </is>
      </c>
      <c r="H44" s="5" t="inlineStr">
        <is>
          <t>Figure 5B and Figure 5C</t>
        </is>
      </c>
      <c r="I44" s="5" t="n">
        <v>7</v>
      </c>
      <c r="J44" s="5" t="n"/>
      <c r="K44" s="5" t="inlineStr"/>
      <c r="L44" s="5" t="inlineStr">
        <is>
          <t>pdf/Dang_2020_Rationally designed indium oxide catalysts for CO 2 hydrogenation to methanol wi.pdf</t>
        </is>
      </c>
      <c r="M44" s="5" t="inlineStr">
        <is>
          <t>si/10_1126_sciadv_aaz2060__si1.pdf</t>
        </is>
      </c>
      <c r="N44" s="22" t="inlineStr">
        <is>
          <t>原文PDF p6 Fig5B/C 正文指出240°C→360°C；图p7</t>
        </is>
      </c>
      <c r="O44" s="22" t="inlineStr">
        <is>
          <t>240°C/360°C（温度扫描端点）</t>
        </is>
      </c>
      <c r="P44" s="22" t="inlineStr">
        <is>
          <t>Y</t>
        </is>
      </c>
      <c r="Q44" s="22" t="inlineStr">
        <is>
          <t>correct</t>
        </is>
      </c>
      <c r="R44" s="22" t="inlineStr">
        <is>
          <t>AI草稿/待复签。温度系列端点在正文中明确写出，可不依赖图像数字化。</t>
        </is>
      </c>
    </row>
    <row r="45" ht="32" customHeight="1">
      <c r="A45" s="5" t="n">
        <v>44</v>
      </c>
      <c r="B45" s="5" t="inlineStr">
        <is>
          <t>10.1126/sciadv.aaz2060</t>
        </is>
      </c>
      <c r="C45" s="5" t="inlineStr">
        <is>
          <t>h–In2O3-R</t>
        </is>
      </c>
      <c r="D45" s="5" t="inlineStr">
        <is>
          <t>Fig. 5E/text, h–In2O3-R stability, 44 h</t>
        </is>
      </c>
      <c r="E45" s="5" t="inlineStr">
        <is>
          <t>pressure</t>
        </is>
      </c>
      <c r="F45" s="5" t="n">
        <v>50</v>
      </c>
      <c r="G45" s="5" t="inlineStr">
        <is>
          <t>bar</t>
        </is>
      </c>
      <c r="H45" s="5" t="inlineStr">
        <is>
          <t>Figure 5E and text on page 6</t>
        </is>
      </c>
      <c r="I45" s="5" t="n">
        <v>7</v>
      </c>
      <c r="J45" s="5" t="n"/>
      <c r="K45" s="5" t="inlineStr"/>
      <c r="L45" s="5" t="inlineStr">
        <is>
          <t>pdf/Dang_2020_Rationally designed indium oxide catalysts for CO 2 hydrogenation to methanol wi.pdf</t>
        </is>
      </c>
      <c r="M45" s="5" t="inlineStr">
        <is>
          <t>si/10_1126_sciadv_aaz2060__si1.pdf</t>
        </is>
      </c>
      <c r="N45" s="22" t="inlineStr">
        <is>
          <t>原文PDF p7 Fig5图注 标准压力5.0 MPa</t>
        </is>
      </c>
      <c r="O45" s="22" t="inlineStr">
        <is>
          <t>5.0 MPa = 50 bar</t>
        </is>
      </c>
      <c r="P45" s="22" t="inlineStr">
        <is>
          <t>Y</t>
        </is>
      </c>
      <c r="Q45" s="22" t="inlineStr">
        <is>
          <t>correct</t>
        </is>
      </c>
      <c r="R45" s="22" t="inlineStr">
        <is>
          <t>AI草稿/待复签。主文打印MPa，Excel为bar；44h、起点和360°C共用条件，不能说原文写50bar。</t>
        </is>
      </c>
    </row>
    <row r="46" ht="32" customHeight="1">
      <c r="A46" s="5" t="n">
        <v>45</v>
      </c>
      <c r="B46" s="5" t="inlineStr">
        <is>
          <t>10.1126/sciadv.aaz2060</t>
        </is>
      </c>
      <c r="C46" s="5" t="inlineStr">
        <is>
          <t>h–In2O3-R</t>
        </is>
      </c>
      <c r="D46" s="5" t="inlineStr">
        <is>
          <t>Fig. 5E/text, h–In2O3-R stability, initial</t>
        </is>
      </c>
      <c r="E46" s="5" t="inlineStr">
        <is>
          <t>H2/CO2</t>
        </is>
      </c>
      <c r="F46" s="5" t="n">
        <v>3.041666666666667</v>
      </c>
      <c r="G46" s="5" t="inlineStr">
        <is>
          <t>mol/mol</t>
        </is>
      </c>
      <c r="H46" s="5" t="inlineStr">
        <is>
          <t>Figure 5E and text on page 6</t>
        </is>
      </c>
      <c r="I46" s="5" t="n">
        <v>7</v>
      </c>
      <c r="J46" s="5" t="n"/>
      <c r="K46" s="5" t="inlineStr"/>
      <c r="L46" s="5" t="inlineStr">
        <is>
          <t>pdf/Dang_2020_Rationally designed indium oxide catalysts for CO 2 hydrogenation to methanol wi.pdf</t>
        </is>
      </c>
      <c r="M46" s="5" t="inlineStr">
        <is>
          <t>si/10_1126_sciadv_aaz2060__si1.pdf</t>
        </is>
      </c>
      <c r="N46" s="22" t="inlineStr">
        <is>
          <t>原文PDF p7 Fig5图注</t>
        </is>
      </c>
      <c r="O46" s="22" t="inlineStr">
        <is>
          <t>H₂:CO₂:N₂ = 73:24:3 → H₂/CO₂ = 73/24</t>
        </is>
      </c>
      <c r="P46" s="22" t="inlineStr">
        <is>
          <t>N</t>
        </is>
      </c>
      <c r="Q46" s="22" t="inlineStr"/>
      <c r="R46" s="22" t="inlineStr">
        <is>
          <t>AI草稿/待复签。3.0416666667不是印刷数字；应标记为derived。保留H₂/CO₂比同时不忘进料还含N₂。</t>
        </is>
      </c>
    </row>
    <row r="47" ht="32" customHeight="1">
      <c r="A47" s="5" t="n">
        <v>46</v>
      </c>
      <c r="B47" s="5" t="inlineStr">
        <is>
          <t>10.1126/sciadv.aaz2060</t>
        </is>
      </c>
      <c r="C47" s="5" t="inlineStr">
        <is>
          <t>h–In2O3-R</t>
        </is>
      </c>
      <c r="D47" s="5" t="inlineStr">
        <is>
          <t>Fig. 5E/text, h–In2O3-R stability, initial</t>
        </is>
      </c>
      <c r="E47" s="5" t="inlineStr">
        <is>
          <t>pressure</t>
        </is>
      </c>
      <c r="F47" s="5" t="n">
        <v>50</v>
      </c>
      <c r="G47" s="5" t="inlineStr">
        <is>
          <t>bar</t>
        </is>
      </c>
      <c r="H47" s="5" t="inlineStr">
        <is>
          <t>Figure 5E and text on page 6</t>
        </is>
      </c>
      <c r="I47" s="5" t="n">
        <v>7</v>
      </c>
      <c r="J47" s="5" t="n"/>
      <c r="K47" s="5" t="inlineStr"/>
      <c r="L47" s="5" t="inlineStr">
        <is>
          <t>pdf/Dang_2020_Rationally designed indium oxide catalysts for CO 2 hydrogenation to methanol wi.pdf</t>
        </is>
      </c>
      <c r="M47" s="5" t="inlineStr">
        <is>
          <t>si/10_1126_sciadv_aaz2060__si1.pdf</t>
        </is>
      </c>
      <c r="N47" s="22" t="inlineStr">
        <is>
          <t>原文PDF p7 Fig5图注 标准压力5.0 MPa</t>
        </is>
      </c>
      <c r="O47" s="22" t="inlineStr">
        <is>
          <t>5.0 MPa = 50 bar</t>
        </is>
      </c>
      <c r="P47" s="22" t="inlineStr">
        <is>
          <t>Y</t>
        </is>
      </c>
      <c r="Q47" s="22" t="inlineStr">
        <is>
          <t>correct</t>
        </is>
      </c>
      <c r="R47" s="22" t="inlineStr">
        <is>
          <t>AI草稿/待复签。主文打印MPa，Excel为bar；44h、起点和360°C共用条件，不能说原文写50bar。</t>
        </is>
      </c>
    </row>
    <row r="48" ht="32" customHeight="1">
      <c r="A48" s="5" t="n">
        <v>47</v>
      </c>
      <c r="B48" s="5" t="inlineStr">
        <is>
          <t>10.1126/sciadv.aaz2060</t>
        </is>
      </c>
      <c r="C48" s="5" t="inlineStr">
        <is>
          <t>h–In2O3-R</t>
        </is>
      </c>
      <c r="D48" s="5" t="inlineStr">
        <is>
          <t>Fig. 5E/text, h–In2O3-R stability, 44 h</t>
        </is>
      </c>
      <c r="E48" s="5" t="inlineStr">
        <is>
          <t>space velocity</t>
        </is>
      </c>
      <c r="F48" s="5" t="inlineStr">
        <is>
          <t>9000 ml gcat−1 hour−1</t>
        </is>
      </c>
      <c r="G48" s="5" t="inlineStr">
        <is>
          <t>as printed</t>
        </is>
      </c>
      <c r="H48" s="5" t="inlineStr">
        <is>
          <t>Figure 5E and text on page 6</t>
        </is>
      </c>
      <c r="I48" s="5" t="n">
        <v>7</v>
      </c>
      <c r="J48" s="5" t="inlineStr">
        <is>
          <t>mixed</t>
        </is>
      </c>
      <c r="K48" s="5" t="inlineStr"/>
      <c r="L48" s="5" t="inlineStr">
        <is>
          <t>pdf/Dang_2020_Rationally designed indium oxide catalysts for CO 2 hydrogenation to methanol wi.pdf</t>
        </is>
      </c>
      <c r="M48" s="5" t="inlineStr">
        <is>
          <t>si/10_1126_sciadv_aaz2060__si1.pdf</t>
        </is>
      </c>
      <c r="N48" s="22" t="inlineStr">
        <is>
          <t>原文PDF p7 Fig5图注 标准实验条件</t>
        </is>
      </c>
      <c r="O48" s="22" t="inlineStr">
        <is>
          <t>9000 mL gcat⁻¹ h⁻¹</t>
        </is>
      </c>
      <c r="P48" s="22" t="inlineStr">
        <is>
          <t>Y</t>
        </is>
      </c>
      <c r="Q48" s="22" t="inlineStr">
        <is>
          <t>correct</t>
        </is>
      </c>
      <c r="R48" s="22" t="inlineStr">
        <is>
          <t>AI草稿/待复签。这是该组图各子图共用的GHSV，不是由柱状图读出的速率。</t>
        </is>
      </c>
    </row>
    <row r="49" ht="32" customHeight="1">
      <c r="A49" s="5" t="n">
        <v>48</v>
      </c>
      <c r="B49" s="5" t="inlineStr">
        <is>
          <t>10.1126/sciadv.aaz2060</t>
        </is>
      </c>
      <c r="C49" s="5" t="inlineStr">
        <is>
          <t>h–In2O3-R</t>
        </is>
      </c>
      <c r="D49" s="5" t="inlineStr">
        <is>
          <t>Fig. 5B/C, h–In2O3-R, 360°C, standard feed</t>
        </is>
      </c>
      <c r="E49" s="5" t="inlineStr">
        <is>
          <t>temperature</t>
        </is>
      </c>
      <c r="F49" s="5" t="n">
        <v>360</v>
      </c>
      <c r="G49" s="5" t="inlineStr">
        <is>
          <t>°C (from K)</t>
        </is>
      </c>
      <c r="H49" s="5" t="inlineStr">
        <is>
          <t>Figure 5B and Figure 5C</t>
        </is>
      </c>
      <c r="I49" s="5" t="n">
        <v>7</v>
      </c>
      <c r="J49" s="5" t="n"/>
      <c r="K49" s="5" t="inlineStr"/>
      <c r="L49" s="5" t="inlineStr">
        <is>
          <t>pdf/Dang_2020_Rationally designed indium oxide catalysts for CO 2 hydrogenation to methanol wi.pdf</t>
        </is>
      </c>
      <c r="M49" s="5" t="inlineStr">
        <is>
          <t>si/10_1126_sciadv_aaz2060__si1.pdf</t>
        </is>
      </c>
      <c r="N49" s="22" t="inlineStr">
        <is>
          <t>原文PDF p6 Fig5B/C 正文指出240°C→360°C；图p7</t>
        </is>
      </c>
      <c r="O49" s="22" t="inlineStr">
        <is>
          <t>240°C/360°C（温度扫描端点）</t>
        </is>
      </c>
      <c r="P49" s="22" t="inlineStr">
        <is>
          <t>Y</t>
        </is>
      </c>
      <c r="Q49" s="22" t="inlineStr">
        <is>
          <t>correct</t>
        </is>
      </c>
      <c r="R49" s="22" t="inlineStr">
        <is>
          <t>AI草稿/待复签。温度系列端点在正文中明确写出，可不依赖图像数字化。</t>
        </is>
      </c>
    </row>
    <row r="50" ht="32" customHeight="1">
      <c r="A50" s="5" t="n">
        <v>49</v>
      </c>
      <c r="B50" s="5" t="inlineStr">
        <is>
          <t>10.1126/sciadv.aaz2060</t>
        </is>
      </c>
      <c r="C50" s="5" t="inlineStr">
        <is>
          <t>h–In2O3-R</t>
        </is>
      </c>
      <c r="D50" s="5" t="inlineStr">
        <is>
          <t>Fig. 5B/C, h–In2O3-R, 360°C, standard feed</t>
        </is>
      </c>
      <c r="E50" s="5" t="inlineStr">
        <is>
          <t>CO2 conversion</t>
        </is>
      </c>
      <c r="F50" s="5" t="n">
        <v>15.4</v>
      </c>
      <c r="G50" s="5" t="inlineStr">
        <is>
          <t>%</t>
        </is>
      </c>
      <c r="H50" s="5" t="inlineStr">
        <is>
          <t>Figure 5B and Figure 5C</t>
        </is>
      </c>
      <c r="I50" s="5" t="n">
        <v>7</v>
      </c>
      <c r="J50" s="5" t="inlineStr">
        <is>
          <t>mixed</t>
        </is>
      </c>
      <c r="K50" s="5" t="inlineStr"/>
      <c r="L50" s="5" t="inlineStr">
        <is>
          <t>pdf/Dang_2020_Rationally designed indium oxide catalysts for CO 2 hydrogenation to methanol wi.pdf</t>
        </is>
      </c>
      <c r="M50" s="5" t="inlineStr">
        <is>
          <t>si/10_1126_sciadv_aaz2060__si1.pdf</t>
        </is>
      </c>
      <c r="N50" s="22" t="inlineStr">
        <is>
          <t>原文PDF p6 Fig5B温度扫描正文</t>
        </is>
      </c>
      <c r="O50" s="22" t="inlineStr">
        <is>
          <t>CO₂ conversion increases from 3.2% to 15.4%</t>
        </is>
      </c>
      <c r="P50" s="22" t="inlineStr">
        <is>
          <t>Y</t>
        </is>
      </c>
      <c r="Q50" s="22" t="inlineStr">
        <is>
          <t>correct</t>
        </is>
      </c>
      <c r="R50" s="22" t="inlineStr">
        <is>
          <t>AI草稿/待复签。15.4%在正文明确印刷；不应误判为Fig5B单纯读图值。</t>
        </is>
      </c>
    </row>
    <row r="51" ht="32" customHeight="1">
      <c r="A51" s="5" t="n">
        <v>50</v>
      </c>
      <c r="B51" s="5" t="inlineStr">
        <is>
          <t>10.1126/sciadv.aaz2060</t>
        </is>
      </c>
      <c r="C51" s="5" t="inlineStr">
        <is>
          <t>h–In2O3-R</t>
        </is>
      </c>
      <c r="D51" s="5" t="inlineStr">
        <is>
          <t>Fig. 5B/C, h–In2O3-R, 360°C, standard feed</t>
        </is>
      </c>
      <c r="E51" s="5" t="inlineStr">
        <is>
          <t>pressure</t>
        </is>
      </c>
      <c r="F51" s="5" t="n">
        <v>50</v>
      </c>
      <c r="G51" s="5" t="inlineStr">
        <is>
          <t>bar</t>
        </is>
      </c>
      <c r="H51" s="5" t="inlineStr">
        <is>
          <t>Figure 5B and Figure 5C</t>
        </is>
      </c>
      <c r="I51" s="5" t="n">
        <v>7</v>
      </c>
      <c r="J51" s="5" t="n"/>
      <c r="K51" s="5" t="inlineStr"/>
      <c r="L51" s="5" t="inlineStr">
        <is>
          <t>pdf/Dang_2020_Rationally designed indium oxide catalysts for CO 2 hydrogenation to methanol wi.pdf</t>
        </is>
      </c>
      <c r="M51" s="5" t="inlineStr">
        <is>
          <t>si/10_1126_sciadv_aaz2060__si1.pdf</t>
        </is>
      </c>
      <c r="N51" s="22" t="inlineStr">
        <is>
          <t>原文PDF p7 Fig5图注 标准压力5.0 MPa</t>
        </is>
      </c>
      <c r="O51" s="22" t="inlineStr">
        <is>
          <t>5.0 MPa = 50 bar</t>
        </is>
      </c>
      <c r="P51" s="22" t="inlineStr">
        <is>
          <t>Y</t>
        </is>
      </c>
      <c r="Q51" s="22" t="inlineStr">
        <is>
          <t>correct</t>
        </is>
      </c>
      <c r="R51" s="22" t="inlineStr">
        <is>
          <t>AI草稿/待复签。主文打印MPa，Excel为bar；44h、起点和360°C共用条件，不能说原文写50bar。</t>
        </is>
      </c>
    </row>
    <row r="52" ht="32" customHeight="1">
      <c r="A52" s="5" t="n">
        <v>51</v>
      </c>
      <c r="B52" s="5" t="inlineStr">
        <is>
          <t>10.1039/c5cy00372e</t>
        </is>
      </c>
      <c r="C52" s="5" t="inlineStr">
        <is>
          <t>CHT-Y0.1</t>
        </is>
      </c>
      <c r="D52" s="5" t="inlineStr">
        <is>
          <t>Table 6 row CHT-Y0.1</t>
        </is>
      </c>
      <c r="E52" s="5" t="inlineStr">
        <is>
          <t>temperature</t>
        </is>
      </c>
      <c r="F52" s="5" t="n">
        <v>229.85</v>
      </c>
      <c r="G52" s="5" t="inlineStr">
        <is>
          <t>°C (from K)</t>
        </is>
      </c>
      <c r="H52" s="5" t="inlineStr">
        <is>
          <t>Table 6</t>
        </is>
      </c>
      <c r="I52" s="5" t="n">
        <v>11</v>
      </c>
      <c r="J52" s="5" t="n"/>
      <c r="K52" s="5" t="inlineStr"/>
      <c r="L52" s="5" t="inlineStr">
        <is>
          <t>pdf/Gao_2015_Yttrium oxide modified CuZnOAl 2 O 3 catalysts via hydrotalcite-like precursors.pdf</t>
        </is>
      </c>
      <c r="M52" s="5" t="inlineStr">
        <is>
          <t>si/10_1039_c5cy00372e__si1.pdf; si/10_1039_c5cy00372e__si2.pdf</t>
        </is>
      </c>
      <c r="N52" s="6" t="inlineStr"/>
      <c r="O52" s="6" t="inlineStr"/>
      <c r="P52" s="6" t="inlineStr"/>
      <c r="Q52" s="6" t="inlineStr"/>
      <c r="R52" s="6" t="inlineStr"/>
    </row>
    <row r="53" ht="32" customHeight="1">
      <c r="A53" s="5" t="n">
        <v>52</v>
      </c>
      <c r="B53" s="5" t="inlineStr">
        <is>
          <t>10.1039/c5cy00372e</t>
        </is>
      </c>
      <c r="C53" s="5" t="inlineStr">
        <is>
          <t>CHT-Y0.5</t>
        </is>
      </c>
      <c r="D53" s="5" t="inlineStr">
        <is>
          <t>Table 6 row CHT-Y0.5</t>
        </is>
      </c>
      <c r="E53" s="5" t="inlineStr">
        <is>
          <t>CO selectivity</t>
        </is>
      </c>
      <c r="F53" s="5" t="n">
        <v>33.1</v>
      </c>
      <c r="G53" s="5" t="inlineStr">
        <is>
          <t>%</t>
        </is>
      </c>
      <c r="H53" s="5" t="inlineStr">
        <is>
          <t>Table 6</t>
        </is>
      </c>
      <c r="I53" s="5" t="n">
        <v>11</v>
      </c>
      <c r="J53" s="5" t="inlineStr">
        <is>
          <t>table</t>
        </is>
      </c>
      <c r="K53" s="5" t="inlineStr"/>
      <c r="L53" s="5" t="inlineStr">
        <is>
          <t>pdf/Gao_2015_Yttrium oxide modified CuZnOAl 2 O 3 catalysts via hydrotalcite-like precursors.pdf</t>
        </is>
      </c>
      <c r="M53" s="5" t="inlineStr">
        <is>
          <t>si/10_1039_c5cy00372e__si1.pdf; si/10_1039_c5cy00372e__si2.pdf</t>
        </is>
      </c>
      <c r="N53" s="6" t="inlineStr"/>
      <c r="O53" s="6" t="inlineStr"/>
      <c r="P53" s="6" t="inlineStr"/>
      <c r="Q53" s="6" t="inlineStr"/>
      <c r="R53" s="6" t="inlineStr"/>
    </row>
    <row r="54" ht="32" customHeight="1">
      <c r="A54" s="5" t="n">
        <v>53</v>
      </c>
      <c r="B54" s="5" t="inlineStr">
        <is>
          <t>10.1039/c5cy00372e</t>
        </is>
      </c>
      <c r="C54" s="5" t="inlineStr">
        <is>
          <t>CHT-Y0.05</t>
        </is>
      </c>
      <c r="D54" s="5" t="inlineStr">
        <is>
          <t>Table 6 row CHT-Y0.05</t>
        </is>
      </c>
      <c r="E54" s="5" t="inlineStr">
        <is>
          <t>CH4 selectivity</t>
        </is>
      </c>
      <c r="F54" s="5" t="n">
        <v>0.2</v>
      </c>
      <c r="G54" s="5" t="inlineStr">
        <is>
          <t>%</t>
        </is>
      </c>
      <c r="H54" s="5" t="inlineStr">
        <is>
          <t>Table 6</t>
        </is>
      </c>
      <c r="I54" s="5" t="n">
        <v>11</v>
      </c>
      <c r="J54" s="5" t="inlineStr">
        <is>
          <t>table</t>
        </is>
      </c>
      <c r="K54" s="5" t="inlineStr"/>
      <c r="L54" s="5" t="inlineStr">
        <is>
          <t>pdf/Gao_2015_Yttrium oxide modified CuZnOAl 2 O 3 catalysts via hydrotalcite-like precursors.pdf</t>
        </is>
      </c>
      <c r="M54" s="5" t="inlineStr">
        <is>
          <t>si/10_1039_c5cy00372e__si1.pdf; si/10_1039_c5cy00372e__si2.pdf</t>
        </is>
      </c>
      <c r="N54" s="6" t="inlineStr"/>
      <c r="O54" s="6" t="inlineStr"/>
      <c r="P54" s="6" t="inlineStr"/>
      <c r="Q54" s="6" t="inlineStr"/>
      <c r="R54" s="6" t="inlineStr"/>
    </row>
    <row r="55" ht="32" customHeight="1">
      <c r="A55" s="5" t="n">
        <v>54</v>
      </c>
      <c r="B55" s="5" t="inlineStr">
        <is>
          <t>10.1039/c5cy00372e</t>
        </is>
      </c>
      <c r="C55" s="5" t="inlineStr">
        <is>
          <t>CHT-Y0</t>
        </is>
      </c>
      <c r="D55" s="5" t="inlineStr">
        <is>
          <t>Table 6 row CHT-Y0</t>
        </is>
      </c>
      <c r="E55" s="5" t="inlineStr">
        <is>
          <t>CO selectivity</t>
        </is>
      </c>
      <c r="F55" s="5" t="n">
        <v>41.6</v>
      </c>
      <c r="G55" s="5" t="inlineStr">
        <is>
          <t>%</t>
        </is>
      </c>
      <c r="H55" s="5" t="inlineStr">
        <is>
          <t>Table 6</t>
        </is>
      </c>
      <c r="I55" s="5" t="n">
        <v>11</v>
      </c>
      <c r="J55" s="5" t="inlineStr">
        <is>
          <t>table</t>
        </is>
      </c>
      <c r="K55" s="5" t="inlineStr"/>
      <c r="L55" s="5" t="inlineStr">
        <is>
          <t>pdf/Gao_2015_Yttrium oxide modified CuZnOAl 2 O 3 catalysts via hydrotalcite-like precursors.pdf</t>
        </is>
      </c>
      <c r="M55" s="5" t="inlineStr">
        <is>
          <t>si/10_1039_c5cy00372e__si1.pdf; si/10_1039_c5cy00372e__si2.pdf</t>
        </is>
      </c>
      <c r="N55" s="6" t="inlineStr"/>
      <c r="O55" s="6" t="inlineStr"/>
      <c r="P55" s="6" t="inlineStr"/>
      <c r="Q55" s="6" t="inlineStr"/>
      <c r="R55" s="6" t="inlineStr"/>
    </row>
    <row r="56" ht="32" customHeight="1">
      <c r="A56" s="5" t="n">
        <v>55</v>
      </c>
      <c r="B56" s="5" t="inlineStr">
        <is>
          <t>10.1039/c5cy00372e</t>
        </is>
      </c>
      <c r="C56" s="5" t="inlineStr">
        <is>
          <t>CHT-Y0.2</t>
        </is>
      </c>
      <c r="D56" s="5" t="inlineStr">
        <is>
          <t>Table 6 row CHT-Y0.2</t>
        </is>
      </c>
      <c r="E56" s="5" t="inlineStr">
        <is>
          <t>CH3OH selectivity</t>
        </is>
      </c>
      <c r="F56" s="5" t="n">
        <v>70.5</v>
      </c>
      <c r="G56" s="5" t="inlineStr">
        <is>
          <t>%</t>
        </is>
      </c>
      <c r="H56" s="5" t="inlineStr">
        <is>
          <t>Table 6</t>
        </is>
      </c>
      <c r="I56" s="5" t="n">
        <v>11</v>
      </c>
      <c r="J56" s="5" t="inlineStr">
        <is>
          <t>table</t>
        </is>
      </c>
      <c r="K56" s="5" t="inlineStr"/>
      <c r="L56" s="5" t="inlineStr">
        <is>
          <t>pdf/Gao_2015_Yttrium oxide modified CuZnOAl 2 O 3 catalysts via hydrotalcite-like precursors.pdf</t>
        </is>
      </c>
      <c r="M56" s="5" t="inlineStr">
        <is>
          <t>si/10_1039_c5cy00372e__si1.pdf; si/10_1039_c5cy00372e__si2.pdf</t>
        </is>
      </c>
      <c r="N56" s="6" t="inlineStr"/>
      <c r="O56" s="6" t="inlineStr"/>
      <c r="P56" s="6" t="inlineStr"/>
      <c r="Q56" s="6" t="inlineStr"/>
      <c r="R56" s="6" t="inlineStr"/>
    </row>
    <row r="57" ht="32" customHeight="1">
      <c r="A57" s="5" t="n">
        <v>56</v>
      </c>
      <c r="B57" s="5" t="inlineStr">
        <is>
          <t>10.1039/c5cy00372e</t>
        </is>
      </c>
      <c r="C57" s="5" t="inlineStr">
        <is>
          <t>CHT-Y0</t>
        </is>
      </c>
      <c r="D57" s="5" t="inlineStr">
        <is>
          <t>Table 6 row CHT-Y0</t>
        </is>
      </c>
      <c r="E57" s="5" t="inlineStr">
        <is>
          <t>CH3OH selectivity</t>
        </is>
      </c>
      <c r="F57" s="5" t="n">
        <v>58.1</v>
      </c>
      <c r="G57" s="5" t="inlineStr">
        <is>
          <t>%</t>
        </is>
      </c>
      <c r="H57" s="5" t="inlineStr">
        <is>
          <t>Table 6</t>
        </is>
      </c>
      <c r="I57" s="5" t="n">
        <v>11</v>
      </c>
      <c r="J57" s="5" t="inlineStr">
        <is>
          <t>table</t>
        </is>
      </c>
      <c r="K57" s="5" t="inlineStr"/>
      <c r="L57" s="5" t="inlineStr">
        <is>
          <t>pdf/Gao_2015_Yttrium oxide modified CuZnOAl 2 O 3 catalysts via hydrotalcite-like precursors.pdf</t>
        </is>
      </c>
      <c r="M57" s="5" t="inlineStr">
        <is>
          <t>si/10_1039_c5cy00372e__si1.pdf; si/10_1039_c5cy00372e__si2.pdf</t>
        </is>
      </c>
      <c r="N57" s="6" t="inlineStr"/>
      <c r="O57" s="6" t="inlineStr"/>
      <c r="P57" s="6" t="inlineStr"/>
      <c r="Q57" s="6" t="inlineStr"/>
      <c r="R57" s="6" t="inlineStr"/>
    </row>
    <row r="58" ht="32" customHeight="1">
      <c r="A58" s="5" t="n">
        <v>57</v>
      </c>
      <c r="B58" s="5" t="inlineStr">
        <is>
          <t>10.1039/c5cy00372e</t>
        </is>
      </c>
      <c r="C58" s="5" t="inlineStr">
        <is>
          <t>CHT-Y0.2</t>
        </is>
      </c>
      <c r="D58" s="5" t="inlineStr">
        <is>
          <t>Table 6 row CHT-Y0.2</t>
        </is>
      </c>
      <c r="E58" s="5" t="inlineStr">
        <is>
          <t>CH4 selectivity</t>
        </is>
      </c>
      <c r="F58" s="5" t="n">
        <v>0.1</v>
      </c>
      <c r="G58" s="5" t="inlineStr">
        <is>
          <t>%</t>
        </is>
      </c>
      <c r="H58" s="5" t="inlineStr">
        <is>
          <t>Table 6</t>
        </is>
      </c>
      <c r="I58" s="5" t="n">
        <v>11</v>
      </c>
      <c r="J58" s="5" t="inlineStr">
        <is>
          <t>table</t>
        </is>
      </c>
      <c r="K58" s="5" t="inlineStr"/>
      <c r="L58" s="5" t="inlineStr">
        <is>
          <t>pdf/Gao_2015_Yttrium oxide modified CuZnOAl 2 O 3 catalysts via hydrotalcite-like precursors.pdf</t>
        </is>
      </c>
      <c r="M58" s="5" t="inlineStr">
        <is>
          <t>si/10_1039_c5cy00372e__si1.pdf; si/10_1039_c5cy00372e__si2.pdf</t>
        </is>
      </c>
      <c r="N58" s="6" t="inlineStr"/>
      <c r="O58" s="6" t="inlineStr"/>
      <c r="P58" s="6" t="inlineStr"/>
      <c r="Q58" s="6" t="inlineStr"/>
      <c r="R58" s="6" t="inlineStr"/>
    </row>
    <row r="59" ht="32" customHeight="1">
      <c r="A59" s="5" t="n">
        <v>58</v>
      </c>
      <c r="B59" s="5" t="inlineStr">
        <is>
          <t>10.1039/c5cy00372e</t>
        </is>
      </c>
      <c r="C59" s="5" t="inlineStr">
        <is>
          <t>CHT-Y0</t>
        </is>
      </c>
      <c r="D59" s="5" t="inlineStr">
        <is>
          <t>Table 6 row CHT-Y0</t>
        </is>
      </c>
      <c r="E59" s="5" t="inlineStr">
        <is>
          <t>CH4 selectivity</t>
        </is>
      </c>
      <c r="F59" s="5" t="n">
        <v>0.3</v>
      </c>
      <c r="G59" s="5" t="inlineStr">
        <is>
          <t>%</t>
        </is>
      </c>
      <c r="H59" s="5" t="inlineStr">
        <is>
          <t>Table 6</t>
        </is>
      </c>
      <c r="I59" s="5" t="n">
        <v>11</v>
      </c>
      <c r="J59" s="5" t="inlineStr">
        <is>
          <t>table</t>
        </is>
      </c>
      <c r="K59" s="5" t="inlineStr"/>
      <c r="L59" s="5" t="inlineStr">
        <is>
          <t>pdf/Gao_2015_Yttrium oxide modified CuZnOAl 2 O 3 catalysts via hydrotalcite-like precursors.pdf</t>
        </is>
      </c>
      <c r="M59" s="5" t="inlineStr">
        <is>
          <t>si/10_1039_c5cy00372e__si1.pdf; si/10_1039_c5cy00372e__si2.pdf</t>
        </is>
      </c>
      <c r="N59" s="6" t="inlineStr"/>
      <c r="O59" s="6" t="inlineStr"/>
      <c r="P59" s="6" t="inlineStr"/>
      <c r="Q59" s="6" t="inlineStr"/>
      <c r="R59" s="6" t="inlineStr"/>
    </row>
    <row r="60" ht="32" customHeight="1">
      <c r="A60" s="5" t="n">
        <v>59</v>
      </c>
      <c r="B60" s="5" t="inlineStr">
        <is>
          <t>10.1039/c5cy00372e</t>
        </is>
      </c>
      <c r="C60" s="5" t="inlineStr">
        <is>
          <t>CHT-Y0.1</t>
        </is>
      </c>
      <c r="D60" s="5" t="inlineStr">
        <is>
          <t>Table 6 row CHT-Y0.1</t>
        </is>
      </c>
      <c r="E60" s="5" t="inlineStr">
        <is>
          <t>STY (printed)</t>
        </is>
      </c>
      <c r="F60" s="5" t="inlineStr">
        <is>
          <t>0.39 g gcat−1 h−1</t>
        </is>
      </c>
      <c r="G60" s="5" t="inlineStr">
        <is>
          <t>as printed</t>
        </is>
      </c>
      <c r="H60" s="5" t="inlineStr">
        <is>
          <t>Table 6</t>
        </is>
      </c>
      <c r="I60" s="5" t="n">
        <v>11</v>
      </c>
      <c r="J60" s="5" t="inlineStr">
        <is>
          <t>table</t>
        </is>
      </c>
      <c r="K60" s="5" t="inlineStr"/>
      <c r="L60" s="5" t="inlineStr">
        <is>
          <t>pdf/Gao_2015_Yttrium oxide modified CuZnOAl 2 O 3 catalysts via hydrotalcite-like precursors.pdf</t>
        </is>
      </c>
      <c r="M60" s="5" t="inlineStr">
        <is>
          <t>si/10_1039_c5cy00372e__si1.pdf; si/10_1039_c5cy00372e__si2.pdf</t>
        </is>
      </c>
      <c r="N60" s="6" t="inlineStr"/>
      <c r="O60" s="6" t="inlineStr"/>
      <c r="P60" s="6" t="inlineStr"/>
      <c r="Q60" s="6" t="inlineStr"/>
      <c r="R60" s="6" t="inlineStr"/>
    </row>
    <row r="61" ht="32" customHeight="1">
      <c r="A61" s="5" t="n">
        <v>60</v>
      </c>
      <c r="B61" s="5" t="inlineStr">
        <is>
          <t>10.1039/c5cy00372e</t>
        </is>
      </c>
      <c r="C61" s="5" t="inlineStr">
        <is>
          <t>CHT-Y0</t>
        </is>
      </c>
      <c r="D61" s="5" t="inlineStr">
        <is>
          <t>Table 6 row CHT-Y0</t>
        </is>
      </c>
      <c r="E61" s="5" t="inlineStr">
        <is>
          <t>pressure</t>
        </is>
      </c>
      <c r="F61" s="5" t="n">
        <v>50</v>
      </c>
      <c r="G61" s="5" t="inlineStr">
        <is>
          <t>bar</t>
        </is>
      </c>
      <c r="H61" s="5" t="inlineStr">
        <is>
          <t>Table 6</t>
        </is>
      </c>
      <c r="I61" s="5" t="n">
        <v>11</v>
      </c>
      <c r="J61" s="5" t="n"/>
      <c r="K61" s="5" t="inlineStr"/>
      <c r="L61" s="5" t="inlineStr">
        <is>
          <t>pdf/Gao_2015_Yttrium oxide modified CuZnOAl 2 O 3 catalysts via hydrotalcite-like precursors.pdf</t>
        </is>
      </c>
      <c r="M61" s="5" t="inlineStr">
        <is>
          <t>si/10_1039_c5cy00372e__si1.pdf; si/10_1039_c5cy00372e__si2.pdf</t>
        </is>
      </c>
      <c r="N61" s="6" t="inlineStr"/>
      <c r="O61" s="6" t="inlineStr"/>
      <c r="P61" s="6" t="inlineStr"/>
      <c r="Q61" s="6" t="inlineStr"/>
      <c r="R61" s="6" t="inlineStr"/>
    </row>
    <row r="62" ht="32" customHeight="1">
      <c r="A62" s="5" t="n">
        <v>61</v>
      </c>
      <c r="B62" s="5" t="inlineStr">
        <is>
          <t>10.1016/j.apcatb.2017.06.069</t>
        </is>
      </c>
      <c r="C62" s="5" t="inlineStr">
        <is>
          <t>In2O3</t>
        </is>
      </c>
      <c r="D62" s="5" t="inlineStr">
        <is>
          <t>SI Table S1, In2O3 This work</t>
        </is>
      </c>
      <c r="E62" s="5" t="inlineStr">
        <is>
          <t>temperature</t>
        </is>
      </c>
      <c r="F62" s="5" t="n">
        <v>300</v>
      </c>
      <c r="G62" s="5" t="inlineStr">
        <is>
          <t>°C (from K)</t>
        </is>
      </c>
      <c r="H62" s="5" t="inlineStr">
        <is>
          <t>SI Table S1</t>
        </is>
      </c>
      <c r="I62" s="5" t="n">
        <v>2</v>
      </c>
      <c r="J62" s="5" t="n"/>
      <c r="K62" s="5" t="inlineStr">
        <is>
          <t>H2_CO2&lt;-figures;cat_mass_g&lt;-figures</t>
        </is>
      </c>
      <c r="L62" s="5" t="inlineStr">
        <is>
          <t>pdf/Rui_2017_CO2 hydrogenation to methanol over PdIn2O3 effects of Pd and oxygen vacancy.pdf</t>
        </is>
      </c>
      <c r="M62" s="5" t="inlineStr">
        <is>
          <t>si/10_1016_j_apcatb_2017_06_069__mmc1.docx</t>
        </is>
      </c>
      <c r="N62" s="6" t="inlineStr"/>
      <c r="O62" s="6" t="inlineStr"/>
      <c r="P62" s="6" t="inlineStr"/>
      <c r="Q62" s="6" t="inlineStr"/>
      <c r="R62" s="6" t="inlineStr"/>
    </row>
    <row r="63" ht="32" customHeight="1">
      <c r="A63" s="5" t="n">
        <v>62</v>
      </c>
      <c r="B63" s="5" t="inlineStr">
        <is>
          <t>10.1016/j.apcatb.2017.06.069</t>
        </is>
      </c>
      <c r="C63" s="5" t="inlineStr">
        <is>
          <t>In2O3</t>
        </is>
      </c>
      <c r="D63" s="5" t="inlineStr">
        <is>
          <t>SI Table S1, In2O3 This work</t>
        </is>
      </c>
      <c r="E63" s="5" t="inlineStr">
        <is>
          <t>STY (printed)</t>
        </is>
      </c>
      <c r="F63" s="5" t="inlineStr">
        <is>
          <t>0.352 gMeOH h-1 gcat-1</t>
        </is>
      </c>
      <c r="G63" s="5" t="inlineStr">
        <is>
          <t>as printed</t>
        </is>
      </c>
      <c r="H63" s="5" t="inlineStr">
        <is>
          <t>SI Table S1</t>
        </is>
      </c>
      <c r="I63" s="5" t="n">
        <v>2</v>
      </c>
      <c r="J63" s="5" t="inlineStr">
        <is>
          <t>SI</t>
        </is>
      </c>
      <c r="K63" s="5" t="inlineStr">
        <is>
          <t>H2_CO2&lt;-figures;cat_mass_g&lt;-figures</t>
        </is>
      </c>
      <c r="L63" s="5" t="inlineStr">
        <is>
          <t>pdf/Rui_2017_CO2 hydrogenation to methanol over PdIn2O3 effects of Pd and oxygen vacancy.pdf</t>
        </is>
      </c>
      <c r="M63" s="5" t="inlineStr">
        <is>
          <t>si/10_1016_j_apcatb_2017_06_069__mmc1.docx</t>
        </is>
      </c>
      <c r="N63" s="6" t="inlineStr"/>
      <c r="O63" s="6" t="inlineStr"/>
      <c r="P63" s="6" t="inlineStr"/>
      <c r="Q63" s="6" t="inlineStr"/>
      <c r="R63" s="6" t="inlineStr"/>
    </row>
    <row r="64" ht="32" customHeight="1">
      <c r="A64" s="5" t="n">
        <v>63</v>
      </c>
      <c r="B64" s="5" t="inlineStr">
        <is>
          <t>10.1016/j.apcatb.2017.06.069</t>
        </is>
      </c>
      <c r="C64" s="5" t="inlineStr">
        <is>
          <t>Pd-I/In2O3</t>
        </is>
      </c>
      <c r="D64" s="5" t="inlineStr">
        <is>
          <t>SI Table S2, Pd-I/In2O3 This work</t>
        </is>
      </c>
      <c r="E64" s="5" t="inlineStr">
        <is>
          <t>CH3OH selectivity</t>
        </is>
      </c>
      <c r="F64" s="5" t="n">
        <v>72.7</v>
      </c>
      <c r="G64" s="5" t="inlineStr">
        <is>
          <t>%</t>
        </is>
      </c>
      <c r="H64" s="5" t="inlineStr">
        <is>
          <t>SI Table S2</t>
        </is>
      </c>
      <c r="I64" s="5" t="n">
        <v>3</v>
      </c>
      <c r="J64" s="5" t="inlineStr">
        <is>
          <t>SI</t>
        </is>
      </c>
      <c r="K64" s="5" t="inlineStr">
        <is>
          <t>H2_CO2&lt;-figures;cat_mass_g&lt;-figures;metal_wt_pct&lt;-figures</t>
        </is>
      </c>
      <c r="L64" s="5" t="inlineStr">
        <is>
          <t>pdf/Rui_2017_CO2 hydrogenation to methanol over PdIn2O3 effects of Pd and oxygen vacancy.pdf</t>
        </is>
      </c>
      <c r="M64" s="5" t="inlineStr">
        <is>
          <t>si/10_1016_j_apcatb_2017_06_069__mmc1.docx</t>
        </is>
      </c>
      <c r="N64" s="6" t="inlineStr"/>
      <c r="O64" s="6" t="inlineStr"/>
      <c r="P64" s="6" t="inlineStr"/>
      <c r="Q64" s="6" t="inlineStr"/>
      <c r="R64" s="6" t="inlineStr"/>
    </row>
    <row r="65" ht="32" customHeight="1">
      <c r="A65" s="5" t="n">
        <v>64</v>
      </c>
      <c r="B65" s="5" t="inlineStr">
        <is>
          <t>10.1016/j.apcatb.2017.06.069</t>
        </is>
      </c>
      <c r="C65" s="5" t="inlineStr">
        <is>
          <t>Pd-I/In2O3</t>
        </is>
      </c>
      <c r="D65" s="5" t="inlineStr">
        <is>
          <t>SI Table S2, Pd-I/In2O3 This work</t>
        </is>
      </c>
      <c r="E65" s="5" t="inlineStr">
        <is>
          <t>pressure</t>
        </is>
      </c>
      <c r="F65" s="5" t="n">
        <v>50</v>
      </c>
      <c r="G65" s="5" t="inlineStr">
        <is>
          <t>bar</t>
        </is>
      </c>
      <c r="H65" s="5" t="inlineStr">
        <is>
          <t>SI Table S2</t>
        </is>
      </c>
      <c r="I65" s="5" t="n">
        <v>3</v>
      </c>
      <c r="J65" s="5" t="n"/>
      <c r="K65" s="5" t="inlineStr">
        <is>
          <t>H2_CO2&lt;-figures;cat_mass_g&lt;-figures;metal_wt_pct&lt;-figures</t>
        </is>
      </c>
      <c r="L65" s="5" t="inlineStr">
        <is>
          <t>pdf/Rui_2017_CO2 hydrogenation to methanol over PdIn2O3 effects of Pd and oxygen vacancy.pdf</t>
        </is>
      </c>
      <c r="M65" s="5" t="inlineStr">
        <is>
          <t>si/10_1016_j_apcatb_2017_06_069__mmc1.docx</t>
        </is>
      </c>
      <c r="N65" s="6" t="inlineStr"/>
      <c r="O65" s="6" t="inlineStr"/>
      <c r="P65" s="6" t="inlineStr"/>
      <c r="Q65" s="6" t="inlineStr"/>
      <c r="R65" s="6" t="inlineStr"/>
    </row>
    <row r="66" ht="32" customHeight="1">
      <c r="A66" s="5" t="n">
        <v>65</v>
      </c>
      <c r="B66" s="5" t="inlineStr">
        <is>
          <t>10.1016/j.apcatb.2017.06.069</t>
        </is>
      </c>
      <c r="C66" s="5" t="inlineStr">
        <is>
          <t>Pd-I/In2O3</t>
        </is>
      </c>
      <c r="D66" s="5" t="inlineStr">
        <is>
          <t>SI Table S2, Pd-I/In2O3 This work</t>
        </is>
      </c>
      <c r="E66" s="5" t="inlineStr">
        <is>
          <t>temperature</t>
        </is>
      </c>
      <c r="F66" s="5" t="n">
        <v>300</v>
      </c>
      <c r="G66" s="5" t="inlineStr">
        <is>
          <t>°C (from K)</t>
        </is>
      </c>
      <c r="H66" s="5" t="inlineStr">
        <is>
          <t>SI Table S2</t>
        </is>
      </c>
      <c r="I66" s="5" t="n">
        <v>3</v>
      </c>
      <c r="J66" s="5" t="n"/>
      <c r="K66" s="5" t="inlineStr">
        <is>
          <t>H2_CO2&lt;-figures;cat_mass_g&lt;-figures;metal_wt_pct&lt;-figures</t>
        </is>
      </c>
      <c r="L66" s="5" t="inlineStr">
        <is>
          <t>pdf/Rui_2017_CO2 hydrogenation to methanol over PdIn2O3 effects of Pd and oxygen vacancy.pdf</t>
        </is>
      </c>
      <c r="M66" s="5" t="inlineStr">
        <is>
          <t>si/10_1016_j_apcatb_2017_06_069__mmc1.docx</t>
        </is>
      </c>
      <c r="N66" s="6" t="inlineStr"/>
      <c r="O66" s="6" t="inlineStr"/>
      <c r="P66" s="6" t="inlineStr"/>
      <c r="Q66" s="6" t="inlineStr"/>
      <c r="R66" s="6" t="inlineStr"/>
    </row>
    <row r="67" ht="32" customHeight="1">
      <c r="A67" s="5" t="n">
        <v>66</v>
      </c>
      <c r="B67" s="5" t="inlineStr">
        <is>
          <t>10.1016/j.apcatb.2017.06.069</t>
        </is>
      </c>
      <c r="C67" s="5" t="inlineStr">
        <is>
          <t>Pd-I/In2O3</t>
        </is>
      </c>
      <c r="D67" s="5" t="inlineStr">
        <is>
          <t>SI Table S2, Pd-I/In2O3 This work</t>
        </is>
      </c>
      <c r="E67" s="5" t="inlineStr">
        <is>
          <t>CO2 conversion</t>
        </is>
      </c>
      <c r="F67" s="5" t="n">
        <v>18.4</v>
      </c>
      <c r="G67" s="5" t="inlineStr">
        <is>
          <t>%</t>
        </is>
      </c>
      <c r="H67" s="5" t="inlineStr">
        <is>
          <t>SI Table S2</t>
        </is>
      </c>
      <c r="I67" s="5" t="n">
        <v>3</v>
      </c>
      <c r="J67" s="5" t="inlineStr">
        <is>
          <t>SI</t>
        </is>
      </c>
      <c r="K67" s="5" t="inlineStr">
        <is>
          <t>H2_CO2&lt;-figures;cat_mass_g&lt;-figures;metal_wt_pct&lt;-figures</t>
        </is>
      </c>
      <c r="L67" s="5" t="inlineStr">
        <is>
          <t>pdf/Rui_2017_CO2 hydrogenation to methanol over PdIn2O3 effects of Pd and oxygen vacancy.pdf</t>
        </is>
      </c>
      <c r="M67" s="5" t="inlineStr">
        <is>
          <t>si/10_1016_j_apcatb_2017_06_069__mmc1.docx</t>
        </is>
      </c>
      <c r="N67" s="6" t="inlineStr"/>
      <c r="O67" s="6" t="inlineStr"/>
      <c r="P67" s="6" t="inlineStr"/>
      <c r="Q67" s="6" t="inlineStr"/>
      <c r="R67" s="6" t="inlineStr"/>
    </row>
    <row r="68" ht="32" customHeight="1">
      <c r="A68" s="5" t="n">
        <v>67</v>
      </c>
      <c r="B68" s="5" t="inlineStr">
        <is>
          <t>10.1016/j.apcatb.2017.06.069</t>
        </is>
      </c>
      <c r="C68" s="5" t="inlineStr">
        <is>
          <t>In2O3</t>
        </is>
      </c>
      <c r="D68" s="5" t="inlineStr">
        <is>
          <t>SI Table S1, In2O3 This work</t>
        </is>
      </c>
      <c r="E68" s="5" t="inlineStr">
        <is>
          <t>pressure</t>
        </is>
      </c>
      <c r="F68" s="5" t="n">
        <v>50</v>
      </c>
      <c r="G68" s="5" t="inlineStr">
        <is>
          <t>bar</t>
        </is>
      </c>
      <c r="H68" s="5" t="inlineStr">
        <is>
          <t>SI Table S1</t>
        </is>
      </c>
      <c r="I68" s="5" t="n">
        <v>2</v>
      </c>
      <c r="J68" s="5" t="n"/>
      <c r="K68" s="5" t="inlineStr">
        <is>
          <t>H2_CO2&lt;-figures;cat_mass_g&lt;-figures</t>
        </is>
      </c>
      <c r="L68" s="5" t="inlineStr">
        <is>
          <t>pdf/Rui_2017_CO2 hydrogenation to methanol over PdIn2O3 effects of Pd and oxygen vacancy.pdf</t>
        </is>
      </c>
      <c r="M68" s="5" t="inlineStr">
        <is>
          <t>si/10_1016_j_apcatb_2017_06_069__mmc1.docx</t>
        </is>
      </c>
      <c r="N68" s="6" t="inlineStr"/>
      <c r="O68" s="6" t="inlineStr"/>
      <c r="P68" s="6" t="inlineStr"/>
      <c r="Q68" s="6" t="inlineStr"/>
      <c r="R68" s="6" t="inlineStr"/>
    </row>
    <row r="69" ht="32" customHeight="1">
      <c r="A69" s="5" t="n">
        <v>68</v>
      </c>
      <c r="B69" s="5" t="inlineStr">
        <is>
          <t>10.1016/j.apcatb.2017.06.069</t>
        </is>
      </c>
      <c r="C69" s="5" t="inlineStr">
        <is>
          <t>Pd-I/In2O3</t>
        </is>
      </c>
      <c r="D69" s="5" t="inlineStr">
        <is>
          <t>SI Table S2, Pd-I/In2O3 This work</t>
        </is>
      </c>
      <c r="E69" s="5" t="inlineStr">
        <is>
          <t>H2/CO2</t>
        </is>
      </c>
      <c r="F69" s="5" t="n">
        <v>4</v>
      </c>
      <c r="G69" s="5" t="inlineStr">
        <is>
          <t>mol/mol</t>
        </is>
      </c>
      <c r="H69" s="5" t="inlineStr">
        <is>
          <t>SI Table S2</t>
        </is>
      </c>
      <c r="I69" s="5" t="n">
        <v>3</v>
      </c>
      <c r="J69" s="5" t="n"/>
      <c r="K69" s="5" t="inlineStr">
        <is>
          <t>H2_CO2&lt;-figures;cat_mass_g&lt;-figures;metal_wt_pct&lt;-figures</t>
        </is>
      </c>
      <c r="L69" s="5" t="inlineStr">
        <is>
          <t>pdf/Rui_2017_CO2 hydrogenation to methanol over PdIn2O3 effects of Pd and oxygen vacancy.pdf</t>
        </is>
      </c>
      <c r="M69" s="5" t="inlineStr">
        <is>
          <t>si/10_1016_j_apcatb_2017_06_069__mmc1.docx</t>
        </is>
      </c>
      <c r="N69" s="6" t="inlineStr"/>
      <c r="O69" s="6" t="inlineStr"/>
      <c r="P69" s="6" t="inlineStr"/>
      <c r="Q69" s="6" t="inlineStr"/>
      <c r="R69" s="6" t="inlineStr"/>
    </row>
    <row r="70" ht="32" customHeight="1">
      <c r="A70" s="5" t="n">
        <v>69</v>
      </c>
      <c r="B70" s="5" t="inlineStr">
        <is>
          <t>10.1016/j.apcatb.2017.06.069</t>
        </is>
      </c>
      <c r="C70" s="5" t="inlineStr">
        <is>
          <t>In2O3</t>
        </is>
      </c>
      <c r="D70" s="5" t="inlineStr">
        <is>
          <t>SI Table S1, In2O3 This work</t>
        </is>
      </c>
      <c r="E70" s="5" t="inlineStr">
        <is>
          <t>H2/CO2</t>
        </is>
      </c>
      <c r="F70" s="5" t="n">
        <v>4</v>
      </c>
      <c r="G70" s="5" t="inlineStr">
        <is>
          <t>mol/mol</t>
        </is>
      </c>
      <c r="H70" s="5" t="inlineStr">
        <is>
          <t>SI Table S1</t>
        </is>
      </c>
      <c r="I70" s="5" t="n">
        <v>2</v>
      </c>
      <c r="J70" s="5" t="n"/>
      <c r="K70" s="5" t="inlineStr">
        <is>
          <t>H2_CO2&lt;-figures;cat_mass_g&lt;-figures</t>
        </is>
      </c>
      <c r="L70" s="5" t="inlineStr">
        <is>
          <t>pdf/Rui_2017_CO2 hydrogenation to methanol over PdIn2O3 effects of Pd and oxygen vacancy.pdf</t>
        </is>
      </c>
      <c r="M70" s="5" t="inlineStr">
        <is>
          <t>si/10_1016_j_apcatb_2017_06_069__mmc1.docx</t>
        </is>
      </c>
      <c r="N70" s="6" t="inlineStr"/>
      <c r="O70" s="6" t="inlineStr"/>
      <c r="P70" s="6" t="inlineStr"/>
      <c r="Q70" s="6" t="inlineStr"/>
      <c r="R70" s="6" t="inlineStr"/>
    </row>
    <row r="71" ht="32" customHeight="1">
      <c r="A71" s="5" t="n">
        <v>70</v>
      </c>
      <c r="B71" s="5" t="inlineStr">
        <is>
          <t>10.1016/j.apcatb.2017.06.069</t>
        </is>
      </c>
      <c r="C71" s="5" t="inlineStr">
        <is>
          <t>In2O3</t>
        </is>
      </c>
      <c r="D71" s="5" t="inlineStr">
        <is>
          <t>SI Table S1, In2O3 This work</t>
        </is>
      </c>
      <c r="E71" s="5" t="inlineStr">
        <is>
          <t>CH3OH selectivity</t>
        </is>
      </c>
      <c r="F71" s="5" t="n">
        <v>71.2</v>
      </c>
      <c r="G71" s="5" t="inlineStr">
        <is>
          <t>%</t>
        </is>
      </c>
      <c r="H71" s="5" t="inlineStr">
        <is>
          <t>SI Table S1</t>
        </is>
      </c>
      <c r="I71" s="5" t="n">
        <v>2</v>
      </c>
      <c r="J71" s="5" t="inlineStr">
        <is>
          <t>SI</t>
        </is>
      </c>
      <c r="K71" s="5" t="inlineStr">
        <is>
          <t>H2_CO2&lt;-figures;cat_mass_g&lt;-figures</t>
        </is>
      </c>
      <c r="L71" s="5" t="inlineStr">
        <is>
          <t>pdf/Rui_2017_CO2 hydrogenation to methanol over PdIn2O3 effects of Pd and oxygen vacancy.pdf</t>
        </is>
      </c>
      <c r="M71" s="5" t="inlineStr">
        <is>
          <t>si/10_1016_j_apcatb_2017_06_069__mmc1.docx</t>
        </is>
      </c>
      <c r="N71" s="6" t="inlineStr"/>
      <c r="O71" s="6" t="inlineStr"/>
      <c r="P71" s="6" t="inlineStr"/>
      <c r="Q71" s="6" t="inlineStr"/>
      <c r="R71" s="6" t="inlineStr"/>
    </row>
    <row r="72" ht="32" customHeight="1">
      <c r="A72" s="5" t="n">
        <v>71</v>
      </c>
      <c r="B72" s="5" t="inlineStr">
        <is>
          <t>10.1002/ente.201800747</t>
        </is>
      </c>
      <c r="C72" s="5" t="inlineStr">
        <is>
          <t>Cat-1.5</t>
        </is>
      </c>
      <c r="D72" s="5" t="inlineStr">
        <is>
          <t>SI Table S1, Cat-1.5, 300 °C</t>
        </is>
      </c>
      <c r="E72" s="5" t="inlineStr">
        <is>
          <t>STY (printed)</t>
        </is>
      </c>
      <c r="F72" s="5" t="inlineStr">
        <is>
          <t>0.074 gMeOH gcat-1 h-1</t>
        </is>
      </c>
      <c r="G72" s="5" t="inlineStr">
        <is>
          <t>as printed</t>
        </is>
      </c>
      <c r="H72" s="5" t="inlineStr">
        <is>
          <t>SI Table S1</t>
        </is>
      </c>
      <c r="I72" s="5" t="n">
        <v>1</v>
      </c>
      <c r="J72" s="5" t="inlineStr">
        <is>
          <t>SI</t>
        </is>
      </c>
      <c r="K72" s="5" t="inlineStr"/>
      <c r="L72" s="5" t="inlineStr">
        <is>
          <t>pdf/Chen_2019_MorphologyControllable HexagonalPhase Indium Oxide In Situ Structured onto a Thi.pdf</t>
        </is>
      </c>
      <c r="M72" s="5" t="inlineStr">
        <is>
          <t>si/10_1002_ente_201800747__si1.pdf</t>
        </is>
      </c>
      <c r="N72" s="6" t="inlineStr"/>
      <c r="O72" s="6" t="inlineStr"/>
      <c r="P72" s="6" t="inlineStr"/>
      <c r="Q72" s="6" t="inlineStr"/>
      <c r="R72" s="6" t="inlineStr"/>
    </row>
    <row r="73" ht="32" customHeight="1">
      <c r="A73" s="5" t="n">
        <v>72</v>
      </c>
      <c r="B73" s="5" t="inlineStr">
        <is>
          <t>10.1002/ente.201800747</t>
        </is>
      </c>
      <c r="C73" s="5" t="inlineStr">
        <is>
          <t>H-In2O3/Al2O3</t>
        </is>
      </c>
      <c r="D73" s="5" t="inlineStr">
        <is>
          <t>SI Table S1, H-In2O3/Al2O3, 325 °C</t>
        </is>
      </c>
      <c r="E73" s="5" t="inlineStr">
        <is>
          <t>pressure</t>
        </is>
      </c>
      <c r="F73" s="5" t="n">
        <v>40</v>
      </c>
      <c r="G73" s="5" t="inlineStr">
        <is>
          <t>bar</t>
        </is>
      </c>
      <c r="H73" s="5" t="inlineStr">
        <is>
          <t>SI Table S1</t>
        </is>
      </c>
      <c r="I73" s="5" t="n">
        <v>1</v>
      </c>
      <c r="J73" s="5" t="n"/>
      <c r="K73" s="5" t="inlineStr"/>
      <c r="L73" s="5" t="inlineStr">
        <is>
          <t>pdf/Chen_2019_MorphologyControllable HexagonalPhase Indium Oxide In Situ Structured onto a Thi.pdf</t>
        </is>
      </c>
      <c r="M73" s="5" t="inlineStr">
        <is>
          <t>si/10_1002_ente_201800747__si1.pdf</t>
        </is>
      </c>
      <c r="N73" s="6" t="inlineStr"/>
      <c r="O73" s="6" t="inlineStr"/>
      <c r="P73" s="6" t="inlineStr"/>
      <c r="Q73" s="6" t="inlineStr"/>
      <c r="R73" s="6" t="inlineStr"/>
    </row>
    <row r="74" ht="32" customHeight="1">
      <c r="A74" s="5" t="n">
        <v>73</v>
      </c>
      <c r="B74" s="5" t="inlineStr">
        <is>
          <t>10.1002/ente.201800747</t>
        </is>
      </c>
      <c r="C74" s="5" t="inlineStr">
        <is>
          <t>Cat-4.5</t>
        </is>
      </c>
      <c r="D74" s="5" t="inlineStr">
        <is>
          <t>Figure 4c/text, Cat-4.5 at 325 °C</t>
        </is>
      </c>
      <c r="E74" s="5" t="inlineStr">
        <is>
          <t>pressure</t>
        </is>
      </c>
      <c r="F74" s="5" t="n">
        <v>40</v>
      </c>
      <c r="G74" s="5" t="inlineStr">
        <is>
          <t>bar</t>
        </is>
      </c>
      <c r="H74" s="5" t="inlineStr">
        <is>
          <t>Figure 4c and text in Section 2.2</t>
        </is>
      </c>
      <c r="I74" s="5" t="n">
        <v>4</v>
      </c>
      <c r="J74" s="5" t="n"/>
      <c r="K74" s="5" t="inlineStr">
        <is>
          <t>S_CO&lt;-si;S_CH4&lt;-si</t>
        </is>
      </c>
      <c r="L74" s="5" t="inlineStr">
        <is>
          <t>pdf/Chen_2019_MorphologyControllable HexagonalPhase Indium Oxide In Situ Structured onto a Thi.pdf</t>
        </is>
      </c>
      <c r="M74" s="5" t="inlineStr">
        <is>
          <t>si/10_1002_ente_201800747__si1.pdf</t>
        </is>
      </c>
      <c r="N74" s="6" t="inlineStr"/>
      <c r="O74" s="6" t="inlineStr"/>
      <c r="P74" s="6" t="inlineStr"/>
      <c r="Q74" s="6" t="inlineStr"/>
      <c r="R74" s="6" t="inlineStr"/>
    </row>
    <row r="75" ht="32" customHeight="1">
      <c r="A75" s="5" t="n">
        <v>74</v>
      </c>
      <c r="B75" s="5" t="inlineStr">
        <is>
          <t>10.1002/ente.201800747</t>
        </is>
      </c>
      <c r="C75" s="5" t="inlineStr">
        <is>
          <t>H-In2O3/Al2O3</t>
        </is>
      </c>
      <c r="D75" s="5" t="inlineStr">
        <is>
          <t>SI Table S1, H-In2O3/Al2O3, 325 °C</t>
        </is>
      </c>
      <c r="E75" s="5" t="inlineStr">
        <is>
          <t>STY (printed)</t>
        </is>
      </c>
      <c r="F75" s="5" t="inlineStr">
        <is>
          <t>0.109 gMeOH gcat-1 h-1</t>
        </is>
      </c>
      <c r="G75" s="5" t="inlineStr">
        <is>
          <t>as printed</t>
        </is>
      </c>
      <c r="H75" s="5" t="inlineStr">
        <is>
          <t>SI Table S1</t>
        </is>
      </c>
      <c r="I75" s="5" t="n">
        <v>1</v>
      </c>
      <c r="J75" s="5" t="inlineStr">
        <is>
          <t>SI</t>
        </is>
      </c>
      <c r="K75" s="5" t="inlineStr"/>
      <c r="L75" s="5" t="inlineStr">
        <is>
          <t>pdf/Chen_2019_MorphologyControllable HexagonalPhase Indium Oxide In Situ Structured onto a Thi.pdf</t>
        </is>
      </c>
      <c r="M75" s="5" t="inlineStr">
        <is>
          <t>si/10_1002_ente_201800747__si1.pdf</t>
        </is>
      </c>
      <c r="N75" s="6" t="inlineStr"/>
      <c r="O75" s="6" t="inlineStr"/>
      <c r="P75" s="6" t="inlineStr"/>
      <c r="Q75" s="6" t="inlineStr"/>
      <c r="R75" s="6" t="inlineStr"/>
    </row>
    <row r="76" ht="32" customHeight="1">
      <c r="A76" s="5" t="n">
        <v>75</v>
      </c>
      <c r="B76" s="5" t="inlineStr">
        <is>
          <t>10.1002/ente.201800747</t>
        </is>
      </c>
      <c r="C76" s="5" t="inlineStr">
        <is>
          <t>H-In2O3/Al2O3</t>
        </is>
      </c>
      <c r="D76" s="5" t="inlineStr">
        <is>
          <t>SI Table S1, H-In2O3/Al2O3, 250 °C</t>
        </is>
      </c>
      <c r="E76" s="5" t="inlineStr">
        <is>
          <t>CO selectivity</t>
        </is>
      </c>
      <c r="F76" s="5" t="n">
        <v>6.8</v>
      </c>
      <c r="G76" s="5" t="inlineStr">
        <is>
          <t>%</t>
        </is>
      </c>
      <c r="H76" s="5" t="inlineStr">
        <is>
          <t>SI Table S1</t>
        </is>
      </c>
      <c r="I76" s="5" t="n">
        <v>1</v>
      </c>
      <c r="J76" s="5" t="inlineStr">
        <is>
          <t>SI</t>
        </is>
      </c>
      <c r="K76" s="5" t="inlineStr"/>
      <c r="L76" s="5" t="inlineStr">
        <is>
          <t>pdf/Chen_2019_MorphologyControllable HexagonalPhase Indium Oxide In Situ Structured onto a Thi.pdf</t>
        </is>
      </c>
      <c r="M76" s="5" t="inlineStr">
        <is>
          <t>si/10_1002_ente_201800747__si1.pdf</t>
        </is>
      </c>
      <c r="N76" s="6" t="inlineStr"/>
      <c r="O76" s="6" t="inlineStr"/>
      <c r="P76" s="6" t="inlineStr"/>
      <c r="Q76" s="6" t="inlineStr"/>
      <c r="R76" s="6" t="inlineStr"/>
    </row>
    <row r="77" ht="32" customHeight="1">
      <c r="A77" s="5" t="n">
        <v>76</v>
      </c>
      <c r="B77" s="5" t="inlineStr">
        <is>
          <t>10.1002/ente.201800747</t>
        </is>
      </c>
      <c r="C77" s="5" t="inlineStr">
        <is>
          <t>Cat-3.0</t>
        </is>
      </c>
      <c r="D77" s="5" t="inlineStr">
        <is>
          <t>Figure 4c, Cat-3.0 at 325 °C</t>
        </is>
      </c>
      <c r="E77" s="5" t="inlineStr">
        <is>
          <t>CO2 conversion</t>
        </is>
      </c>
      <c r="F77" s="5" t="n">
        <v>3.4</v>
      </c>
      <c r="G77" s="5" t="inlineStr">
        <is>
          <t>%</t>
        </is>
      </c>
      <c r="H77" s="5" t="inlineStr">
        <is>
          <t>Figure 4c</t>
        </is>
      </c>
      <c r="I77" s="5" t="n">
        <v>4</v>
      </c>
      <c r="J77" s="5" t="inlineStr">
        <is>
          <t>SI</t>
        </is>
      </c>
      <c r="K77" s="5" t="inlineStr">
        <is>
          <t>X_CO2&lt;-si;S_MeOH&lt;-si;S_CO&lt;-si;S_CH4&lt;-si;STY&lt;-si;GHSV&lt;-si;H2_CO2&lt;-si;cat_mass_g&lt;-si</t>
        </is>
      </c>
      <c r="L77" s="5" t="inlineStr">
        <is>
          <t>pdf/Chen_2019_MorphologyControllable HexagonalPhase Indium Oxide In Situ Structured onto a Thi.pdf</t>
        </is>
      </c>
      <c r="M77" s="5" t="inlineStr">
        <is>
          <t>si/10_1002_ente_201800747__si1.pdf</t>
        </is>
      </c>
      <c r="N77" s="6" t="inlineStr"/>
      <c r="O77" s="6" t="inlineStr"/>
      <c r="P77" s="6" t="inlineStr"/>
      <c r="Q77" s="6" t="inlineStr"/>
      <c r="R77" s="6" t="inlineStr"/>
    </row>
    <row r="78" ht="32" customHeight="1">
      <c r="A78" s="5" t="n">
        <v>77</v>
      </c>
      <c r="B78" s="5" t="inlineStr">
        <is>
          <t>10.1002/ente.201800747</t>
        </is>
      </c>
      <c r="C78" s="5" t="inlineStr">
        <is>
          <t>Cat-4.5</t>
        </is>
      </c>
      <c r="D78" s="5" t="inlineStr">
        <is>
          <t>SI Table S1, Cat-4.5, 250 °C</t>
        </is>
      </c>
      <c r="E78" s="5" t="inlineStr">
        <is>
          <t>CH4 selectivity</t>
        </is>
      </c>
      <c r="F78" s="5" t="n">
        <v>0</v>
      </c>
      <c r="G78" s="5" t="inlineStr">
        <is>
          <t>%</t>
        </is>
      </c>
      <c r="H78" s="5" t="inlineStr">
        <is>
          <t>SI Table S1</t>
        </is>
      </c>
      <c r="I78" s="5" t="n">
        <v>1</v>
      </c>
      <c r="J78" s="5" t="inlineStr">
        <is>
          <t>SI</t>
        </is>
      </c>
      <c r="K78" s="5" t="inlineStr"/>
      <c r="L78" s="5" t="inlineStr">
        <is>
          <t>pdf/Chen_2019_MorphologyControllable HexagonalPhase Indium Oxide In Situ Structured onto a Thi.pdf</t>
        </is>
      </c>
      <c r="M78" s="5" t="inlineStr">
        <is>
          <t>si/10_1002_ente_201800747__si1.pdf</t>
        </is>
      </c>
      <c r="N78" s="6" t="inlineStr"/>
      <c r="O78" s="6" t="inlineStr"/>
      <c r="P78" s="6" t="inlineStr"/>
      <c r="Q78" s="6" t="inlineStr"/>
      <c r="R78" s="6" t="inlineStr"/>
    </row>
    <row r="79" ht="32" customHeight="1">
      <c r="A79" s="5" t="n">
        <v>78</v>
      </c>
      <c r="B79" s="5" t="inlineStr">
        <is>
          <t>10.1002/ente.201800747</t>
        </is>
      </c>
      <c r="C79" s="5" t="inlineStr">
        <is>
          <t>Cat-4.5</t>
        </is>
      </c>
      <c r="D79" s="5" t="inlineStr">
        <is>
          <t>SI Table S1, Cat-4.5, 275 °C</t>
        </is>
      </c>
      <c r="E79" s="5" t="inlineStr">
        <is>
          <t>CH3OH selectivity</t>
        </is>
      </c>
      <c r="F79" s="5" t="n">
        <v>91.59999999999999</v>
      </c>
      <c r="G79" s="5" t="inlineStr">
        <is>
          <t>%</t>
        </is>
      </c>
      <c r="H79" s="5" t="inlineStr">
        <is>
          <t>SI Table S1</t>
        </is>
      </c>
      <c r="I79" s="5" t="n">
        <v>1</v>
      </c>
      <c r="J79" s="5" t="inlineStr">
        <is>
          <t>SI</t>
        </is>
      </c>
      <c r="K79" s="5" t="inlineStr"/>
      <c r="L79" s="5" t="inlineStr">
        <is>
          <t>pdf/Chen_2019_MorphologyControllable HexagonalPhase Indium Oxide In Situ Structured onto a Thi.pdf</t>
        </is>
      </c>
      <c r="M79" s="5" t="inlineStr">
        <is>
          <t>si/10_1002_ente_201800747__si1.pdf</t>
        </is>
      </c>
      <c r="N79" s="6" t="inlineStr"/>
      <c r="O79" s="6" t="inlineStr"/>
      <c r="P79" s="6" t="inlineStr"/>
      <c r="Q79" s="6" t="inlineStr"/>
      <c r="R79" s="6" t="inlineStr"/>
    </row>
    <row r="80" ht="32" customHeight="1">
      <c r="A80" s="5" t="n">
        <v>79</v>
      </c>
      <c r="B80" s="5" t="inlineStr">
        <is>
          <t>10.1002/ente.201800747</t>
        </is>
      </c>
      <c r="C80" s="5" t="inlineStr">
        <is>
          <t>In2O3-IWI/Al2O3/Al-fiber</t>
        </is>
      </c>
      <c r="D80" s="5" t="inlineStr">
        <is>
          <t>SI Table S1, In2O3-IWI/Al2O3/Al-fiber, 350 °C</t>
        </is>
      </c>
      <c r="E80" s="5" t="inlineStr">
        <is>
          <t>H2/CO2</t>
        </is>
      </c>
      <c r="F80" s="5" t="n">
        <v>3</v>
      </c>
      <c r="G80" s="5" t="inlineStr">
        <is>
          <t>mol/mol</t>
        </is>
      </c>
      <c r="H80" s="5" t="inlineStr">
        <is>
          <t>SI Table S1</t>
        </is>
      </c>
      <c r="I80" s="5" t="n">
        <v>1</v>
      </c>
      <c r="J80" s="5" t="n"/>
      <c r="K80" s="5" t="inlineStr"/>
      <c r="L80" s="5" t="inlineStr">
        <is>
          <t>pdf/Chen_2019_MorphologyControllable HexagonalPhase Indium Oxide In Situ Structured onto a Thi.pdf</t>
        </is>
      </c>
      <c r="M80" s="5" t="inlineStr">
        <is>
          <t>si/10_1002_ente_201800747__si1.pdf</t>
        </is>
      </c>
      <c r="N80" s="6" t="inlineStr"/>
      <c r="O80" s="6" t="inlineStr"/>
      <c r="P80" s="6" t="inlineStr"/>
      <c r="Q80" s="6" t="inlineStr"/>
      <c r="R80" s="6" t="inlineStr"/>
    </row>
    <row r="81" ht="32" customHeight="1">
      <c r="A81" s="5" t="n">
        <v>80</v>
      </c>
      <c r="B81" s="5" t="inlineStr">
        <is>
          <t>10.1002/ente.201800747</t>
        </is>
      </c>
      <c r="C81" s="5" t="inlineStr">
        <is>
          <t>H-In2O3/Al2O3</t>
        </is>
      </c>
      <c r="D81" s="5" t="inlineStr">
        <is>
          <t>SI Table S1, H-In2O3/Al2O3, 250 °C</t>
        </is>
      </c>
      <c r="E81" s="5" t="inlineStr">
        <is>
          <t>STY (printed)</t>
        </is>
      </c>
      <c r="F81" s="5" t="inlineStr">
        <is>
          <t>0.051 gMeOH gcat-1 h-1</t>
        </is>
      </c>
      <c r="G81" s="5" t="inlineStr">
        <is>
          <t>as printed</t>
        </is>
      </c>
      <c r="H81" s="5" t="inlineStr">
        <is>
          <t>SI Table S1</t>
        </is>
      </c>
      <c r="I81" s="5" t="n">
        <v>1</v>
      </c>
      <c r="J81" s="5" t="inlineStr">
        <is>
          <t>SI</t>
        </is>
      </c>
      <c r="K81" s="5" t="inlineStr"/>
      <c r="L81" s="5" t="inlineStr">
        <is>
          <t>pdf/Chen_2019_MorphologyControllable HexagonalPhase Indium Oxide In Situ Structured onto a Thi.pdf</t>
        </is>
      </c>
      <c r="M81" s="5" t="inlineStr">
        <is>
          <t>si/10_1002_ente_201800747__si1.pdf</t>
        </is>
      </c>
      <c r="N81" s="6" t="inlineStr"/>
      <c r="O81" s="6" t="inlineStr"/>
      <c r="P81" s="6" t="inlineStr"/>
      <c r="Q81" s="6" t="inlineStr"/>
      <c r="R81" s="6" t="inlineStr"/>
    </row>
    <row r="82" ht="32" customHeight="1">
      <c r="A82" s="5" t="n">
        <v>81</v>
      </c>
      <c r="B82" s="5" t="inlineStr">
        <is>
          <t>10.1002/cctc.202000974</t>
        </is>
      </c>
      <c r="C82" s="5" t="inlineStr">
        <is>
          <t>TiO2</t>
        </is>
      </c>
      <c r="D82" s="5" t="inlineStr">
        <is>
          <t>SI Table S3, TiO2, 225 °C</t>
        </is>
      </c>
      <c r="E82" s="5" t="inlineStr">
        <is>
          <t>CH4 selectivity</t>
        </is>
      </c>
      <c r="F82" s="5" t="n">
        <v>0</v>
      </c>
      <c r="G82" s="5" t="inlineStr">
        <is>
          <t>%</t>
        </is>
      </c>
      <c r="H82" s="5" t="inlineStr">
        <is>
          <t>SI Table S3</t>
        </is>
      </c>
      <c r="I82" s="5" t="n">
        <v>10</v>
      </c>
      <c r="J82" s="5" t="inlineStr">
        <is>
          <t>SI</t>
        </is>
      </c>
      <c r="K82" s="5" t="inlineStr"/>
      <c r="L82" s="5" t="inlineStr">
        <is>
          <t>pdf/RuizEsquius_2020_CO 2 Hydrogenation to CH 3 OH over PdZn Catalysts with Reduced CH 4 Production.pdf</t>
        </is>
      </c>
      <c r="M82" s="5" t="inlineStr">
        <is>
          <t>si/10_1002_cctc_202000974__si1.pdf</t>
        </is>
      </c>
      <c r="N82" s="6" t="inlineStr"/>
      <c r="O82" s="6" t="inlineStr"/>
      <c r="P82" s="6" t="inlineStr"/>
      <c r="Q82" s="6" t="inlineStr"/>
      <c r="R82" s="6" t="inlineStr"/>
    </row>
    <row r="83" ht="32" customHeight="1">
      <c r="A83" s="5" t="n">
        <v>82</v>
      </c>
      <c r="B83" s="5" t="inlineStr">
        <is>
          <t>10.1002/cctc.202000974</t>
        </is>
      </c>
      <c r="C83" s="5" t="inlineStr">
        <is>
          <t>Pd/TiO2</t>
        </is>
      </c>
      <c r="D83" s="5" t="inlineStr">
        <is>
          <t>Table 1 row 1, 225°C</t>
        </is>
      </c>
      <c r="E83" s="5" t="inlineStr">
        <is>
          <t>temperature</t>
        </is>
      </c>
      <c r="F83" s="5" t="n">
        <v>225</v>
      </c>
      <c r="G83" s="5" t="inlineStr">
        <is>
          <t>°C (from K)</t>
        </is>
      </c>
      <c r="H83" s="5" t="inlineStr">
        <is>
          <t>Table 1</t>
        </is>
      </c>
      <c r="I83" s="5" t="n">
        <v>3</v>
      </c>
      <c r="J83" s="5" t="n"/>
      <c r="K83" s="5" t="inlineStr">
        <is>
          <t>GHSV&lt;-si;cat_mass_g&lt;-si</t>
        </is>
      </c>
      <c r="L83" s="5" t="inlineStr">
        <is>
          <t>pdf/RuizEsquius_2020_CO 2 Hydrogenation to CH 3 OH over PdZn Catalysts with Reduced CH 4 Production.pdf</t>
        </is>
      </c>
      <c r="M83" s="5" t="inlineStr">
        <is>
          <t>si/10_1002_cctc_202000974__si1.pdf</t>
        </is>
      </c>
      <c r="N83" s="22" t="inlineStr">
        <is>
          <t>原始ChemCatChem主文 PDF p3 Table1 Pd/TiO₂行</t>
        </is>
      </c>
      <c r="O83" s="22" t="inlineStr">
        <is>
          <t>225°C, Pd/TiO₂</t>
        </is>
      </c>
      <c r="P83" s="22" t="inlineStr">
        <is>
          <t>Y</t>
        </is>
      </c>
      <c r="Q83" s="22" t="inlineStr">
        <is>
          <t>correct</t>
        </is>
      </c>
      <c r="R83" s="22" t="inlineStr">
        <is>
          <t>AI草稿/待复签。同一表中给催化剂、温度和P=20bar，直接支持本行温度。</t>
        </is>
      </c>
    </row>
    <row r="84" ht="32" customHeight="1">
      <c r="A84" s="5" t="n">
        <v>83</v>
      </c>
      <c r="B84" s="5" t="inlineStr">
        <is>
          <t>10.1002/cctc.202000974</t>
        </is>
      </c>
      <c r="C84" s="5" t="inlineStr">
        <is>
          <t>ZnTiO3</t>
        </is>
      </c>
      <c r="D84" s="5" t="inlineStr">
        <is>
          <t>SI Table S3, ZnTiO3, 250 °C</t>
        </is>
      </c>
      <c r="E84" s="5" t="inlineStr">
        <is>
          <t>CO selectivity</t>
        </is>
      </c>
      <c r="F84" s="5" t="n">
        <v>70</v>
      </c>
      <c r="G84" s="5" t="inlineStr">
        <is>
          <t>%</t>
        </is>
      </c>
      <c r="H84" s="5" t="inlineStr">
        <is>
          <t>SI Table S3</t>
        </is>
      </c>
      <c r="I84" s="5" t="n">
        <v>10</v>
      </c>
      <c r="J84" s="5" t="inlineStr">
        <is>
          <t>SI</t>
        </is>
      </c>
      <c r="K84" s="5" t="inlineStr"/>
      <c r="L84" s="5" t="inlineStr">
        <is>
          <t>pdf/RuizEsquius_2020_CO 2 Hydrogenation to CH 3 OH over PdZn Catalysts with Reduced CH 4 Production.pdf</t>
        </is>
      </c>
      <c r="M84" s="5" t="inlineStr">
        <is>
          <t>si/10_1002_cctc_202000974__si1.pdf</t>
        </is>
      </c>
      <c r="N84" s="6" t="inlineStr"/>
      <c r="O84" s="6" t="inlineStr"/>
      <c r="P84" s="6" t="inlineStr"/>
      <c r="Q84" s="6" t="inlineStr"/>
      <c r="R84" s="6" t="inlineStr"/>
    </row>
    <row r="85" ht="32" customHeight="1">
      <c r="A85" s="5" t="n">
        <v>84</v>
      </c>
      <c r="B85" s="5" t="inlineStr">
        <is>
          <t>10.1002/cctc.202000974</t>
        </is>
      </c>
      <c r="C85" s="5" t="inlineStr">
        <is>
          <t>Pd/ZnO</t>
        </is>
      </c>
      <c r="D85" s="5" t="inlineStr">
        <is>
          <t>Figure 1, Pd/ZnO, 175°C</t>
        </is>
      </c>
      <c r="E85" s="5" t="inlineStr">
        <is>
          <t>CH3OH selectivity</t>
        </is>
      </c>
      <c r="F85" s="5" t="n">
        <v>69</v>
      </c>
      <c r="G85" s="5" t="inlineStr">
        <is>
          <t>%</t>
        </is>
      </c>
      <c r="H85" s="5" t="inlineStr">
        <is>
          <t>Figure 1</t>
        </is>
      </c>
      <c r="I85" s="5" t="n">
        <v>4</v>
      </c>
      <c r="J85" s="5" t="inlineStr">
        <is>
          <t>SI</t>
        </is>
      </c>
      <c r="K85" s="5" t="inlineStr">
        <is>
          <t>X_CO2&lt;-si;S_MeOH&lt;-si;S_CO&lt;-si;S_CH4&lt;-si;GHSV&lt;-si;H2_CO2&lt;-si;cat_mass_g&lt;-si;metal_wt_pct&lt;-figures</t>
        </is>
      </c>
      <c r="L85" s="5" t="inlineStr">
        <is>
          <t>pdf/RuizEsquius_2020_CO 2 Hydrogenation to CH 3 OH over PdZn Catalysts with Reduced CH 4 Production.pdf</t>
        </is>
      </c>
      <c r="M85" s="5" t="inlineStr">
        <is>
          <t>si/10_1002_cctc_202000974__si1.pdf</t>
        </is>
      </c>
      <c r="N85" s="6" t="inlineStr"/>
      <c r="O85" s="6" t="inlineStr"/>
      <c r="P85" s="6" t="inlineStr"/>
      <c r="Q85" s="6" t="inlineStr"/>
      <c r="R85" s="6" t="inlineStr"/>
    </row>
    <row r="86" ht="32" customHeight="1">
      <c r="A86" s="5" t="n">
        <v>85</v>
      </c>
      <c r="B86" s="5" t="inlineStr">
        <is>
          <t>10.1002/cctc.202000974</t>
        </is>
      </c>
      <c r="C86" s="5" t="inlineStr">
        <is>
          <t>Pd/ZnTiO3</t>
        </is>
      </c>
      <c r="D86" s="5" t="inlineStr">
        <is>
          <t>SI Table S2, Pd/ZnTiO3, 200 °C</t>
        </is>
      </c>
      <c r="E86" s="5" t="inlineStr">
        <is>
          <t>H2/CO2</t>
        </is>
      </c>
      <c r="F86" s="5" t="n">
        <v>3</v>
      </c>
      <c r="G86" s="5" t="inlineStr">
        <is>
          <t>mol/mol</t>
        </is>
      </c>
      <c r="H86" s="5" t="inlineStr">
        <is>
          <t>SI Table S2</t>
        </is>
      </c>
      <c r="I86" s="5" t="n">
        <v>9</v>
      </c>
      <c r="J86" s="5" t="n"/>
      <c r="K86" s="5" t="inlineStr"/>
      <c r="L86" s="5" t="inlineStr">
        <is>
          <t>pdf/RuizEsquius_2020_CO 2 Hydrogenation to CH 3 OH over PdZn Catalysts with Reduced CH 4 Production.pdf</t>
        </is>
      </c>
      <c r="M86" s="5" t="inlineStr">
        <is>
          <t>si/10_1002_cctc_202000974__si1.pdf</t>
        </is>
      </c>
      <c r="N86" s="22" t="inlineStr">
        <is>
          <t>原始ChemCatChem主文共同进料；该Pd/ZnTiO₃ 200°C 指定SI S2未取得</t>
        </is>
      </c>
      <c r="O86" s="22" t="inlineStr">
        <is>
          <t>H₂ 60 vol%, CO₂ 20 vol%, N₂ 20 vol% → H₂/CO₂=3</t>
        </is>
      </c>
      <c r="P86" s="22" t="inlineStr">
        <is>
          <t>N</t>
        </is>
      </c>
      <c r="Q86" s="22" t="inlineStr"/>
      <c r="R86" s="22" t="inlineStr">
        <is>
          <t>AI草稿/待复签。一般进料组成支持比值3，但具体Pd/ZnTiO₃ SI数据表仍未逐行核验。</t>
        </is>
      </c>
    </row>
    <row r="87" ht="32" customHeight="1">
      <c r="A87" s="5" t="n">
        <v>86</v>
      </c>
      <c r="B87" s="5" t="inlineStr">
        <is>
          <t>10.1002/cctc.202000974</t>
        </is>
      </c>
      <c r="C87" s="5" t="inlineStr">
        <is>
          <t>Pd/TiO2</t>
        </is>
      </c>
      <c r="D87" s="5" t="inlineStr">
        <is>
          <t>SI Table S2, Pd/TiO2, 250 °C</t>
        </is>
      </c>
      <c r="E87" s="5" t="inlineStr">
        <is>
          <t>CO selectivity</t>
        </is>
      </c>
      <c r="F87" s="5" t="n">
        <v>91.40000000000001</v>
      </c>
      <c r="G87" s="5" t="inlineStr">
        <is>
          <t>%</t>
        </is>
      </c>
      <c r="H87" s="5" t="inlineStr">
        <is>
          <t>SI Table S2</t>
        </is>
      </c>
      <c r="I87" s="5" t="n">
        <v>8</v>
      </c>
      <c r="J87" s="5" t="inlineStr">
        <is>
          <t>SI</t>
        </is>
      </c>
      <c r="K87" s="5" t="inlineStr"/>
      <c r="L87" s="5" t="inlineStr">
        <is>
          <t>pdf/RuizEsquius_2020_CO 2 Hydrogenation to CH 3 OH over PdZn Catalysts with Reduced CH 4 Production.pdf</t>
        </is>
      </c>
      <c r="M87" s="5" t="inlineStr">
        <is>
          <t>si/10_1002_cctc_202000974__si1.pdf</t>
        </is>
      </c>
      <c r="N87" s="6" t="inlineStr"/>
      <c r="O87" s="6" t="inlineStr"/>
      <c r="P87" s="6" t="inlineStr"/>
      <c r="Q87" s="6" t="inlineStr"/>
      <c r="R87" s="6" t="inlineStr"/>
    </row>
    <row r="88" ht="32" customHeight="1">
      <c r="A88" s="5" t="n">
        <v>87</v>
      </c>
      <c r="B88" s="5" t="inlineStr">
        <is>
          <t>10.1002/cctc.202000974</t>
        </is>
      </c>
      <c r="C88" s="5" t="inlineStr">
        <is>
          <t>TiO2</t>
        </is>
      </c>
      <c r="D88" s="5" t="inlineStr">
        <is>
          <t>SI Table S3, TiO2, 200 °C</t>
        </is>
      </c>
      <c r="E88" s="5" t="inlineStr">
        <is>
          <t>temperature</t>
        </is>
      </c>
      <c r="F88" s="5" t="n">
        <v>200</v>
      </c>
      <c r="G88" s="5" t="inlineStr">
        <is>
          <t>°C (from K)</t>
        </is>
      </c>
      <c r="H88" s="5" t="inlineStr">
        <is>
          <t>SI Table S3</t>
        </is>
      </c>
      <c r="I88" s="5" t="n">
        <v>10</v>
      </c>
      <c r="J88" s="5" t="n"/>
      <c r="K88" s="5" t="inlineStr"/>
      <c r="L88" s="5" t="inlineStr">
        <is>
          <t>pdf/RuizEsquius_2020_CO 2 Hydrogenation to CH 3 OH over PdZn Catalysts with Reduced CH 4 Production.pdf</t>
        </is>
      </c>
      <c r="M88" s="5" t="inlineStr">
        <is>
          <t>si/10_1002_cctc_202000974__si1.pdf</t>
        </is>
      </c>
      <c r="N88" s="6" t="inlineStr"/>
      <c r="O88" s="6" t="inlineStr"/>
      <c r="P88" s="6" t="inlineStr"/>
      <c r="Q88" s="6" t="inlineStr"/>
      <c r="R88" s="6" t="inlineStr"/>
    </row>
    <row r="89" ht="32" customHeight="1">
      <c r="A89" s="5" t="n">
        <v>88</v>
      </c>
      <c r="B89" s="5" t="inlineStr">
        <is>
          <t>10.1002/cctc.202000974</t>
        </is>
      </c>
      <c r="C89" s="5" t="inlineStr">
        <is>
          <t>ZnO</t>
        </is>
      </c>
      <c r="D89" s="5" t="inlineStr">
        <is>
          <t>SI Table S3, ZnO, 250 °C</t>
        </is>
      </c>
      <c r="E89" s="5" t="inlineStr">
        <is>
          <t>CH4 selectivity</t>
        </is>
      </c>
      <c r="F89" s="5" t="n">
        <v>0</v>
      </c>
      <c r="G89" s="5" t="inlineStr">
        <is>
          <t>%</t>
        </is>
      </c>
      <c r="H89" s="5" t="inlineStr">
        <is>
          <t>SI Table S3</t>
        </is>
      </c>
      <c r="I89" s="5" t="n">
        <v>10</v>
      </c>
      <c r="J89" s="5" t="inlineStr">
        <is>
          <t>SI</t>
        </is>
      </c>
      <c r="K89" s="5" t="inlineStr"/>
      <c r="L89" s="5" t="inlineStr">
        <is>
          <t>pdf/RuizEsquius_2020_CO 2 Hydrogenation to CH 3 OH over PdZn Catalysts with Reduced CH 4 Production.pdf</t>
        </is>
      </c>
      <c r="M89" s="5" t="inlineStr">
        <is>
          <t>si/10_1002_cctc_202000974__si1.pdf</t>
        </is>
      </c>
      <c r="N89" s="6" t="inlineStr"/>
      <c r="O89" s="6" t="inlineStr"/>
      <c r="P89" s="6" t="inlineStr"/>
      <c r="Q89" s="6" t="inlineStr"/>
      <c r="R89" s="6" t="inlineStr"/>
    </row>
    <row r="90" ht="32" customHeight="1">
      <c r="A90" s="5" t="n">
        <v>89</v>
      </c>
      <c r="B90" s="5" t="inlineStr">
        <is>
          <t>10.1002/cctc.202000974</t>
        </is>
      </c>
      <c r="C90" s="5" t="inlineStr">
        <is>
          <t>physical mixture of Pd/ZnO and TiO2</t>
        </is>
      </c>
      <c r="D90" s="5" t="inlineStr">
        <is>
          <t>Text, physical mixture Pd/ZnO and TiO2, 250°C</t>
        </is>
      </c>
      <c r="E90" s="5" t="inlineStr">
        <is>
          <t>CO selectivity</t>
        </is>
      </c>
      <c r="F90" s="5" t="n">
        <v>73.3</v>
      </c>
      <c r="G90" s="5" t="inlineStr">
        <is>
          <t>%</t>
        </is>
      </c>
      <c r="H90" s="5" t="inlineStr">
        <is>
          <t>Results text</t>
        </is>
      </c>
      <c r="I90" s="5" t="n">
        <v>3</v>
      </c>
      <c r="J90" s="5" t="inlineStr">
        <is>
          <t>SI</t>
        </is>
      </c>
      <c r="K90" s="5" t="inlineStr">
        <is>
          <t>X_CO2&lt;-si;S_MeOH&lt;-si;S_CO&lt;-si;S_CH4&lt;-si;GHSV&lt;-si;cat_mass_g&lt;-si</t>
        </is>
      </c>
      <c r="L90" s="5" t="inlineStr">
        <is>
          <t>pdf/RuizEsquius_2020_CO 2 Hydrogenation to CH 3 OH over PdZn Catalysts with Reduced CH 4 Production.pdf</t>
        </is>
      </c>
      <c r="M90" s="5" t="inlineStr">
        <is>
          <t>si/10_1002_cctc_202000974__si1.pdf</t>
        </is>
      </c>
      <c r="N90" s="6" t="inlineStr"/>
      <c r="O90" s="6" t="inlineStr"/>
      <c r="P90" s="6" t="inlineStr"/>
      <c r="Q90" s="6" t="inlineStr"/>
      <c r="R90" s="6" t="inlineStr"/>
    </row>
    <row r="91" ht="32" customHeight="1">
      <c r="A91" s="5" t="n">
        <v>90</v>
      </c>
      <c r="B91" s="5" t="inlineStr">
        <is>
          <t>10.1002/cctc.202000974</t>
        </is>
      </c>
      <c r="C91" s="5" t="inlineStr">
        <is>
          <t>Pd/ZnO</t>
        </is>
      </c>
      <c r="D91" s="5" t="inlineStr">
        <is>
          <t>Table 1 row 2, 225°C</t>
        </is>
      </c>
      <c r="E91" s="5" t="inlineStr">
        <is>
          <t>H2/CO2</t>
        </is>
      </c>
      <c r="F91" s="5" t="n">
        <v>3</v>
      </c>
      <c r="G91" s="5" t="inlineStr">
        <is>
          <t>mol/mol</t>
        </is>
      </c>
      <c r="H91" s="5" t="inlineStr">
        <is>
          <t>Table 1</t>
        </is>
      </c>
      <c r="I91" s="5" t="n">
        <v>3</v>
      </c>
      <c r="J91" s="5" t="n"/>
      <c r="K91" s="5" t="inlineStr">
        <is>
          <t>GHSV&lt;-si;cat_mass_g&lt;-si;metal_wt_pct&lt;-figures</t>
        </is>
      </c>
      <c r="L91" s="5" t="inlineStr">
        <is>
          <t>pdf/RuizEsquius_2020_CO 2 Hydrogenation to CH 3 OH over PdZn Catalysts with Reduced CH 4 Production.pdf</t>
        </is>
      </c>
      <c r="M91" s="5" t="inlineStr">
        <is>
          <t>si/10_1002_cctc_202000974__si1.pdf</t>
        </is>
      </c>
      <c r="N91" s="22" t="inlineStr">
        <is>
          <t>原始ChemCatChem主文 p3 Table1 反应条件说明</t>
        </is>
      </c>
      <c r="O91" s="22" t="inlineStr">
        <is>
          <t>H₂ 60 vol%, CO₂ 20 vol%, N₂ 20 vol% → 60/20=3</t>
        </is>
      </c>
      <c r="P91" s="22" t="inlineStr">
        <is>
          <t>N</t>
        </is>
      </c>
      <c r="Q91" s="22" t="inlineStr"/>
      <c r="R91" s="22" t="inlineStr">
        <is>
          <t>AI草稿/待复签。文献进料还含20%N₂；Excel记录H₂/CO₂=3为等价比值，但不是原文单独给出的“3”字符串。</t>
        </is>
      </c>
    </row>
    <row r="92" ht="32" customHeight="1">
      <c r="A92" s="5" t="n">
        <v>91</v>
      </c>
      <c r="B92" s="5" t="inlineStr">
        <is>
          <t>10.1016/j.jcat.2012.05.020</t>
        </is>
      </c>
      <c r="C92" s="5" t="inlineStr">
        <is>
          <t>PdMgGa</t>
        </is>
      </c>
      <c r="D92" s="5" t="inlineStr">
        <is>
          <t>Table 2, PdMgGa</t>
        </is>
      </c>
      <c r="E92" s="5" t="inlineStr">
        <is>
          <t>CO2 conversion</t>
        </is>
      </c>
      <c r="F92" s="5" t="n">
        <v>1</v>
      </c>
      <c r="G92" s="5" t="inlineStr">
        <is>
          <t>%</t>
        </is>
      </c>
      <c r="H92" s="5" t="inlineStr">
        <is>
          <t>Table 2</t>
        </is>
      </c>
      <c r="I92" s="5" t="n">
        <v>11</v>
      </c>
      <c r="J92" s="5" t="inlineStr">
        <is>
          <t>table</t>
        </is>
      </c>
      <c r="K92" s="5" t="inlineStr"/>
      <c r="L92" s="5" t="inlineStr">
        <is>
          <t>pdf/Ota_2012_Comparative study of hydrotalcite-derived supported Pd2Ga and PdZn intermetallic.pdf</t>
        </is>
      </c>
      <c r="M92" s="5" t="inlineStr">
        <is>
          <t>si/10_1016_j_jcat_2012_05_020__mmc1.pdf</t>
        </is>
      </c>
      <c r="N92" s="22" t="inlineStr">
        <is>
          <t>Ota 2012, accepted manuscript Table 2, PdMgGa</t>
        </is>
      </c>
      <c r="O92" s="22" t="inlineStr">
        <is>
          <t>1.0%</t>
        </is>
      </c>
      <c r="P92" s="22" t="inlineStr">
        <is>
          <t>Y</t>
        </is>
      </c>
      <c r="Q92" s="22" t="inlineStr">
        <is>
          <t>correct</t>
        </is>
      </c>
      <c r="R92" s="22" t="inlineStr">
        <is>
          <t>AI草稿/待复签。催化剂要对应 PdMgGa，而不是 PdZnAl</t>
        </is>
      </c>
    </row>
    <row r="93" ht="32" customHeight="1">
      <c r="A93" s="5" t="n">
        <v>92</v>
      </c>
      <c r="B93" s="5" t="inlineStr">
        <is>
          <t>10.1016/j.jcat.2012.05.020</t>
        </is>
      </c>
      <c r="C93" s="5" t="inlineStr">
        <is>
          <t>PdMgAl</t>
        </is>
      </c>
      <c r="D93" s="5" t="inlineStr">
        <is>
          <t>Table 2, PdMgAl</t>
        </is>
      </c>
      <c r="E93" s="5" t="inlineStr">
        <is>
          <t>CO2 conversion</t>
        </is>
      </c>
      <c r="F93" s="5" t="n">
        <v>0.3</v>
      </c>
      <c r="G93" s="5" t="inlineStr">
        <is>
          <t>%</t>
        </is>
      </c>
      <c r="H93" s="5" t="inlineStr">
        <is>
          <t>Table 2</t>
        </is>
      </c>
      <c r="I93" s="5" t="n">
        <v>11</v>
      </c>
      <c r="J93" s="5" t="inlineStr">
        <is>
          <t>table</t>
        </is>
      </c>
      <c r="K93" s="5" t="inlineStr"/>
      <c r="L93" s="5" t="inlineStr">
        <is>
          <t>pdf/Ota_2012_Comparative study of hydrotalcite-derived supported Pd2Ga and PdZn intermetallic.pdf</t>
        </is>
      </c>
      <c r="M93" s="5" t="inlineStr">
        <is>
          <t>si/10_1016_j_jcat_2012_05_020__mmc1.pdf</t>
        </is>
      </c>
      <c r="N93" s="22" t="inlineStr">
        <is>
          <t>Ota 2012, accepted manuscript Table 2, PdMgAl</t>
        </is>
      </c>
      <c r="O93" s="22" t="inlineStr">
        <is>
          <t>0.3%</t>
        </is>
      </c>
      <c r="P93" s="22" t="inlineStr">
        <is>
          <t>Y</t>
        </is>
      </c>
      <c r="Q93" s="22" t="inlineStr">
        <is>
          <t>correct</t>
        </is>
      </c>
      <c r="R93" s="22" t="inlineStr">
        <is>
          <t>AI草稿/待复签。CO₂ conversion 0.3%</t>
        </is>
      </c>
    </row>
    <row r="94" ht="32" customHeight="1">
      <c r="A94" s="5" t="n">
        <v>93</v>
      </c>
      <c r="B94" s="5" t="inlineStr">
        <is>
          <t>10.1016/j.jcat.2012.05.020</t>
        </is>
      </c>
      <c r="C94" s="5" t="inlineStr">
        <is>
          <t>PdZnAl</t>
        </is>
      </c>
      <c r="D94" s="5" t="inlineStr">
        <is>
          <t>Table 2, PdZnAl</t>
        </is>
      </c>
      <c r="E94" s="5" t="inlineStr">
        <is>
          <t>CH4 selectivity</t>
        </is>
      </c>
      <c r="F94" s="5" t="n">
        <v>0.1</v>
      </c>
      <c r="G94" s="5" t="inlineStr">
        <is>
          <t>%</t>
        </is>
      </c>
      <c r="H94" s="5" t="inlineStr">
        <is>
          <t>Table 2</t>
        </is>
      </c>
      <c r="I94" s="5" t="n">
        <v>11</v>
      </c>
      <c r="J94" s="5" t="inlineStr">
        <is>
          <t>table</t>
        </is>
      </c>
      <c r="K94" s="5" t="inlineStr"/>
      <c r="L94" s="5" t="inlineStr">
        <is>
          <t>pdf/Ota_2012_Comparative study of hydrotalcite-derived supported Pd2Ga and PdZn intermetallic.pdf</t>
        </is>
      </c>
      <c r="M94" s="5" t="inlineStr">
        <is>
          <t>si/10_1016_j_jcat_2012_05_020__mmc1.pdf</t>
        </is>
      </c>
      <c r="N94" s="6" t="inlineStr"/>
      <c r="O94" s="6" t="inlineStr"/>
      <c r="P94" s="6" t="inlineStr"/>
      <c r="Q94" s="6" t="inlineStr"/>
      <c r="R94" s="23" t="inlineStr">
        <is>
          <t>AI警示：必须确认是否为原论文实验点的检出限上界；Excel不能把&lt;0.1%写成实测0.1%。在确认前不能判正确。</t>
        </is>
      </c>
    </row>
    <row r="95" ht="32" customHeight="1">
      <c r="A95" s="5" t="n">
        <v>94</v>
      </c>
      <c r="B95" s="5" t="inlineStr">
        <is>
          <t>10.1016/j.jcat.2012.05.020</t>
        </is>
      </c>
      <c r="C95" s="5" t="inlineStr">
        <is>
          <t>PdZnAl</t>
        </is>
      </c>
      <c r="D95" s="5" t="inlineStr">
        <is>
          <t>Table 2, PdZnAl</t>
        </is>
      </c>
      <c r="E95" s="5" t="inlineStr">
        <is>
          <t>temperature</t>
        </is>
      </c>
      <c r="F95" s="5" t="n">
        <v>249.85</v>
      </c>
      <c r="G95" s="5" t="inlineStr">
        <is>
          <t>°C (from K)</t>
        </is>
      </c>
      <c r="H95" s="5" t="inlineStr">
        <is>
          <t>Table 2</t>
        </is>
      </c>
      <c r="I95" s="5" t="n">
        <v>11</v>
      </c>
      <c r="J95" s="5" t="n"/>
      <c r="K95" s="5" t="inlineStr"/>
      <c r="L95" s="5" t="inlineStr">
        <is>
          <t>pdf/Ota_2012_Comparative study of hydrotalcite-derived supported Pd2Ga and PdZn intermetallic.pdf</t>
        </is>
      </c>
      <c r="M95" s="5" t="inlineStr">
        <is>
          <t>si/10_1016_j_jcat_2012_05_020__mmc1.pdf</t>
        </is>
      </c>
      <c r="N95" s="22" t="inlineStr">
        <is>
          <t>Ota 2012, accepted manuscript Table 2 heading</t>
        </is>
      </c>
      <c r="O95" s="22" t="inlineStr">
        <is>
          <t>250 °C (or 523 K)</t>
        </is>
      </c>
      <c r="P95" s="22" t="inlineStr">
        <is>
          <t>N</t>
        </is>
      </c>
      <c r="Q95" s="22" t="inlineStr">
        <is>
          <t>correct</t>
        </is>
      </c>
      <c r="R95" s="22" t="inlineStr">
        <is>
          <t>AI草稿/待复签。原表写250 °C（期刊排版版写523 K）；Excel249.85 °C=523 K精确换算，是四舍五入差非错误</t>
        </is>
      </c>
    </row>
    <row r="96" ht="32" customHeight="1">
      <c r="A96" s="5" t="n">
        <v>95</v>
      </c>
      <c r="B96" s="5" t="inlineStr">
        <is>
          <t>10.1016/j.jcat.2012.05.020</t>
        </is>
      </c>
      <c r="C96" s="5" t="inlineStr">
        <is>
          <t>PdZnAl</t>
        </is>
      </c>
      <c r="D96" s="5" t="inlineStr">
        <is>
          <t>Table 2, PdZnAl</t>
        </is>
      </c>
      <c r="E96" s="5" t="inlineStr">
        <is>
          <t>H2/CO2</t>
        </is>
      </c>
      <c r="F96" s="5" t="n">
        <v>3</v>
      </c>
      <c r="G96" s="5" t="inlineStr">
        <is>
          <t>mol/mol</t>
        </is>
      </c>
      <c r="H96" s="5" t="inlineStr">
        <is>
          <t>Table 2</t>
        </is>
      </c>
      <c r="I96" s="5" t="n">
        <v>11</v>
      </c>
      <c r="J96" s="5" t="n"/>
      <c r="K96" s="5" t="inlineStr"/>
      <c r="L96" s="5" t="inlineStr">
        <is>
          <t>pdf/Ota_2012_Comparative study of hydrotalcite-derived supported Pd2Ga and PdZn intermetallic.pdf</t>
        </is>
      </c>
      <c r="M96" s="5" t="inlineStr">
        <is>
          <t>si/10_1016_j_jcat_2012_05_020__mmc1.pdf</t>
        </is>
      </c>
      <c r="N96" s="22" t="inlineStr">
        <is>
          <t>Ota 2012, accepted manuscript Table 2 heading</t>
        </is>
      </c>
      <c r="O96" s="22" t="inlineStr">
        <is>
          <t>CO₂:H₂ = 1:3</t>
        </is>
      </c>
      <c r="P96" s="22" t="inlineStr">
        <is>
          <t>N</t>
        </is>
      </c>
      <c r="Q96" s="22" t="inlineStr">
        <is>
          <t>correct</t>
        </is>
      </c>
      <c r="R96" s="22" t="inlineStr">
        <is>
          <t>AI草稿/待复签。从 CO₂:H₂=1:3 写成 H₂/CO₂=3，属于原文明确比值的倒数表达</t>
        </is>
      </c>
    </row>
    <row r="97" ht="32" customHeight="1">
      <c r="A97" s="5" t="n">
        <v>96</v>
      </c>
      <c r="B97" s="5" t="inlineStr">
        <is>
          <t>10.1016/j.jcat.2012.05.020</t>
        </is>
      </c>
      <c r="C97" s="5" t="inlineStr">
        <is>
          <t>PdMgGa</t>
        </is>
      </c>
      <c r="D97" s="5" t="inlineStr">
        <is>
          <t>Table 2, PdMgGa</t>
        </is>
      </c>
      <c r="E97" s="5" t="inlineStr">
        <is>
          <t>H2/CO2</t>
        </is>
      </c>
      <c r="F97" s="5" t="n">
        <v>3</v>
      </c>
      <c r="G97" s="5" t="inlineStr">
        <is>
          <t>mol/mol</t>
        </is>
      </c>
      <c r="H97" s="5" t="inlineStr">
        <is>
          <t>Table 2</t>
        </is>
      </c>
      <c r="I97" s="5" t="n">
        <v>11</v>
      </c>
      <c r="J97" s="5" t="n"/>
      <c r="K97" s="5" t="inlineStr"/>
      <c r="L97" s="5" t="inlineStr">
        <is>
          <t>pdf/Ota_2012_Comparative study of hydrotalcite-derived supported Pd2Ga and PdZn intermetallic.pdf</t>
        </is>
      </c>
      <c r="M97" s="5" t="inlineStr">
        <is>
          <t>si/10_1016_j_jcat_2012_05_020__mmc1.pdf</t>
        </is>
      </c>
      <c r="N97" s="22" t="inlineStr">
        <is>
          <t>Ota 2012, accepted manuscript Table 2 heading</t>
        </is>
      </c>
      <c r="O97" s="22" t="inlineStr">
        <is>
          <t>CO₂:H₂ = 1:3</t>
        </is>
      </c>
      <c r="P97" s="22" t="inlineStr">
        <is>
          <t>N</t>
        </is>
      </c>
      <c r="Q97" s="22" t="inlineStr">
        <is>
          <t>correct</t>
        </is>
      </c>
      <c r="R97" s="22" t="inlineStr">
        <is>
          <t>AI草稿/待复签。从 CO₂:H₂=1:3 写成 H₂/CO₂=3，属于原文明确比值的倒数表达</t>
        </is>
      </c>
    </row>
    <row r="98" ht="32" customHeight="1">
      <c r="A98" s="5" t="n">
        <v>97</v>
      </c>
      <c r="B98" s="5" t="inlineStr">
        <is>
          <t>10.1016/j.jcat.2012.05.020</t>
        </is>
      </c>
      <c r="C98" s="5" t="inlineStr">
        <is>
          <t>PdMgAl</t>
        </is>
      </c>
      <c r="D98" s="5" t="inlineStr">
        <is>
          <t>Table 2, PdMgAl</t>
        </is>
      </c>
      <c r="E98" s="5" t="inlineStr">
        <is>
          <t>temperature</t>
        </is>
      </c>
      <c r="F98" s="5" t="n">
        <v>249.85</v>
      </c>
      <c r="G98" s="5" t="inlineStr">
        <is>
          <t>°C (from K)</t>
        </is>
      </c>
      <c r="H98" s="5" t="inlineStr">
        <is>
          <t>Table 2</t>
        </is>
      </c>
      <c r="I98" s="5" t="n">
        <v>11</v>
      </c>
      <c r="J98" s="5" t="n"/>
      <c r="K98" s="5" t="inlineStr"/>
      <c r="L98" s="5" t="inlineStr">
        <is>
          <t>pdf/Ota_2012_Comparative study of hydrotalcite-derived supported Pd2Ga and PdZn intermetallic.pdf</t>
        </is>
      </c>
      <c r="M98" s="5" t="inlineStr">
        <is>
          <t>si/10_1016_j_jcat_2012_05_020__mmc1.pdf</t>
        </is>
      </c>
      <c r="N98" s="22" t="inlineStr">
        <is>
          <t>Ota 2012, accepted manuscript Table 2 heading</t>
        </is>
      </c>
      <c r="O98" s="22" t="inlineStr">
        <is>
          <t>250 °C (or 523 K)</t>
        </is>
      </c>
      <c r="P98" s="22" t="inlineStr">
        <is>
          <t>N</t>
        </is>
      </c>
      <c r="Q98" s="22" t="inlineStr">
        <is>
          <t>correct</t>
        </is>
      </c>
      <c r="R98" s="22" t="inlineStr">
        <is>
          <t>AI草稿/待复签。原表写250 °C（期刊排版版写523 K）；Excel249.85 °C=523 K精确换算，是四舍五入差非错误</t>
        </is>
      </c>
    </row>
    <row r="99" ht="32" customHeight="1">
      <c r="A99" s="5" t="n">
        <v>98</v>
      </c>
      <c r="B99" s="5" t="inlineStr">
        <is>
          <t>10.1016/j.jcat.2012.05.020</t>
        </is>
      </c>
      <c r="C99" s="5" t="inlineStr">
        <is>
          <t>PdMgGa</t>
        </is>
      </c>
      <c r="D99" s="5" t="inlineStr">
        <is>
          <t>Table 2, PdMgGa</t>
        </is>
      </c>
      <c r="E99" s="5" t="inlineStr">
        <is>
          <t>temperature</t>
        </is>
      </c>
      <c r="F99" s="5" t="n">
        <v>249.85</v>
      </c>
      <c r="G99" s="5" t="inlineStr">
        <is>
          <t>°C (from K)</t>
        </is>
      </c>
      <c r="H99" s="5" t="inlineStr">
        <is>
          <t>Table 2</t>
        </is>
      </c>
      <c r="I99" s="5" t="n">
        <v>11</v>
      </c>
      <c r="J99" s="5" t="n"/>
      <c r="K99" s="5" t="inlineStr"/>
      <c r="L99" s="5" t="inlineStr">
        <is>
          <t>pdf/Ota_2012_Comparative study of hydrotalcite-derived supported Pd2Ga and PdZn intermetallic.pdf</t>
        </is>
      </c>
      <c r="M99" s="5" t="inlineStr">
        <is>
          <t>si/10_1016_j_jcat_2012_05_020__mmc1.pdf</t>
        </is>
      </c>
      <c r="N99" s="22" t="inlineStr">
        <is>
          <t>Ota 2012, accepted manuscript Table 2 heading</t>
        </is>
      </c>
      <c r="O99" s="22" t="inlineStr">
        <is>
          <t>250 °C (or 523 K)</t>
        </is>
      </c>
      <c r="P99" s="22" t="inlineStr">
        <is>
          <t>N</t>
        </is>
      </c>
      <c r="Q99" s="22" t="inlineStr">
        <is>
          <t>correct</t>
        </is>
      </c>
      <c r="R99" s="22" t="inlineStr">
        <is>
          <t>AI草稿/待复签。原表写250 °C（期刊排版版写523 K）；Excel249.85 °C=523 K精确换算，是四舍五入差非错误</t>
        </is>
      </c>
    </row>
    <row r="100" ht="32" customHeight="1">
      <c r="A100" s="5" t="n">
        <v>99</v>
      </c>
      <c r="B100" s="5" t="inlineStr">
        <is>
          <t>10.1016/j.jcat.2012.05.020</t>
        </is>
      </c>
      <c r="C100" s="5" t="inlineStr">
        <is>
          <t>PdMgAl</t>
        </is>
      </c>
      <c r="D100" s="5" t="inlineStr">
        <is>
          <t>Table 2, PdMgAl</t>
        </is>
      </c>
      <c r="E100" s="5" t="inlineStr">
        <is>
          <t>STY (printed)</t>
        </is>
      </c>
      <c r="F100" s="5" t="inlineStr">
        <is>
          <t>0.3 µmol/min gcat</t>
        </is>
      </c>
      <c r="G100" s="5" t="inlineStr">
        <is>
          <t>as printed</t>
        </is>
      </c>
      <c r="H100" s="5" t="inlineStr">
        <is>
          <t>Table 2</t>
        </is>
      </c>
      <c r="I100" s="5" t="n">
        <v>11</v>
      </c>
      <c r="J100" s="5" t="inlineStr">
        <is>
          <t>table</t>
        </is>
      </c>
      <c r="K100" s="5" t="inlineStr"/>
      <c r="L100" s="5" t="inlineStr">
        <is>
          <t>pdf/Ota_2012_Comparative study of hydrotalcite-derived supported Pd2Ga and PdZn intermetallic.pdf</t>
        </is>
      </c>
      <c r="M100" s="5" t="inlineStr">
        <is>
          <t>si/10_1016_j_jcat_2012_05_020__mmc1.pdf</t>
        </is>
      </c>
      <c r="N100" s="22" t="inlineStr">
        <is>
          <t>Ota 2012, accepted manuscript Table 2, PdMgAl, MeOH rate column</t>
        </is>
      </c>
      <c r="O100" s="22" t="inlineStr">
        <is>
          <t>0.3 μmol min⁻¹ gcat⁻¹</t>
        </is>
      </c>
      <c r="P100" s="22" t="inlineStr">
        <is>
          <t>Y</t>
        </is>
      </c>
      <c r="Q100" s="22" t="inlineStr">
        <is>
          <t>correct</t>
        </is>
      </c>
      <c r="R100" s="22" t="inlineStr">
        <is>
          <t>AI草稿/待复签。表中是甲醇形成速率、摩尔单位；命名为“STY (printed)”虽沿用模型字段，论文需明确不等同于 g MeOH/gcat/h</t>
        </is>
      </c>
    </row>
    <row r="101" ht="32" customHeight="1">
      <c r="A101" s="5" t="n">
        <v>100</v>
      </c>
      <c r="B101" s="5" t="inlineStr">
        <is>
          <t>10.1016/j.jcat.2012.05.020</t>
        </is>
      </c>
      <c r="C101" s="5" t="inlineStr">
        <is>
          <t>PdZnAl</t>
        </is>
      </c>
      <c r="D101" s="5" t="inlineStr">
        <is>
          <t>Table 2, PdZnAl</t>
        </is>
      </c>
      <c r="E101" s="5" t="inlineStr">
        <is>
          <t>CO2 conversion</t>
        </is>
      </c>
      <c r="F101" s="5" t="n">
        <v>0.6</v>
      </c>
      <c r="G101" s="5" t="inlineStr">
        <is>
          <t>%</t>
        </is>
      </c>
      <c r="H101" s="5" t="inlineStr">
        <is>
          <t>Table 2</t>
        </is>
      </c>
      <c r="I101" s="5" t="n">
        <v>11</v>
      </c>
      <c r="J101" s="5" t="inlineStr">
        <is>
          <t>table</t>
        </is>
      </c>
      <c r="K101" s="5" t="inlineStr"/>
      <c r="L101" s="5" t="inlineStr">
        <is>
          <t>pdf/Ota_2012_Comparative study of hydrotalcite-derived supported Pd2Ga and PdZn intermetallic.pdf</t>
        </is>
      </c>
      <c r="M101" s="5" t="inlineStr">
        <is>
          <t>si/10_1016_j_jcat_2012_05_020__mmc1.pdf</t>
        </is>
      </c>
      <c r="N101" s="22" t="inlineStr">
        <is>
          <t>Ota 2012, accepted manuscript Table 2, PdZnAl</t>
        </is>
      </c>
      <c r="O101" s="22" t="inlineStr">
        <is>
          <t>0.6%</t>
        </is>
      </c>
      <c r="P101" s="22" t="inlineStr">
        <is>
          <t>Y</t>
        </is>
      </c>
      <c r="Q101" s="22" t="inlineStr">
        <is>
          <t>correct</t>
        </is>
      </c>
      <c r="R101" s="22" t="inlineStr">
        <is>
          <t>AI草稿/待复签。原表 0.6%</t>
        </is>
      </c>
    </row>
  </sheetData>
  <autoFilter ref="A1:R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2026-10-08T15:56:44Z</dcterms:created>
  <dcterms:modified xmlns:dcterms="http://purl.org/dc/terms/" xmlns:xsi="http://www.w3.org/2001/XMLSchema-instance" xsi:type="dcterms:W3CDTF">2026-10-12T05:38:59Z</dcterms:modified>
</cp:coreProperties>
</file>